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fromhome\"/>
    </mc:Choice>
  </mc:AlternateContent>
  <xr:revisionPtr revIDLastSave="0" documentId="13_ncr:1_{5CC966A7-6617-4D3A-B426-95E6C341FBAC}" xr6:coauthVersionLast="45" xr6:coauthVersionMax="45" xr10:uidLastSave="{00000000-0000-0000-0000-000000000000}"/>
  <bookViews>
    <workbookView xWindow="570" yWindow="915" windowWidth="27585" windowHeight="14100" activeTab="3" xr2:uid="{00000000-000D-0000-FFFF-FFFF00000000}"/>
  </bookViews>
  <sheets>
    <sheet name="TeAllPoints" sheetId="1" r:id="rId1"/>
    <sheet name="TE_OA_20200805_INTRDY_2020-08-0" sheetId="4" r:id="rId2"/>
    <sheet name="Filter" sheetId="5" r:id="rId3"/>
    <sheet name="Pipe Table" sheetId="6" r:id="rId4"/>
  </sheets>
  <definedNames>
    <definedName name="_xlnm._FilterDatabase" localSheetId="2" hidden="1">Filter!$A$20:$J$889</definedName>
    <definedName name="_xlnm._FilterDatabase" localSheetId="1" hidden="1">'TE_OA_20200805_INTRDY_2020-08-0'!$A$1:$U$1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5" l="1"/>
  <c r="F21" i="5"/>
  <c r="I21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21" i="5"/>
  <c r="G24" i="5"/>
  <c r="G26" i="5"/>
  <c r="B3" i="1"/>
  <c r="H324" i="5" s="1"/>
  <c r="B4" i="1"/>
  <c r="G142" i="5" s="1"/>
  <c r="B5" i="1"/>
  <c r="B6" i="1"/>
  <c r="H720" i="5" s="1"/>
  <c r="B7" i="1"/>
  <c r="G846" i="5" s="1"/>
  <c r="B8" i="1"/>
  <c r="G726" i="5" s="1"/>
  <c r="B9" i="1"/>
  <c r="G464" i="5" s="1"/>
  <c r="B10" i="1"/>
  <c r="B11" i="1"/>
  <c r="B12" i="1"/>
  <c r="B13" i="1"/>
  <c r="B14" i="1"/>
  <c r="B15" i="1"/>
  <c r="B16" i="1"/>
  <c r="B17" i="1"/>
  <c r="B18" i="1"/>
  <c r="G800" i="5" s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2" i="1"/>
  <c r="H25" i="5" s="1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G848" i="5" l="1"/>
  <c r="G391" i="5"/>
  <c r="G880" i="5"/>
  <c r="G856" i="5"/>
  <c r="G832" i="5"/>
  <c r="G808" i="5"/>
  <c r="G784" i="5"/>
  <c r="G760" i="5"/>
  <c r="G736" i="5"/>
  <c r="G712" i="5"/>
  <c r="G688" i="5"/>
  <c r="G664" i="5"/>
  <c r="G640" i="5"/>
  <c r="G616" i="5"/>
  <c r="G592" i="5"/>
  <c r="G568" i="5"/>
  <c r="G544" i="5"/>
  <c r="G520" i="5"/>
  <c r="G496" i="5"/>
  <c r="G472" i="5"/>
  <c r="G448" i="5"/>
  <c r="G424" i="5"/>
  <c r="G400" i="5"/>
  <c r="G376" i="5"/>
  <c r="G352" i="5"/>
  <c r="G328" i="5"/>
  <c r="G301" i="5"/>
  <c r="G275" i="5"/>
  <c r="G248" i="5"/>
  <c r="G221" i="5"/>
  <c r="G194" i="5"/>
  <c r="G166" i="5"/>
  <c r="G139" i="5"/>
  <c r="G112" i="5"/>
  <c r="G84" i="5"/>
  <c r="G56" i="5"/>
  <c r="G29" i="5"/>
  <c r="H870" i="5"/>
  <c r="H842" i="5"/>
  <c r="H815" i="5"/>
  <c r="H788" i="5"/>
  <c r="H760" i="5"/>
  <c r="H732" i="5"/>
  <c r="H705" i="5"/>
  <c r="H678" i="5"/>
  <c r="H650" i="5"/>
  <c r="H623" i="5"/>
  <c r="H593" i="5"/>
  <c r="H563" i="5"/>
  <c r="H532" i="5"/>
  <c r="H503" i="5"/>
  <c r="H472" i="5"/>
  <c r="H442" i="5"/>
  <c r="H411" i="5"/>
  <c r="H382" i="5"/>
  <c r="H351" i="5"/>
  <c r="H321" i="5"/>
  <c r="H290" i="5"/>
  <c r="H261" i="5"/>
  <c r="H229" i="5"/>
  <c r="H200" i="5"/>
  <c r="H169" i="5"/>
  <c r="H140" i="5"/>
  <c r="H108" i="5"/>
  <c r="H78" i="5"/>
  <c r="H48" i="5"/>
  <c r="G704" i="5"/>
  <c r="G583" i="5"/>
  <c r="G870" i="5"/>
  <c r="G879" i="5"/>
  <c r="G855" i="5"/>
  <c r="G831" i="5"/>
  <c r="G807" i="5"/>
  <c r="G783" i="5"/>
  <c r="G759" i="5"/>
  <c r="G735" i="5"/>
  <c r="G711" i="5"/>
  <c r="G687" i="5"/>
  <c r="G663" i="5"/>
  <c r="G639" i="5"/>
  <c r="G615" i="5"/>
  <c r="G591" i="5"/>
  <c r="G567" i="5"/>
  <c r="G543" i="5"/>
  <c r="G519" i="5"/>
  <c r="G495" i="5"/>
  <c r="G471" i="5"/>
  <c r="G447" i="5"/>
  <c r="G423" i="5"/>
  <c r="G399" i="5"/>
  <c r="G375" i="5"/>
  <c r="G351" i="5"/>
  <c r="G327" i="5"/>
  <c r="G300" i="5"/>
  <c r="G274" i="5"/>
  <c r="G247" i="5"/>
  <c r="G220" i="5"/>
  <c r="G192" i="5"/>
  <c r="G165" i="5"/>
  <c r="G138" i="5"/>
  <c r="G111" i="5"/>
  <c r="G83" i="5"/>
  <c r="G55" i="5"/>
  <c r="G28" i="5"/>
  <c r="H868" i="5"/>
  <c r="H841" i="5"/>
  <c r="H814" i="5"/>
  <c r="H787" i="5"/>
  <c r="H759" i="5"/>
  <c r="H731" i="5"/>
  <c r="H704" i="5"/>
  <c r="H676" i="5"/>
  <c r="H649" i="5"/>
  <c r="H622" i="5"/>
  <c r="H592" i="5"/>
  <c r="H562" i="5"/>
  <c r="H531" i="5"/>
  <c r="H502" i="5"/>
  <c r="H471" i="5"/>
  <c r="H441" i="5"/>
  <c r="H410" i="5"/>
  <c r="H381" i="5"/>
  <c r="H349" i="5"/>
  <c r="H320" i="5"/>
  <c r="H289" i="5"/>
  <c r="H260" i="5"/>
  <c r="H228" i="5"/>
  <c r="H198" i="5"/>
  <c r="H168" i="5"/>
  <c r="H137" i="5"/>
  <c r="H107" i="5"/>
  <c r="H76" i="5"/>
  <c r="H47" i="5"/>
  <c r="G878" i="5"/>
  <c r="G854" i="5"/>
  <c r="G830" i="5"/>
  <c r="G806" i="5"/>
  <c r="G782" i="5"/>
  <c r="G758" i="5"/>
  <c r="G734" i="5"/>
  <c r="G710" i="5"/>
  <c r="G686" i="5"/>
  <c r="G662" i="5"/>
  <c r="G638" i="5"/>
  <c r="G614" i="5"/>
  <c r="G590" i="5"/>
  <c r="G566" i="5"/>
  <c r="G542" i="5"/>
  <c r="G518" i="5"/>
  <c r="G494" i="5"/>
  <c r="G470" i="5"/>
  <c r="G446" i="5"/>
  <c r="G422" i="5"/>
  <c r="G398" i="5"/>
  <c r="G374" i="5"/>
  <c r="G350" i="5"/>
  <c r="G325" i="5"/>
  <c r="G299" i="5"/>
  <c r="G273" i="5"/>
  <c r="G246" i="5"/>
  <c r="G219" i="5"/>
  <c r="G191" i="5"/>
  <c r="G164" i="5"/>
  <c r="G137" i="5"/>
  <c r="G109" i="5"/>
  <c r="G81" i="5"/>
  <c r="G54" i="5"/>
  <c r="G27" i="5"/>
  <c r="H867" i="5"/>
  <c r="H840" i="5"/>
  <c r="H813" i="5"/>
  <c r="H785" i="5"/>
  <c r="H757" i="5"/>
  <c r="H730" i="5"/>
  <c r="H703" i="5"/>
  <c r="H675" i="5"/>
  <c r="H648" i="5"/>
  <c r="H621" i="5"/>
  <c r="H591" i="5"/>
  <c r="H561" i="5"/>
  <c r="H530" i="5"/>
  <c r="H501" i="5"/>
  <c r="H469" i="5"/>
  <c r="H440" i="5"/>
  <c r="H409" i="5"/>
  <c r="H380" i="5"/>
  <c r="H348" i="5"/>
  <c r="H318" i="5"/>
  <c r="H288" i="5"/>
  <c r="H257" i="5"/>
  <c r="H227" i="5"/>
  <c r="H196" i="5"/>
  <c r="H167" i="5"/>
  <c r="H136" i="5"/>
  <c r="H106" i="5"/>
  <c r="H75" i="5"/>
  <c r="H46" i="5"/>
  <c r="G829" i="5"/>
  <c r="G757" i="5"/>
  <c r="G637" i="5"/>
  <c r="G565" i="5"/>
  <c r="G493" i="5"/>
  <c r="G421" i="5"/>
  <c r="G397" i="5"/>
  <c r="G373" i="5"/>
  <c r="G349" i="5"/>
  <c r="G324" i="5"/>
  <c r="G298" i="5"/>
  <c r="G272" i="5"/>
  <c r="G245" i="5"/>
  <c r="G218" i="5"/>
  <c r="G190" i="5"/>
  <c r="G163" i="5"/>
  <c r="G136" i="5"/>
  <c r="G53" i="5"/>
  <c r="H839" i="5"/>
  <c r="H812" i="5"/>
  <c r="H784" i="5"/>
  <c r="H756" i="5"/>
  <c r="H729" i="5"/>
  <c r="H702" i="5"/>
  <c r="H674" i="5"/>
  <c r="H647" i="5"/>
  <c r="H620" i="5"/>
  <c r="H589" i="5"/>
  <c r="H560" i="5"/>
  <c r="H529" i="5"/>
  <c r="H500" i="5"/>
  <c r="H468" i="5"/>
  <c r="H438" i="5"/>
  <c r="H408" i="5"/>
  <c r="H377" i="5"/>
  <c r="H347" i="5"/>
  <c r="H316" i="5"/>
  <c r="H287" i="5"/>
  <c r="H256" i="5"/>
  <c r="H226" i="5"/>
  <c r="H195" i="5"/>
  <c r="H166" i="5"/>
  <c r="H135" i="5"/>
  <c r="H105" i="5"/>
  <c r="H74" i="5"/>
  <c r="H45" i="5"/>
  <c r="G805" i="5"/>
  <c r="G661" i="5"/>
  <c r="G589" i="5"/>
  <c r="G445" i="5"/>
  <c r="G108" i="5"/>
  <c r="G876" i="5"/>
  <c r="G852" i="5"/>
  <c r="G756" i="5"/>
  <c r="G732" i="5"/>
  <c r="G708" i="5"/>
  <c r="G684" i="5"/>
  <c r="G660" i="5"/>
  <c r="G636" i="5"/>
  <c r="G612" i="5"/>
  <c r="G588" i="5"/>
  <c r="G564" i="5"/>
  <c r="G540" i="5"/>
  <c r="G516" i="5"/>
  <c r="G492" i="5"/>
  <c r="G468" i="5"/>
  <c r="G444" i="5"/>
  <c r="G420" i="5"/>
  <c r="G396" i="5"/>
  <c r="G372" i="5"/>
  <c r="G348" i="5"/>
  <c r="G323" i="5"/>
  <c r="G297" i="5"/>
  <c r="G271" i="5"/>
  <c r="G244" i="5"/>
  <c r="G216" i="5"/>
  <c r="G189" i="5"/>
  <c r="G162" i="5"/>
  <c r="G135" i="5"/>
  <c r="G107" i="5"/>
  <c r="G79" i="5"/>
  <c r="G52" i="5"/>
  <c r="H865" i="5"/>
  <c r="H838" i="5"/>
  <c r="H811" i="5"/>
  <c r="H783" i="5"/>
  <c r="H755" i="5"/>
  <c r="H728" i="5"/>
  <c r="H700" i="5"/>
  <c r="H673" i="5"/>
  <c r="H646" i="5"/>
  <c r="H619" i="5"/>
  <c r="H588" i="5"/>
  <c r="H558" i="5"/>
  <c r="H528" i="5"/>
  <c r="H497" i="5"/>
  <c r="H467" i="5"/>
  <c r="H436" i="5"/>
  <c r="H407" i="5"/>
  <c r="H376" i="5"/>
  <c r="H346" i="5"/>
  <c r="H315" i="5"/>
  <c r="H286" i="5"/>
  <c r="H255" i="5"/>
  <c r="H225" i="5"/>
  <c r="H194" i="5"/>
  <c r="H165" i="5"/>
  <c r="H133" i="5"/>
  <c r="H104" i="5"/>
  <c r="H73" i="5"/>
  <c r="H44" i="5"/>
  <c r="G853" i="5"/>
  <c r="G709" i="5"/>
  <c r="G541" i="5"/>
  <c r="G80" i="5"/>
  <c r="G828" i="5"/>
  <c r="G875" i="5"/>
  <c r="G851" i="5"/>
  <c r="G827" i="5"/>
  <c r="G803" i="5"/>
  <c r="G779" i="5"/>
  <c r="G755" i="5"/>
  <c r="G731" i="5"/>
  <c r="G707" i="5"/>
  <c r="G683" i="5"/>
  <c r="G659" i="5"/>
  <c r="G635" i="5"/>
  <c r="G611" i="5"/>
  <c r="G587" i="5"/>
  <c r="G563" i="5"/>
  <c r="G539" i="5"/>
  <c r="G515" i="5"/>
  <c r="G491" i="5"/>
  <c r="G467" i="5"/>
  <c r="G443" i="5"/>
  <c r="G419" i="5"/>
  <c r="G395" i="5"/>
  <c r="G371" i="5"/>
  <c r="G347" i="5"/>
  <c r="G322" i="5"/>
  <c r="G296" i="5"/>
  <c r="G270" i="5"/>
  <c r="G243" i="5"/>
  <c r="G215" i="5"/>
  <c r="G188" i="5"/>
  <c r="G161" i="5"/>
  <c r="G133" i="5"/>
  <c r="G105" i="5"/>
  <c r="G78" i="5"/>
  <c r="G51" i="5"/>
  <c r="G23" i="5"/>
  <c r="H864" i="5"/>
  <c r="H837" i="5"/>
  <c r="H809" i="5"/>
  <c r="H781" i="5"/>
  <c r="H754" i="5"/>
  <c r="H727" i="5"/>
  <c r="H699" i="5"/>
  <c r="H672" i="5"/>
  <c r="H645" i="5"/>
  <c r="H617" i="5"/>
  <c r="H587" i="5"/>
  <c r="H556" i="5"/>
  <c r="H527" i="5"/>
  <c r="H496" i="5"/>
  <c r="H466" i="5"/>
  <c r="H435" i="5"/>
  <c r="H406" i="5"/>
  <c r="H375" i="5"/>
  <c r="H345" i="5"/>
  <c r="H314" i="5"/>
  <c r="H285" i="5"/>
  <c r="H253" i="5"/>
  <c r="H224" i="5"/>
  <c r="H193" i="5"/>
  <c r="H164" i="5"/>
  <c r="H132" i="5"/>
  <c r="H102" i="5"/>
  <c r="H72" i="5"/>
  <c r="H41" i="5"/>
  <c r="G877" i="5"/>
  <c r="G733" i="5"/>
  <c r="G517" i="5"/>
  <c r="G804" i="5"/>
  <c r="G874" i="5"/>
  <c r="G850" i="5"/>
  <c r="G826" i="5"/>
  <c r="G802" i="5"/>
  <c r="G778" i="5"/>
  <c r="G754" i="5"/>
  <c r="G730" i="5"/>
  <c r="G706" i="5"/>
  <c r="G682" i="5"/>
  <c r="G658" i="5"/>
  <c r="G634" i="5"/>
  <c r="G610" i="5"/>
  <c r="G586" i="5"/>
  <c r="G562" i="5"/>
  <c r="G538" i="5"/>
  <c r="G514" i="5"/>
  <c r="G490" i="5"/>
  <c r="G466" i="5"/>
  <c r="G442" i="5"/>
  <c r="G418" i="5"/>
  <c r="G394" i="5"/>
  <c r="G370" i="5"/>
  <c r="G346" i="5"/>
  <c r="G321" i="5"/>
  <c r="G295" i="5"/>
  <c r="G269" i="5"/>
  <c r="G242" i="5"/>
  <c r="G214" i="5"/>
  <c r="G187" i="5"/>
  <c r="G160" i="5"/>
  <c r="G132" i="5"/>
  <c r="G104" i="5"/>
  <c r="G77" i="5"/>
  <c r="G50" i="5"/>
  <c r="G22" i="5"/>
  <c r="H863" i="5"/>
  <c r="H836" i="5"/>
  <c r="H808" i="5"/>
  <c r="H780" i="5"/>
  <c r="H753" i="5"/>
  <c r="H726" i="5"/>
  <c r="H698" i="5"/>
  <c r="H671" i="5"/>
  <c r="H644" i="5"/>
  <c r="H616" i="5"/>
  <c r="H586" i="5"/>
  <c r="H555" i="5"/>
  <c r="H526" i="5"/>
  <c r="H495" i="5"/>
  <c r="H465" i="5"/>
  <c r="H434" i="5"/>
  <c r="H405" i="5"/>
  <c r="H373" i="5"/>
  <c r="H344" i="5"/>
  <c r="H313" i="5"/>
  <c r="H284" i="5"/>
  <c r="H252" i="5"/>
  <c r="H222" i="5"/>
  <c r="H192" i="5"/>
  <c r="H161" i="5"/>
  <c r="H131" i="5"/>
  <c r="H100" i="5"/>
  <c r="H71" i="5"/>
  <c r="H40" i="5"/>
  <c r="G781" i="5"/>
  <c r="G685" i="5"/>
  <c r="G613" i="5"/>
  <c r="G469" i="5"/>
  <c r="H866" i="5"/>
  <c r="G780" i="5"/>
  <c r="G873" i="5"/>
  <c r="G849" i="5"/>
  <c r="G825" i="5"/>
  <c r="G801" i="5"/>
  <c r="G777" i="5"/>
  <c r="G753" i="5"/>
  <c r="G729" i="5"/>
  <c r="G705" i="5"/>
  <c r="G681" i="5"/>
  <c r="G657" i="5"/>
  <c r="G633" i="5"/>
  <c r="G609" i="5"/>
  <c r="G585" i="5"/>
  <c r="G561" i="5"/>
  <c r="G537" i="5"/>
  <c r="G513" i="5"/>
  <c r="G489" i="5"/>
  <c r="G465" i="5"/>
  <c r="G441" i="5"/>
  <c r="G417" i="5"/>
  <c r="G393" i="5"/>
  <c r="G369" i="5"/>
  <c r="G345" i="5"/>
  <c r="G320" i="5"/>
  <c r="G294" i="5"/>
  <c r="G268" i="5"/>
  <c r="G240" i="5"/>
  <c r="G213" i="5"/>
  <c r="G186" i="5"/>
  <c r="G159" i="5"/>
  <c r="G131" i="5"/>
  <c r="G103" i="5"/>
  <c r="G76" i="5"/>
  <c r="G48" i="5"/>
  <c r="H889" i="5"/>
  <c r="H862" i="5"/>
  <c r="H835" i="5"/>
  <c r="H807" i="5"/>
  <c r="H779" i="5"/>
  <c r="H752" i="5"/>
  <c r="H724" i="5"/>
  <c r="H697" i="5"/>
  <c r="H670" i="5"/>
  <c r="H643" i="5"/>
  <c r="H615" i="5"/>
  <c r="H585" i="5"/>
  <c r="H554" i="5"/>
  <c r="H525" i="5"/>
  <c r="H493" i="5"/>
  <c r="H464" i="5"/>
  <c r="H433" i="5"/>
  <c r="H404" i="5"/>
  <c r="H372" i="5"/>
  <c r="H342" i="5"/>
  <c r="H312" i="5"/>
  <c r="H281" i="5"/>
  <c r="H251" i="5"/>
  <c r="H220" i="5"/>
  <c r="H191" i="5"/>
  <c r="H160" i="5"/>
  <c r="H130" i="5"/>
  <c r="H99" i="5"/>
  <c r="H70" i="5"/>
  <c r="H39" i="5"/>
  <c r="G776" i="5"/>
  <c r="G680" i="5"/>
  <c r="G656" i="5"/>
  <c r="G632" i="5"/>
  <c r="G608" i="5"/>
  <c r="G584" i="5"/>
  <c r="G560" i="5"/>
  <c r="G536" i="5"/>
  <c r="G512" i="5"/>
  <c r="G488" i="5"/>
  <c r="G440" i="5"/>
  <c r="G416" i="5"/>
  <c r="G392" i="5"/>
  <c r="G368" i="5"/>
  <c r="G344" i="5"/>
  <c r="G319" i="5"/>
  <c r="G293" i="5"/>
  <c r="G267" i="5"/>
  <c r="G239" i="5"/>
  <c r="G212" i="5"/>
  <c r="G185" i="5"/>
  <c r="G157" i="5"/>
  <c r="G129" i="5"/>
  <c r="G102" i="5"/>
  <c r="G75" i="5"/>
  <c r="G47" i="5"/>
  <c r="H888" i="5"/>
  <c r="H861" i="5"/>
  <c r="H833" i="5"/>
  <c r="H805" i="5"/>
  <c r="H778" i="5"/>
  <c r="H751" i="5"/>
  <c r="H723" i="5"/>
  <c r="H696" i="5"/>
  <c r="H669" i="5"/>
  <c r="H641" i="5"/>
  <c r="H613" i="5"/>
  <c r="H584" i="5"/>
  <c r="H553" i="5"/>
  <c r="H524" i="5"/>
  <c r="H492" i="5"/>
  <c r="H462" i="5"/>
  <c r="H432" i="5"/>
  <c r="H401" i="5"/>
  <c r="H371" i="5"/>
  <c r="H340" i="5"/>
  <c r="H311" i="5"/>
  <c r="H280" i="5"/>
  <c r="H250" i="5"/>
  <c r="H219" i="5"/>
  <c r="H190" i="5"/>
  <c r="H159" i="5"/>
  <c r="H129" i="5"/>
  <c r="H98" i="5"/>
  <c r="H69" i="5"/>
  <c r="H37" i="5"/>
  <c r="G871" i="5"/>
  <c r="G751" i="5"/>
  <c r="G727" i="5"/>
  <c r="G703" i="5"/>
  <c r="G535" i="5"/>
  <c r="G318" i="5"/>
  <c r="G292" i="5"/>
  <c r="G266" i="5"/>
  <c r="G238" i="5"/>
  <c r="G211" i="5"/>
  <c r="G184" i="5"/>
  <c r="G156" i="5"/>
  <c r="G128" i="5"/>
  <c r="G101" i="5"/>
  <c r="G74" i="5"/>
  <c r="G46" i="5"/>
  <c r="H887" i="5"/>
  <c r="H860" i="5"/>
  <c r="H832" i="5"/>
  <c r="H804" i="5"/>
  <c r="H777" i="5"/>
  <c r="H750" i="5"/>
  <c r="H722" i="5"/>
  <c r="H695" i="5"/>
  <c r="H668" i="5"/>
  <c r="H640" i="5"/>
  <c r="H612" i="5"/>
  <c r="H582" i="5"/>
  <c r="H552" i="5"/>
  <c r="H521" i="5"/>
  <c r="H491" i="5"/>
  <c r="H460" i="5"/>
  <c r="H431" i="5"/>
  <c r="H400" i="5"/>
  <c r="H370" i="5"/>
  <c r="H339" i="5"/>
  <c r="H310" i="5"/>
  <c r="H279" i="5"/>
  <c r="H249" i="5"/>
  <c r="H218" i="5"/>
  <c r="H189" i="5"/>
  <c r="H157" i="5"/>
  <c r="H128" i="5"/>
  <c r="H97" i="5"/>
  <c r="H68" i="5"/>
  <c r="H36" i="5"/>
  <c r="G607" i="5"/>
  <c r="G822" i="5"/>
  <c r="G606" i="5"/>
  <c r="G582" i="5"/>
  <c r="G558" i="5"/>
  <c r="G534" i="5"/>
  <c r="G510" i="5"/>
  <c r="G486" i="5"/>
  <c r="G462" i="5"/>
  <c r="G438" i="5"/>
  <c r="G414" i="5"/>
  <c r="G390" i="5"/>
  <c r="G366" i="5"/>
  <c r="G342" i="5"/>
  <c r="G317" i="5"/>
  <c r="G291" i="5"/>
  <c r="G264" i="5"/>
  <c r="G237" i="5"/>
  <c r="G210" i="5"/>
  <c r="G183" i="5"/>
  <c r="G155" i="5"/>
  <c r="G127" i="5"/>
  <c r="G100" i="5"/>
  <c r="G72" i="5"/>
  <c r="G45" i="5"/>
  <c r="H886" i="5"/>
  <c r="H859" i="5"/>
  <c r="H831" i="5"/>
  <c r="H803" i="5"/>
  <c r="H776" i="5"/>
  <c r="H748" i="5"/>
  <c r="H721" i="5"/>
  <c r="H694" i="5"/>
  <c r="H667" i="5"/>
  <c r="H639" i="5"/>
  <c r="H611" i="5"/>
  <c r="H580" i="5"/>
  <c r="H551" i="5"/>
  <c r="H520" i="5"/>
  <c r="H490" i="5"/>
  <c r="H459" i="5"/>
  <c r="H430" i="5"/>
  <c r="H399" i="5"/>
  <c r="H369" i="5"/>
  <c r="H338" i="5"/>
  <c r="H309" i="5"/>
  <c r="H277" i="5"/>
  <c r="H248" i="5"/>
  <c r="H217" i="5"/>
  <c r="H188" i="5"/>
  <c r="H156" i="5"/>
  <c r="H126" i="5"/>
  <c r="H96" i="5"/>
  <c r="H65" i="5"/>
  <c r="H35" i="5"/>
  <c r="G655" i="5"/>
  <c r="G798" i="5"/>
  <c r="G869" i="5"/>
  <c r="G845" i="5"/>
  <c r="G821" i="5"/>
  <c r="G797" i="5"/>
  <c r="G773" i="5"/>
  <c r="G749" i="5"/>
  <c r="G725" i="5"/>
  <c r="G701" i="5"/>
  <c r="G677" i="5"/>
  <c r="G653" i="5"/>
  <c r="G629" i="5"/>
  <c r="G605" i="5"/>
  <c r="G581" i="5"/>
  <c r="G557" i="5"/>
  <c r="G533" i="5"/>
  <c r="G509" i="5"/>
  <c r="G485" i="5"/>
  <c r="G461" i="5"/>
  <c r="G437" i="5"/>
  <c r="G413" i="5"/>
  <c r="G389" i="5"/>
  <c r="G365" i="5"/>
  <c r="G341" i="5"/>
  <c r="G316" i="5"/>
  <c r="G290" i="5"/>
  <c r="G263" i="5"/>
  <c r="G236" i="5"/>
  <c r="G209" i="5"/>
  <c r="G181" i="5"/>
  <c r="G153" i="5"/>
  <c r="G126" i="5"/>
  <c r="G99" i="5"/>
  <c r="G71" i="5"/>
  <c r="G44" i="5"/>
  <c r="H885" i="5"/>
  <c r="H857" i="5"/>
  <c r="H829" i="5"/>
  <c r="H802" i="5"/>
  <c r="H775" i="5"/>
  <c r="H747" i="5"/>
  <c r="H693" i="5"/>
  <c r="H665" i="5"/>
  <c r="H637" i="5"/>
  <c r="H610" i="5"/>
  <c r="H579" i="5"/>
  <c r="H550" i="5"/>
  <c r="H519" i="5"/>
  <c r="H489" i="5"/>
  <c r="H458" i="5"/>
  <c r="H429" i="5"/>
  <c r="H397" i="5"/>
  <c r="H368" i="5"/>
  <c r="H337" i="5"/>
  <c r="H308" i="5"/>
  <c r="H276" i="5"/>
  <c r="H246" i="5"/>
  <c r="H216" i="5"/>
  <c r="H185" i="5"/>
  <c r="H155" i="5"/>
  <c r="H124" i="5"/>
  <c r="H95" i="5"/>
  <c r="H64" i="5"/>
  <c r="H34" i="5"/>
  <c r="G679" i="5"/>
  <c r="G774" i="5"/>
  <c r="G868" i="5"/>
  <c r="G844" i="5"/>
  <c r="G820" i="5"/>
  <c r="G796" i="5"/>
  <c r="G772" i="5"/>
  <c r="G748" i="5"/>
  <c r="G724" i="5"/>
  <c r="G700" i="5"/>
  <c r="G676" i="5"/>
  <c r="G652" i="5"/>
  <c r="G628" i="5"/>
  <c r="G604" i="5"/>
  <c r="G580" i="5"/>
  <c r="G556" i="5"/>
  <c r="G532" i="5"/>
  <c r="G508" i="5"/>
  <c r="G484" i="5"/>
  <c r="G460" i="5"/>
  <c r="G436" i="5"/>
  <c r="G412" i="5"/>
  <c r="G388" i="5"/>
  <c r="G364" i="5"/>
  <c r="G340" i="5"/>
  <c r="G315" i="5"/>
  <c r="G288" i="5"/>
  <c r="G262" i="5"/>
  <c r="G235" i="5"/>
  <c r="G208" i="5"/>
  <c r="G180" i="5"/>
  <c r="G152" i="5"/>
  <c r="G125" i="5"/>
  <c r="G98" i="5"/>
  <c r="G70" i="5"/>
  <c r="G43" i="5"/>
  <c r="H884" i="5"/>
  <c r="H856" i="5"/>
  <c r="H828" i="5"/>
  <c r="H801" i="5"/>
  <c r="H774" i="5"/>
  <c r="H746" i="5"/>
  <c r="H719" i="5"/>
  <c r="H692" i="5"/>
  <c r="H664" i="5"/>
  <c r="H636" i="5"/>
  <c r="H609" i="5"/>
  <c r="H578" i="5"/>
  <c r="H549" i="5"/>
  <c r="H517" i="5"/>
  <c r="H488" i="5"/>
  <c r="H457" i="5"/>
  <c r="H428" i="5"/>
  <c r="H396" i="5"/>
  <c r="H366" i="5"/>
  <c r="H336" i="5"/>
  <c r="H305" i="5"/>
  <c r="H275" i="5"/>
  <c r="H244" i="5"/>
  <c r="H215" i="5"/>
  <c r="H184" i="5"/>
  <c r="H154" i="5"/>
  <c r="H123" i="5"/>
  <c r="H94" i="5"/>
  <c r="H63" i="5"/>
  <c r="H33" i="5"/>
  <c r="G559" i="5"/>
  <c r="G867" i="5"/>
  <c r="G843" i="5"/>
  <c r="G819" i="5"/>
  <c r="G795" i="5"/>
  <c r="G771" i="5"/>
  <c r="G747" i="5"/>
  <c r="G723" i="5"/>
  <c r="G699" i="5"/>
  <c r="G675" i="5"/>
  <c r="G651" i="5"/>
  <c r="G627" i="5"/>
  <c r="G603" i="5"/>
  <c r="G579" i="5"/>
  <c r="G555" i="5"/>
  <c r="G531" i="5"/>
  <c r="G507" i="5"/>
  <c r="G483" i="5"/>
  <c r="G459" i="5"/>
  <c r="G435" i="5"/>
  <c r="G411" i="5"/>
  <c r="G387" i="5"/>
  <c r="G363" i="5"/>
  <c r="G339" i="5"/>
  <c r="G314" i="5"/>
  <c r="G287" i="5"/>
  <c r="G261" i="5"/>
  <c r="G234" i="5"/>
  <c r="G207" i="5"/>
  <c r="G179" i="5"/>
  <c r="G151" i="5"/>
  <c r="G124" i="5"/>
  <c r="G96" i="5"/>
  <c r="G69" i="5"/>
  <c r="G42" i="5"/>
  <c r="H883" i="5"/>
  <c r="H855" i="5"/>
  <c r="H827" i="5"/>
  <c r="H800" i="5"/>
  <c r="H772" i="5"/>
  <c r="H745" i="5"/>
  <c r="H718" i="5"/>
  <c r="H691" i="5"/>
  <c r="H663" i="5"/>
  <c r="H635" i="5"/>
  <c r="H608" i="5"/>
  <c r="H577" i="5"/>
  <c r="H548" i="5"/>
  <c r="H516" i="5"/>
  <c r="H486" i="5"/>
  <c r="H456" i="5"/>
  <c r="H425" i="5"/>
  <c r="H395" i="5"/>
  <c r="H364" i="5"/>
  <c r="H335" i="5"/>
  <c r="H304" i="5"/>
  <c r="H274" i="5"/>
  <c r="H243" i="5"/>
  <c r="H214" i="5"/>
  <c r="H183" i="5"/>
  <c r="H153" i="5"/>
  <c r="H122" i="5"/>
  <c r="H93" i="5"/>
  <c r="H61" i="5"/>
  <c r="H32" i="5"/>
  <c r="G631" i="5"/>
  <c r="G866" i="5"/>
  <c r="G842" i="5"/>
  <c r="G818" i="5"/>
  <c r="G794" i="5"/>
  <c r="G770" i="5"/>
  <c r="G746" i="5"/>
  <c r="G722" i="5"/>
  <c r="G698" i="5"/>
  <c r="G674" i="5"/>
  <c r="G650" i="5"/>
  <c r="G626" i="5"/>
  <c r="G602" i="5"/>
  <c r="G578" i="5"/>
  <c r="G554" i="5"/>
  <c r="G530" i="5"/>
  <c r="G506" i="5"/>
  <c r="G482" i="5"/>
  <c r="G458" i="5"/>
  <c r="G434" i="5"/>
  <c r="G410" i="5"/>
  <c r="G386" i="5"/>
  <c r="G362" i="5"/>
  <c r="G338" i="5"/>
  <c r="G312" i="5"/>
  <c r="G286" i="5"/>
  <c r="G260" i="5"/>
  <c r="G233" i="5"/>
  <c r="G205" i="5"/>
  <c r="G177" i="5"/>
  <c r="G150" i="5"/>
  <c r="G123" i="5"/>
  <c r="G95" i="5"/>
  <c r="G68" i="5"/>
  <c r="G41" i="5"/>
  <c r="H881" i="5"/>
  <c r="H853" i="5"/>
  <c r="H826" i="5"/>
  <c r="H799" i="5"/>
  <c r="H771" i="5"/>
  <c r="H744" i="5"/>
  <c r="H717" i="5"/>
  <c r="H689" i="5"/>
  <c r="H661" i="5"/>
  <c r="H634" i="5"/>
  <c r="H606" i="5"/>
  <c r="H576" i="5"/>
  <c r="H545" i="5"/>
  <c r="H515" i="5"/>
  <c r="H484" i="5"/>
  <c r="H455" i="5"/>
  <c r="H424" i="5"/>
  <c r="H394" i="5"/>
  <c r="H363" i="5"/>
  <c r="H334" i="5"/>
  <c r="H303" i="5"/>
  <c r="H273" i="5"/>
  <c r="H242" i="5"/>
  <c r="H213" i="5"/>
  <c r="H181" i="5"/>
  <c r="H152" i="5"/>
  <c r="H121" i="5"/>
  <c r="H92" i="5"/>
  <c r="H60" i="5"/>
  <c r="H30" i="5"/>
  <c r="G511" i="5"/>
  <c r="G750" i="5"/>
  <c r="G889" i="5"/>
  <c r="G865" i="5"/>
  <c r="G841" i="5"/>
  <c r="G817" i="5"/>
  <c r="G793" i="5"/>
  <c r="G769" i="5"/>
  <c r="G745" i="5"/>
  <c r="G721" i="5"/>
  <c r="G697" i="5"/>
  <c r="G673" i="5"/>
  <c r="G649" i="5"/>
  <c r="G625" i="5"/>
  <c r="G601" i="5"/>
  <c r="G577" i="5"/>
  <c r="G553" i="5"/>
  <c r="G529" i="5"/>
  <c r="G505" i="5"/>
  <c r="G481" i="5"/>
  <c r="G457" i="5"/>
  <c r="G433" i="5"/>
  <c r="G409" i="5"/>
  <c r="G385" i="5"/>
  <c r="G361" i="5"/>
  <c r="G337" i="5"/>
  <c r="G311" i="5"/>
  <c r="G285" i="5"/>
  <c r="G259" i="5"/>
  <c r="G232" i="5"/>
  <c r="G204" i="5"/>
  <c r="G176" i="5"/>
  <c r="G149" i="5"/>
  <c r="G122" i="5"/>
  <c r="G94" i="5"/>
  <c r="G67" i="5"/>
  <c r="G40" i="5"/>
  <c r="H880" i="5"/>
  <c r="H852" i="5"/>
  <c r="H825" i="5"/>
  <c r="H798" i="5"/>
  <c r="H770" i="5"/>
  <c r="H743" i="5"/>
  <c r="H716" i="5"/>
  <c r="H688" i="5"/>
  <c r="H660" i="5"/>
  <c r="H633" i="5"/>
  <c r="H604" i="5"/>
  <c r="H575" i="5"/>
  <c r="H544" i="5"/>
  <c r="H514" i="5"/>
  <c r="H483" i="5"/>
  <c r="H454" i="5"/>
  <c r="H423" i="5"/>
  <c r="H393" i="5"/>
  <c r="H362" i="5"/>
  <c r="H333" i="5"/>
  <c r="H301" i="5"/>
  <c r="H272" i="5"/>
  <c r="H241" i="5"/>
  <c r="H212" i="5"/>
  <c r="H180" i="5"/>
  <c r="H150" i="5"/>
  <c r="H120" i="5"/>
  <c r="H89" i="5"/>
  <c r="H59" i="5"/>
  <c r="H28" i="5"/>
  <c r="G824" i="5"/>
  <c r="G775" i="5"/>
  <c r="G415" i="5"/>
  <c r="G702" i="5"/>
  <c r="G888" i="5"/>
  <c r="G864" i="5"/>
  <c r="G840" i="5"/>
  <c r="G816" i="5"/>
  <c r="G792" i="5"/>
  <c r="G768" i="5"/>
  <c r="G744" i="5"/>
  <c r="G720" i="5"/>
  <c r="G696" i="5"/>
  <c r="G672" i="5"/>
  <c r="G648" i="5"/>
  <c r="G624" i="5"/>
  <c r="G600" i="5"/>
  <c r="G576" i="5"/>
  <c r="G552" i="5"/>
  <c r="G528" i="5"/>
  <c r="G504" i="5"/>
  <c r="G480" i="5"/>
  <c r="G456" i="5"/>
  <c r="G432" i="5"/>
  <c r="G408" i="5"/>
  <c r="G384" i="5"/>
  <c r="G360" i="5"/>
  <c r="G336" i="5"/>
  <c r="G310" i="5"/>
  <c r="G284" i="5"/>
  <c r="G258" i="5"/>
  <c r="G231" i="5"/>
  <c r="G203" i="5"/>
  <c r="G175" i="5"/>
  <c r="G148" i="5"/>
  <c r="G120" i="5"/>
  <c r="G93" i="5"/>
  <c r="G66" i="5"/>
  <c r="G39" i="5"/>
  <c r="H879" i="5"/>
  <c r="H851" i="5"/>
  <c r="H824" i="5"/>
  <c r="H796" i="5"/>
  <c r="H769" i="5"/>
  <c r="H742" i="5"/>
  <c r="H715" i="5"/>
  <c r="H687" i="5"/>
  <c r="H659" i="5"/>
  <c r="H632" i="5"/>
  <c r="H603" i="5"/>
  <c r="H574" i="5"/>
  <c r="H543" i="5"/>
  <c r="H513" i="5"/>
  <c r="H482" i="5"/>
  <c r="H453" i="5"/>
  <c r="H421" i="5"/>
  <c r="H392" i="5"/>
  <c r="H361" i="5"/>
  <c r="H332" i="5"/>
  <c r="H300" i="5"/>
  <c r="H270" i="5"/>
  <c r="H240" i="5"/>
  <c r="H209" i="5"/>
  <c r="H179" i="5"/>
  <c r="H148" i="5"/>
  <c r="H119" i="5"/>
  <c r="H88" i="5"/>
  <c r="H58" i="5"/>
  <c r="H27" i="5"/>
  <c r="G887" i="5"/>
  <c r="G863" i="5"/>
  <c r="G839" i="5"/>
  <c r="G815" i="5"/>
  <c r="G791" i="5"/>
  <c r="G767" i="5"/>
  <c r="G743" i="5"/>
  <c r="G719" i="5"/>
  <c r="G695" i="5"/>
  <c r="G671" i="5"/>
  <c r="G647" i="5"/>
  <c r="G623" i="5"/>
  <c r="G599" i="5"/>
  <c r="G575" i="5"/>
  <c r="G551" i="5"/>
  <c r="G527" i="5"/>
  <c r="G503" i="5"/>
  <c r="G479" i="5"/>
  <c r="G455" i="5"/>
  <c r="G431" i="5"/>
  <c r="G407" i="5"/>
  <c r="G383" i="5"/>
  <c r="G359" i="5"/>
  <c r="G335" i="5"/>
  <c r="G309" i="5"/>
  <c r="G283" i="5"/>
  <c r="G257" i="5"/>
  <c r="G229" i="5"/>
  <c r="G201" i="5"/>
  <c r="G174" i="5"/>
  <c r="G147" i="5"/>
  <c r="G119" i="5"/>
  <c r="G92" i="5"/>
  <c r="G65" i="5"/>
  <c r="G37" i="5"/>
  <c r="H877" i="5"/>
  <c r="H850" i="5"/>
  <c r="H823" i="5"/>
  <c r="H795" i="5"/>
  <c r="H768" i="5"/>
  <c r="H741" i="5"/>
  <c r="H713" i="5"/>
  <c r="H685" i="5"/>
  <c r="H658" i="5"/>
  <c r="H631" i="5"/>
  <c r="H602" i="5"/>
  <c r="H573" i="5"/>
  <c r="H541" i="5"/>
  <c r="H512" i="5"/>
  <c r="H481" i="5"/>
  <c r="H452" i="5"/>
  <c r="H420" i="5"/>
  <c r="H390" i="5"/>
  <c r="H360" i="5"/>
  <c r="H329" i="5"/>
  <c r="H299" i="5"/>
  <c r="H268" i="5"/>
  <c r="H239" i="5"/>
  <c r="H208" i="5"/>
  <c r="H178" i="5"/>
  <c r="H147" i="5"/>
  <c r="H118" i="5"/>
  <c r="H87" i="5"/>
  <c r="H57" i="5"/>
  <c r="H26" i="5"/>
  <c r="G823" i="5"/>
  <c r="G343" i="5"/>
  <c r="G886" i="5"/>
  <c r="G862" i="5"/>
  <c r="G838" i="5"/>
  <c r="G814" i="5"/>
  <c r="G790" i="5"/>
  <c r="G766" i="5"/>
  <c r="G742" i="5"/>
  <c r="G718" i="5"/>
  <c r="G694" i="5"/>
  <c r="G670" i="5"/>
  <c r="G646" i="5"/>
  <c r="G622" i="5"/>
  <c r="G598" i="5"/>
  <c r="G574" i="5"/>
  <c r="G550" i="5"/>
  <c r="G526" i="5"/>
  <c r="G502" i="5"/>
  <c r="G478" i="5"/>
  <c r="G454" i="5"/>
  <c r="G430" i="5"/>
  <c r="G406" i="5"/>
  <c r="G382" i="5"/>
  <c r="G358" i="5"/>
  <c r="G334" i="5"/>
  <c r="G308" i="5"/>
  <c r="G282" i="5"/>
  <c r="G256" i="5"/>
  <c r="G228" i="5"/>
  <c r="G200" i="5"/>
  <c r="G173" i="5"/>
  <c r="G146" i="5"/>
  <c r="G118" i="5"/>
  <c r="G91" i="5"/>
  <c r="G64" i="5"/>
  <c r="G36" i="5"/>
  <c r="H876" i="5"/>
  <c r="H849" i="5"/>
  <c r="H822" i="5"/>
  <c r="H794" i="5"/>
  <c r="H767" i="5"/>
  <c r="H740" i="5"/>
  <c r="H712" i="5"/>
  <c r="H684" i="5"/>
  <c r="H657" i="5"/>
  <c r="H630" i="5"/>
  <c r="H601" i="5"/>
  <c r="H572" i="5"/>
  <c r="H540" i="5"/>
  <c r="H510" i="5"/>
  <c r="H480" i="5"/>
  <c r="H449" i="5"/>
  <c r="H419" i="5"/>
  <c r="H388" i="5"/>
  <c r="H359" i="5"/>
  <c r="H328" i="5"/>
  <c r="H298" i="5"/>
  <c r="H267" i="5"/>
  <c r="H238" i="5"/>
  <c r="H207" i="5"/>
  <c r="H177" i="5"/>
  <c r="H146" i="5"/>
  <c r="H117" i="5"/>
  <c r="H85" i="5"/>
  <c r="H56" i="5"/>
  <c r="G872" i="5"/>
  <c r="G367" i="5"/>
  <c r="G678" i="5"/>
  <c r="D22" i="5"/>
  <c r="D46" i="5"/>
  <c r="D70" i="5"/>
  <c r="D94" i="5"/>
  <c r="D118" i="5"/>
  <c r="D142" i="5"/>
  <c r="D166" i="5"/>
  <c r="D190" i="5"/>
  <c r="D214" i="5"/>
  <c r="D238" i="5"/>
  <c r="D262" i="5"/>
  <c r="D286" i="5"/>
  <c r="D310" i="5"/>
  <c r="D334" i="5"/>
  <c r="D358" i="5"/>
  <c r="D382" i="5"/>
  <c r="D406" i="5"/>
  <c r="D430" i="5"/>
  <c r="D454" i="5"/>
  <c r="D478" i="5"/>
  <c r="D502" i="5"/>
  <c r="D526" i="5"/>
  <c r="D550" i="5"/>
  <c r="D574" i="5"/>
  <c r="D598" i="5"/>
  <c r="D622" i="5"/>
  <c r="D646" i="5"/>
  <c r="D670" i="5"/>
  <c r="D694" i="5"/>
  <c r="D718" i="5"/>
  <c r="D742" i="5"/>
  <c r="D766" i="5"/>
  <c r="D790" i="5"/>
  <c r="D814" i="5"/>
  <c r="D838" i="5"/>
  <c r="D862" i="5"/>
  <c r="D886" i="5"/>
  <c r="D23" i="5"/>
  <c r="D47" i="5"/>
  <c r="D71" i="5"/>
  <c r="D95" i="5"/>
  <c r="D119" i="5"/>
  <c r="D143" i="5"/>
  <c r="D167" i="5"/>
  <c r="D191" i="5"/>
  <c r="D215" i="5"/>
  <c r="D239" i="5"/>
  <c r="D263" i="5"/>
  <c r="D287" i="5"/>
  <c r="D311" i="5"/>
  <c r="D335" i="5"/>
  <c r="D359" i="5"/>
  <c r="D383" i="5"/>
  <c r="D407" i="5"/>
  <c r="D431" i="5"/>
  <c r="D455" i="5"/>
  <c r="D479" i="5"/>
  <c r="D503" i="5"/>
  <c r="D527" i="5"/>
  <c r="D551" i="5"/>
  <c r="D575" i="5"/>
  <c r="D599" i="5"/>
  <c r="D623" i="5"/>
  <c r="D647" i="5"/>
  <c r="D671" i="5"/>
  <c r="D695" i="5"/>
  <c r="D719" i="5"/>
  <c r="D743" i="5"/>
  <c r="D767" i="5"/>
  <c r="D791" i="5"/>
  <c r="D815" i="5"/>
  <c r="D839" i="5"/>
  <c r="D863" i="5"/>
  <c r="D887" i="5"/>
  <c r="H38" i="5"/>
  <c r="H62" i="5"/>
  <c r="H86" i="5"/>
  <c r="H110" i="5"/>
  <c r="H134" i="5"/>
  <c r="H158" i="5"/>
  <c r="H182" i="5"/>
  <c r="H206" i="5"/>
  <c r="H230" i="5"/>
  <c r="H254" i="5"/>
  <c r="H278" i="5"/>
  <c r="H302" i="5"/>
  <c r="H326" i="5"/>
  <c r="H350" i="5"/>
  <c r="H374" i="5"/>
  <c r="H398" i="5"/>
  <c r="H422" i="5"/>
  <c r="H446" i="5"/>
  <c r="H470" i="5"/>
  <c r="H494" i="5"/>
  <c r="H518" i="5"/>
  <c r="H542" i="5"/>
  <c r="H566" i="5"/>
  <c r="H590" i="5"/>
  <c r="H614" i="5"/>
  <c r="H638" i="5"/>
  <c r="H662" i="5"/>
  <c r="H686" i="5"/>
  <c r="H710" i="5"/>
  <c r="H734" i="5"/>
  <c r="H758" i="5"/>
  <c r="H782" i="5"/>
  <c r="H806" i="5"/>
  <c r="H830" i="5"/>
  <c r="H854" i="5"/>
  <c r="H878" i="5"/>
  <c r="G34" i="5"/>
  <c r="G58" i="5"/>
  <c r="G82" i="5"/>
  <c r="G106" i="5"/>
  <c r="G130" i="5"/>
  <c r="G154" i="5"/>
  <c r="G178" i="5"/>
  <c r="G202" i="5"/>
  <c r="G226" i="5"/>
  <c r="G250" i="5"/>
  <c r="D24" i="5"/>
  <c r="D48" i="5"/>
  <c r="D72" i="5"/>
  <c r="D96" i="5"/>
  <c r="D120" i="5"/>
  <c r="D144" i="5"/>
  <c r="D168" i="5"/>
  <c r="D192" i="5"/>
  <c r="D216" i="5"/>
  <c r="D240" i="5"/>
  <c r="D264" i="5"/>
  <c r="D288" i="5"/>
  <c r="D312" i="5"/>
  <c r="D336" i="5"/>
  <c r="D360" i="5"/>
  <c r="D384" i="5"/>
  <c r="D408" i="5"/>
  <c r="D432" i="5"/>
  <c r="D456" i="5"/>
  <c r="D480" i="5"/>
  <c r="D504" i="5"/>
  <c r="D528" i="5"/>
  <c r="D552" i="5"/>
  <c r="D576" i="5"/>
  <c r="D600" i="5"/>
  <c r="D624" i="5"/>
  <c r="D648" i="5"/>
  <c r="D672" i="5"/>
  <c r="D696" i="5"/>
  <c r="D720" i="5"/>
  <c r="D744" i="5"/>
  <c r="D768" i="5"/>
  <c r="D792" i="5"/>
  <c r="D816" i="5"/>
  <c r="D840" i="5"/>
  <c r="D864" i="5"/>
  <c r="D888" i="5"/>
  <c r="D25" i="5"/>
  <c r="D49" i="5"/>
  <c r="D73" i="5"/>
  <c r="D97" i="5"/>
  <c r="D121" i="5"/>
  <c r="D145" i="5"/>
  <c r="D169" i="5"/>
  <c r="D193" i="5"/>
  <c r="D217" i="5"/>
  <c r="D241" i="5"/>
  <c r="D265" i="5"/>
  <c r="D289" i="5"/>
  <c r="D313" i="5"/>
  <c r="D337" i="5"/>
  <c r="D361" i="5"/>
  <c r="D385" i="5"/>
  <c r="D409" i="5"/>
  <c r="D433" i="5"/>
  <c r="D457" i="5"/>
  <c r="D481" i="5"/>
  <c r="D505" i="5"/>
  <c r="D529" i="5"/>
  <c r="D553" i="5"/>
  <c r="D577" i="5"/>
  <c r="D601" i="5"/>
  <c r="D625" i="5"/>
  <c r="D649" i="5"/>
  <c r="D673" i="5"/>
  <c r="D697" i="5"/>
  <c r="D721" i="5"/>
  <c r="D745" i="5"/>
  <c r="D769" i="5"/>
  <c r="D793" i="5"/>
  <c r="D817" i="5"/>
  <c r="D841" i="5"/>
  <c r="D865" i="5"/>
  <c r="D889" i="5"/>
  <c r="D26" i="5"/>
  <c r="D50" i="5"/>
  <c r="D74" i="5"/>
  <c r="D98" i="5"/>
  <c r="D122" i="5"/>
  <c r="D146" i="5"/>
  <c r="D170" i="5"/>
  <c r="D194" i="5"/>
  <c r="D218" i="5"/>
  <c r="D242" i="5"/>
  <c r="D266" i="5"/>
  <c r="D290" i="5"/>
  <c r="D314" i="5"/>
  <c r="D338" i="5"/>
  <c r="D362" i="5"/>
  <c r="D386" i="5"/>
  <c r="D410" i="5"/>
  <c r="D434" i="5"/>
  <c r="D458" i="5"/>
  <c r="D482" i="5"/>
  <c r="D506" i="5"/>
  <c r="D530" i="5"/>
  <c r="D554" i="5"/>
  <c r="D578" i="5"/>
  <c r="D602" i="5"/>
  <c r="D626" i="5"/>
  <c r="D650" i="5"/>
  <c r="D674" i="5"/>
  <c r="D698" i="5"/>
  <c r="D722" i="5"/>
  <c r="D746" i="5"/>
  <c r="D770" i="5"/>
  <c r="D794" i="5"/>
  <c r="D818" i="5"/>
  <c r="D842" i="5"/>
  <c r="D866" i="5"/>
  <c r="D21" i="5"/>
  <c r="D27" i="5"/>
  <c r="D51" i="5"/>
  <c r="D75" i="5"/>
  <c r="D99" i="5"/>
  <c r="D123" i="5"/>
  <c r="D147" i="5"/>
  <c r="D171" i="5"/>
  <c r="D195" i="5"/>
  <c r="D219" i="5"/>
  <c r="D243" i="5"/>
  <c r="D267" i="5"/>
  <c r="D291" i="5"/>
  <c r="D315" i="5"/>
  <c r="D339" i="5"/>
  <c r="D363" i="5"/>
  <c r="D387" i="5"/>
  <c r="D411" i="5"/>
  <c r="D435" i="5"/>
  <c r="D459" i="5"/>
  <c r="D483" i="5"/>
  <c r="D507" i="5"/>
  <c r="D531" i="5"/>
  <c r="D555" i="5"/>
  <c r="D579" i="5"/>
  <c r="D603" i="5"/>
  <c r="D627" i="5"/>
  <c r="D651" i="5"/>
  <c r="D675" i="5"/>
  <c r="D699" i="5"/>
  <c r="D723" i="5"/>
  <c r="D747" i="5"/>
  <c r="D771" i="5"/>
  <c r="D795" i="5"/>
  <c r="D819" i="5"/>
  <c r="D843" i="5"/>
  <c r="D867" i="5"/>
  <c r="H42" i="5"/>
  <c r="H66" i="5"/>
  <c r="H90" i="5"/>
  <c r="H114" i="5"/>
  <c r="H138" i="5"/>
  <c r="H162" i="5"/>
  <c r="H186" i="5"/>
  <c r="H210" i="5"/>
  <c r="H234" i="5"/>
  <c r="H258" i="5"/>
  <c r="H282" i="5"/>
  <c r="H306" i="5"/>
  <c r="H330" i="5"/>
  <c r="H354" i="5"/>
  <c r="H378" i="5"/>
  <c r="H402" i="5"/>
  <c r="H426" i="5"/>
  <c r="H450" i="5"/>
  <c r="H474" i="5"/>
  <c r="H498" i="5"/>
  <c r="H522" i="5"/>
  <c r="H546" i="5"/>
  <c r="H570" i="5"/>
  <c r="H594" i="5"/>
  <c r="H618" i="5"/>
  <c r="H642" i="5"/>
  <c r="H666" i="5"/>
  <c r="H690" i="5"/>
  <c r="H714" i="5"/>
  <c r="H738" i="5"/>
  <c r="H762" i="5"/>
  <c r="H786" i="5"/>
  <c r="H810" i="5"/>
  <c r="H834" i="5"/>
  <c r="H858" i="5"/>
  <c r="H882" i="5"/>
  <c r="G38" i="5"/>
  <c r="G62" i="5"/>
  <c r="G86" i="5"/>
  <c r="G110" i="5"/>
  <c r="G134" i="5"/>
  <c r="G158" i="5"/>
  <c r="G182" i="5"/>
  <c r="G206" i="5"/>
  <c r="G230" i="5"/>
  <c r="G254" i="5"/>
  <c r="G278" i="5"/>
  <c r="G302" i="5"/>
  <c r="G326" i="5"/>
  <c r="D28" i="5"/>
  <c r="D52" i="5"/>
  <c r="D76" i="5"/>
  <c r="D100" i="5"/>
  <c r="D124" i="5"/>
  <c r="D148" i="5"/>
  <c r="D172" i="5"/>
  <c r="D196" i="5"/>
  <c r="D220" i="5"/>
  <c r="D244" i="5"/>
  <c r="D268" i="5"/>
  <c r="D292" i="5"/>
  <c r="D316" i="5"/>
  <c r="D340" i="5"/>
  <c r="D364" i="5"/>
  <c r="D388" i="5"/>
  <c r="D412" i="5"/>
  <c r="D436" i="5"/>
  <c r="D460" i="5"/>
  <c r="D484" i="5"/>
  <c r="D508" i="5"/>
  <c r="D532" i="5"/>
  <c r="D556" i="5"/>
  <c r="D580" i="5"/>
  <c r="D604" i="5"/>
  <c r="D628" i="5"/>
  <c r="D652" i="5"/>
  <c r="D676" i="5"/>
  <c r="D700" i="5"/>
  <c r="D724" i="5"/>
  <c r="D748" i="5"/>
  <c r="D772" i="5"/>
  <c r="D796" i="5"/>
  <c r="D820" i="5"/>
  <c r="D844" i="5"/>
  <c r="D868" i="5"/>
  <c r="H43" i="5"/>
  <c r="H67" i="5"/>
  <c r="H91" i="5"/>
  <c r="H115" i="5"/>
  <c r="H139" i="5"/>
  <c r="H163" i="5"/>
  <c r="H187" i="5"/>
  <c r="H211" i="5"/>
  <c r="H235" i="5"/>
  <c r="H259" i="5"/>
  <c r="H283" i="5"/>
  <c r="H307" i="5"/>
  <c r="H331" i="5"/>
  <c r="H355" i="5"/>
  <c r="H379" i="5"/>
  <c r="H403" i="5"/>
  <c r="H427" i="5"/>
  <c r="H451" i="5"/>
  <c r="H475" i="5"/>
  <c r="H499" i="5"/>
  <c r="H523" i="5"/>
  <c r="H547" i="5"/>
  <c r="H571" i="5"/>
  <c r="H595" i="5"/>
  <c r="D29" i="5"/>
  <c r="D53" i="5"/>
  <c r="D77" i="5"/>
  <c r="D101" i="5"/>
  <c r="D125" i="5"/>
  <c r="D149" i="5"/>
  <c r="D173" i="5"/>
  <c r="D197" i="5"/>
  <c r="D221" i="5"/>
  <c r="D245" i="5"/>
  <c r="D269" i="5"/>
  <c r="D293" i="5"/>
  <c r="D317" i="5"/>
  <c r="D341" i="5"/>
  <c r="D365" i="5"/>
  <c r="D389" i="5"/>
  <c r="D413" i="5"/>
  <c r="D437" i="5"/>
  <c r="D461" i="5"/>
  <c r="D485" i="5"/>
  <c r="D509" i="5"/>
  <c r="D533" i="5"/>
  <c r="D557" i="5"/>
  <c r="D581" i="5"/>
  <c r="D605" i="5"/>
  <c r="D629" i="5"/>
  <c r="D653" i="5"/>
  <c r="D677" i="5"/>
  <c r="D701" i="5"/>
  <c r="D725" i="5"/>
  <c r="D749" i="5"/>
  <c r="D773" i="5"/>
  <c r="D797" i="5"/>
  <c r="D821" i="5"/>
  <c r="D845" i="5"/>
  <c r="D869" i="5"/>
  <c r="G21" i="5"/>
  <c r="D30" i="5"/>
  <c r="D54" i="5"/>
  <c r="D78" i="5"/>
  <c r="D102" i="5"/>
  <c r="D126" i="5"/>
  <c r="D150" i="5"/>
  <c r="D174" i="5"/>
  <c r="D198" i="5"/>
  <c r="D222" i="5"/>
  <c r="D246" i="5"/>
  <c r="D270" i="5"/>
  <c r="D294" i="5"/>
  <c r="D318" i="5"/>
  <c r="D342" i="5"/>
  <c r="D366" i="5"/>
  <c r="D390" i="5"/>
  <c r="D414" i="5"/>
  <c r="D438" i="5"/>
  <c r="D462" i="5"/>
  <c r="D486" i="5"/>
  <c r="D510" i="5"/>
  <c r="D534" i="5"/>
  <c r="D558" i="5"/>
  <c r="D582" i="5"/>
  <c r="D606" i="5"/>
  <c r="D630" i="5"/>
  <c r="D654" i="5"/>
  <c r="D678" i="5"/>
  <c r="D702" i="5"/>
  <c r="D726" i="5"/>
  <c r="D750" i="5"/>
  <c r="D774" i="5"/>
  <c r="D798" i="5"/>
  <c r="D822" i="5"/>
  <c r="D846" i="5"/>
  <c r="D870" i="5"/>
  <c r="H21" i="5"/>
  <c r="D31" i="5"/>
  <c r="D55" i="5"/>
  <c r="D79" i="5"/>
  <c r="D103" i="5"/>
  <c r="D127" i="5"/>
  <c r="D151" i="5"/>
  <c r="D175" i="5"/>
  <c r="D199" i="5"/>
  <c r="D223" i="5"/>
  <c r="D247" i="5"/>
  <c r="D271" i="5"/>
  <c r="D295" i="5"/>
  <c r="D319" i="5"/>
  <c r="D343" i="5"/>
  <c r="D367" i="5"/>
  <c r="D391" i="5"/>
  <c r="D415" i="5"/>
  <c r="D439" i="5"/>
  <c r="D463" i="5"/>
  <c r="D487" i="5"/>
  <c r="D511" i="5"/>
  <c r="D535" i="5"/>
  <c r="D559" i="5"/>
  <c r="D583" i="5"/>
  <c r="D607" i="5"/>
  <c r="D631" i="5"/>
  <c r="D655" i="5"/>
  <c r="D679" i="5"/>
  <c r="D703" i="5"/>
  <c r="D727" i="5"/>
  <c r="D751" i="5"/>
  <c r="D775" i="5"/>
  <c r="D799" i="5"/>
  <c r="D823" i="5"/>
  <c r="D847" i="5"/>
  <c r="D871" i="5"/>
  <c r="D32" i="5"/>
  <c r="D56" i="5"/>
  <c r="D80" i="5"/>
  <c r="D104" i="5"/>
  <c r="D128" i="5"/>
  <c r="D152" i="5"/>
  <c r="D176" i="5"/>
  <c r="D200" i="5"/>
  <c r="D224" i="5"/>
  <c r="D248" i="5"/>
  <c r="D272" i="5"/>
  <c r="D296" i="5"/>
  <c r="D320" i="5"/>
  <c r="D344" i="5"/>
  <c r="D368" i="5"/>
  <c r="D392" i="5"/>
  <c r="D416" i="5"/>
  <c r="D440" i="5"/>
  <c r="D464" i="5"/>
  <c r="D488" i="5"/>
  <c r="D512" i="5"/>
  <c r="D536" i="5"/>
  <c r="D560" i="5"/>
  <c r="D584" i="5"/>
  <c r="D608" i="5"/>
  <c r="D632" i="5"/>
  <c r="D656" i="5"/>
  <c r="D680" i="5"/>
  <c r="D704" i="5"/>
  <c r="D728" i="5"/>
  <c r="D752" i="5"/>
  <c r="D776" i="5"/>
  <c r="D800" i="5"/>
  <c r="D824" i="5"/>
  <c r="D848" i="5"/>
  <c r="D872" i="5"/>
  <c r="D33" i="5"/>
  <c r="D57" i="5"/>
  <c r="D81" i="5"/>
  <c r="D105" i="5"/>
  <c r="D129" i="5"/>
  <c r="D153" i="5"/>
  <c r="D177" i="5"/>
  <c r="D201" i="5"/>
  <c r="D225" i="5"/>
  <c r="D249" i="5"/>
  <c r="D273" i="5"/>
  <c r="D297" i="5"/>
  <c r="D321" i="5"/>
  <c r="D345" i="5"/>
  <c r="D369" i="5"/>
  <c r="D393" i="5"/>
  <c r="D417" i="5"/>
  <c r="D441" i="5"/>
  <c r="D465" i="5"/>
  <c r="D489" i="5"/>
  <c r="D513" i="5"/>
  <c r="D537" i="5"/>
  <c r="D561" i="5"/>
  <c r="D585" i="5"/>
  <c r="D609" i="5"/>
  <c r="D633" i="5"/>
  <c r="D657" i="5"/>
  <c r="D681" i="5"/>
  <c r="D705" i="5"/>
  <c r="D729" i="5"/>
  <c r="D753" i="5"/>
  <c r="D777" i="5"/>
  <c r="D801" i="5"/>
  <c r="D825" i="5"/>
  <c r="D849" i="5"/>
  <c r="D873" i="5"/>
  <c r="D34" i="5"/>
  <c r="D58" i="5"/>
  <c r="D82" i="5"/>
  <c r="D106" i="5"/>
  <c r="D130" i="5"/>
  <c r="D154" i="5"/>
  <c r="D178" i="5"/>
  <c r="D202" i="5"/>
  <c r="D226" i="5"/>
  <c r="D250" i="5"/>
  <c r="D274" i="5"/>
  <c r="D298" i="5"/>
  <c r="D322" i="5"/>
  <c r="D346" i="5"/>
  <c r="D370" i="5"/>
  <c r="D394" i="5"/>
  <c r="D418" i="5"/>
  <c r="D442" i="5"/>
  <c r="D466" i="5"/>
  <c r="D490" i="5"/>
  <c r="D514" i="5"/>
  <c r="D538" i="5"/>
  <c r="D562" i="5"/>
  <c r="D586" i="5"/>
  <c r="D610" i="5"/>
  <c r="D634" i="5"/>
  <c r="D658" i="5"/>
  <c r="D682" i="5"/>
  <c r="D706" i="5"/>
  <c r="D730" i="5"/>
  <c r="D754" i="5"/>
  <c r="D778" i="5"/>
  <c r="D802" i="5"/>
  <c r="D826" i="5"/>
  <c r="D850" i="5"/>
  <c r="D874" i="5"/>
  <c r="D35" i="5"/>
  <c r="D59" i="5"/>
  <c r="D83" i="5"/>
  <c r="D107" i="5"/>
  <c r="D131" i="5"/>
  <c r="D155" i="5"/>
  <c r="D179" i="5"/>
  <c r="D203" i="5"/>
  <c r="D227" i="5"/>
  <c r="D251" i="5"/>
  <c r="D275" i="5"/>
  <c r="D299" i="5"/>
  <c r="D323" i="5"/>
  <c r="D347" i="5"/>
  <c r="D371" i="5"/>
  <c r="D395" i="5"/>
  <c r="D419" i="5"/>
  <c r="D443" i="5"/>
  <c r="D467" i="5"/>
  <c r="D491" i="5"/>
  <c r="D515" i="5"/>
  <c r="D539" i="5"/>
  <c r="D563" i="5"/>
  <c r="D587" i="5"/>
  <c r="D611" i="5"/>
  <c r="D635" i="5"/>
  <c r="D659" i="5"/>
  <c r="D683" i="5"/>
  <c r="D707" i="5"/>
  <c r="D731" i="5"/>
  <c r="D755" i="5"/>
  <c r="D779" i="5"/>
  <c r="D803" i="5"/>
  <c r="D827" i="5"/>
  <c r="D851" i="5"/>
  <c r="D875" i="5"/>
  <c r="D36" i="5"/>
  <c r="D60" i="5"/>
  <c r="D84" i="5"/>
  <c r="D108" i="5"/>
  <c r="D132" i="5"/>
  <c r="D156" i="5"/>
  <c r="D180" i="5"/>
  <c r="D204" i="5"/>
  <c r="D228" i="5"/>
  <c r="D252" i="5"/>
  <c r="D276" i="5"/>
  <c r="D300" i="5"/>
  <c r="D324" i="5"/>
  <c r="D348" i="5"/>
  <c r="D372" i="5"/>
  <c r="D396" i="5"/>
  <c r="D420" i="5"/>
  <c r="D444" i="5"/>
  <c r="D468" i="5"/>
  <c r="D492" i="5"/>
  <c r="D516" i="5"/>
  <c r="D540" i="5"/>
  <c r="D564" i="5"/>
  <c r="D588" i="5"/>
  <c r="D612" i="5"/>
  <c r="D636" i="5"/>
  <c r="D660" i="5"/>
  <c r="D684" i="5"/>
  <c r="D708" i="5"/>
  <c r="D732" i="5"/>
  <c r="D756" i="5"/>
  <c r="D780" i="5"/>
  <c r="D804" i="5"/>
  <c r="D828" i="5"/>
  <c r="D852" i="5"/>
  <c r="D876" i="5"/>
  <c r="D37" i="5"/>
  <c r="D61" i="5"/>
  <c r="D85" i="5"/>
  <c r="D109" i="5"/>
  <c r="D133" i="5"/>
  <c r="D157" i="5"/>
  <c r="D181" i="5"/>
  <c r="D205" i="5"/>
  <c r="D229" i="5"/>
  <c r="D253" i="5"/>
  <c r="D277" i="5"/>
  <c r="D301" i="5"/>
  <c r="D325" i="5"/>
  <c r="D349" i="5"/>
  <c r="D373" i="5"/>
  <c r="D397" i="5"/>
  <c r="D421" i="5"/>
  <c r="D445" i="5"/>
  <c r="D469" i="5"/>
  <c r="D493" i="5"/>
  <c r="D517" i="5"/>
  <c r="D541" i="5"/>
  <c r="D565" i="5"/>
  <c r="D589" i="5"/>
  <c r="D613" i="5"/>
  <c r="D637" i="5"/>
  <c r="D661" i="5"/>
  <c r="D685" i="5"/>
  <c r="D709" i="5"/>
  <c r="D733" i="5"/>
  <c r="D757" i="5"/>
  <c r="D781" i="5"/>
  <c r="D805" i="5"/>
  <c r="D829" i="5"/>
  <c r="D853" i="5"/>
  <c r="D877" i="5"/>
  <c r="D38" i="5"/>
  <c r="D62" i="5"/>
  <c r="D86" i="5"/>
  <c r="D110" i="5"/>
  <c r="D134" i="5"/>
  <c r="D158" i="5"/>
  <c r="D182" i="5"/>
  <c r="D206" i="5"/>
  <c r="D230" i="5"/>
  <c r="D254" i="5"/>
  <c r="D278" i="5"/>
  <c r="D302" i="5"/>
  <c r="D326" i="5"/>
  <c r="D350" i="5"/>
  <c r="D374" i="5"/>
  <c r="D398" i="5"/>
  <c r="D422" i="5"/>
  <c r="D446" i="5"/>
  <c r="D470" i="5"/>
  <c r="D494" i="5"/>
  <c r="D518" i="5"/>
  <c r="D542" i="5"/>
  <c r="D566" i="5"/>
  <c r="D590" i="5"/>
  <c r="D614" i="5"/>
  <c r="D638" i="5"/>
  <c r="D662" i="5"/>
  <c r="D686" i="5"/>
  <c r="D710" i="5"/>
  <c r="D734" i="5"/>
  <c r="D758" i="5"/>
  <c r="D782" i="5"/>
  <c r="D806" i="5"/>
  <c r="D830" i="5"/>
  <c r="D854" i="5"/>
  <c r="D878" i="5"/>
  <c r="H29" i="5"/>
  <c r="H53" i="5"/>
  <c r="H77" i="5"/>
  <c r="H101" i="5"/>
  <c r="H125" i="5"/>
  <c r="H149" i="5"/>
  <c r="H173" i="5"/>
  <c r="H197" i="5"/>
  <c r="H221" i="5"/>
  <c r="H245" i="5"/>
  <c r="H269" i="5"/>
  <c r="H293" i="5"/>
  <c r="H317" i="5"/>
  <c r="H341" i="5"/>
  <c r="H365" i="5"/>
  <c r="H389" i="5"/>
  <c r="H413" i="5"/>
  <c r="H437" i="5"/>
  <c r="H461" i="5"/>
  <c r="H485" i="5"/>
  <c r="H509" i="5"/>
  <c r="H533" i="5"/>
  <c r="H557" i="5"/>
  <c r="H581" i="5"/>
  <c r="H605" i="5"/>
  <c r="H629" i="5"/>
  <c r="H653" i="5"/>
  <c r="H677" i="5"/>
  <c r="H701" i="5"/>
  <c r="H725" i="5"/>
  <c r="H749" i="5"/>
  <c r="H773" i="5"/>
  <c r="H797" i="5"/>
  <c r="H821" i="5"/>
  <c r="H845" i="5"/>
  <c r="H869" i="5"/>
  <c r="G25" i="5"/>
  <c r="G49" i="5"/>
  <c r="G73" i="5"/>
  <c r="G97" i="5"/>
  <c r="G121" i="5"/>
  <c r="G145" i="5"/>
  <c r="G169" i="5"/>
  <c r="G193" i="5"/>
  <c r="G217" i="5"/>
  <c r="G241" i="5"/>
  <c r="G265" i="5"/>
  <c r="G289" i="5"/>
  <c r="G313" i="5"/>
  <c r="D39" i="5"/>
  <c r="D63" i="5"/>
  <c r="D87" i="5"/>
  <c r="D111" i="5"/>
  <c r="D135" i="5"/>
  <c r="D159" i="5"/>
  <c r="D183" i="5"/>
  <c r="D207" i="5"/>
  <c r="D231" i="5"/>
  <c r="D255" i="5"/>
  <c r="D279" i="5"/>
  <c r="D303" i="5"/>
  <c r="D327" i="5"/>
  <c r="D351" i="5"/>
  <c r="D375" i="5"/>
  <c r="D399" i="5"/>
  <c r="D423" i="5"/>
  <c r="D447" i="5"/>
  <c r="D471" i="5"/>
  <c r="D495" i="5"/>
  <c r="D519" i="5"/>
  <c r="D543" i="5"/>
  <c r="D567" i="5"/>
  <c r="D591" i="5"/>
  <c r="D615" i="5"/>
  <c r="D639" i="5"/>
  <c r="D663" i="5"/>
  <c r="D687" i="5"/>
  <c r="D711" i="5"/>
  <c r="D735" i="5"/>
  <c r="D759" i="5"/>
  <c r="D783" i="5"/>
  <c r="D807" i="5"/>
  <c r="D831" i="5"/>
  <c r="D855" i="5"/>
  <c r="D879" i="5"/>
  <c r="D40" i="5"/>
  <c r="D64" i="5"/>
  <c r="D88" i="5"/>
  <c r="D112" i="5"/>
  <c r="D136" i="5"/>
  <c r="D160" i="5"/>
  <c r="D184" i="5"/>
  <c r="D208" i="5"/>
  <c r="D232" i="5"/>
  <c r="D256" i="5"/>
  <c r="D280" i="5"/>
  <c r="D304" i="5"/>
  <c r="D328" i="5"/>
  <c r="D352" i="5"/>
  <c r="D376" i="5"/>
  <c r="D400" i="5"/>
  <c r="D424" i="5"/>
  <c r="D448" i="5"/>
  <c r="D472" i="5"/>
  <c r="D496" i="5"/>
  <c r="D520" i="5"/>
  <c r="D544" i="5"/>
  <c r="D568" i="5"/>
  <c r="D592" i="5"/>
  <c r="D616" i="5"/>
  <c r="D640" i="5"/>
  <c r="D664" i="5"/>
  <c r="D688" i="5"/>
  <c r="D712" i="5"/>
  <c r="D736" i="5"/>
  <c r="D760" i="5"/>
  <c r="D784" i="5"/>
  <c r="D808" i="5"/>
  <c r="D832" i="5"/>
  <c r="D856" i="5"/>
  <c r="D880" i="5"/>
  <c r="H31" i="5"/>
  <c r="H55" i="5"/>
  <c r="H79" i="5"/>
  <c r="H103" i="5"/>
  <c r="H127" i="5"/>
  <c r="H151" i="5"/>
  <c r="H175" i="5"/>
  <c r="H199" i="5"/>
  <c r="H223" i="5"/>
  <c r="H247" i="5"/>
  <c r="H271" i="5"/>
  <c r="H295" i="5"/>
  <c r="H319" i="5"/>
  <c r="H343" i="5"/>
  <c r="H367" i="5"/>
  <c r="H391" i="5"/>
  <c r="H415" i="5"/>
  <c r="H439" i="5"/>
  <c r="H463" i="5"/>
  <c r="H487" i="5"/>
  <c r="H511" i="5"/>
  <c r="H535" i="5"/>
  <c r="H559" i="5"/>
  <c r="H583" i="5"/>
  <c r="H607" i="5"/>
  <c r="D41" i="5"/>
  <c r="D65" i="5"/>
  <c r="D89" i="5"/>
  <c r="D113" i="5"/>
  <c r="D137" i="5"/>
  <c r="D161" i="5"/>
  <c r="D185" i="5"/>
  <c r="D209" i="5"/>
  <c r="D233" i="5"/>
  <c r="D257" i="5"/>
  <c r="D281" i="5"/>
  <c r="D305" i="5"/>
  <c r="D329" i="5"/>
  <c r="D353" i="5"/>
  <c r="D377" i="5"/>
  <c r="D401" i="5"/>
  <c r="D425" i="5"/>
  <c r="D449" i="5"/>
  <c r="D473" i="5"/>
  <c r="D497" i="5"/>
  <c r="D521" i="5"/>
  <c r="D545" i="5"/>
  <c r="D569" i="5"/>
  <c r="D593" i="5"/>
  <c r="D617" i="5"/>
  <c r="D641" i="5"/>
  <c r="D665" i="5"/>
  <c r="D689" i="5"/>
  <c r="D713" i="5"/>
  <c r="D737" i="5"/>
  <c r="D761" i="5"/>
  <c r="D785" i="5"/>
  <c r="D809" i="5"/>
  <c r="D833" i="5"/>
  <c r="D857" i="5"/>
  <c r="D881" i="5"/>
  <c r="D42" i="5"/>
  <c r="D66" i="5"/>
  <c r="D90" i="5"/>
  <c r="D114" i="5"/>
  <c r="D138" i="5"/>
  <c r="D162" i="5"/>
  <c r="D186" i="5"/>
  <c r="D210" i="5"/>
  <c r="D234" i="5"/>
  <c r="D258" i="5"/>
  <c r="D282" i="5"/>
  <c r="D306" i="5"/>
  <c r="D330" i="5"/>
  <c r="D354" i="5"/>
  <c r="D378" i="5"/>
  <c r="D402" i="5"/>
  <c r="D426" i="5"/>
  <c r="D450" i="5"/>
  <c r="D474" i="5"/>
  <c r="D498" i="5"/>
  <c r="D522" i="5"/>
  <c r="D546" i="5"/>
  <c r="D570" i="5"/>
  <c r="D594" i="5"/>
  <c r="D618" i="5"/>
  <c r="D642" i="5"/>
  <c r="D666" i="5"/>
  <c r="D690" i="5"/>
  <c r="D714" i="5"/>
  <c r="D738" i="5"/>
  <c r="D762" i="5"/>
  <c r="D786" i="5"/>
  <c r="D810" i="5"/>
  <c r="D834" i="5"/>
  <c r="D858" i="5"/>
  <c r="D882" i="5"/>
  <c r="D43" i="5"/>
  <c r="D67" i="5"/>
  <c r="D91" i="5"/>
  <c r="D115" i="5"/>
  <c r="D139" i="5"/>
  <c r="D163" i="5"/>
  <c r="D187" i="5"/>
  <c r="D211" i="5"/>
  <c r="D235" i="5"/>
  <c r="D259" i="5"/>
  <c r="D283" i="5"/>
  <c r="D307" i="5"/>
  <c r="D331" i="5"/>
  <c r="D355" i="5"/>
  <c r="D379" i="5"/>
  <c r="D403" i="5"/>
  <c r="D427" i="5"/>
  <c r="D451" i="5"/>
  <c r="D475" i="5"/>
  <c r="D499" i="5"/>
  <c r="D523" i="5"/>
  <c r="D547" i="5"/>
  <c r="D571" i="5"/>
  <c r="D595" i="5"/>
  <c r="D619" i="5"/>
  <c r="D643" i="5"/>
  <c r="D667" i="5"/>
  <c r="D691" i="5"/>
  <c r="D715" i="5"/>
  <c r="D739" i="5"/>
  <c r="D763" i="5"/>
  <c r="D787" i="5"/>
  <c r="D811" i="5"/>
  <c r="D835" i="5"/>
  <c r="D859" i="5"/>
  <c r="D883" i="5"/>
  <c r="D44" i="5"/>
  <c r="D68" i="5"/>
  <c r="D92" i="5"/>
  <c r="D116" i="5"/>
  <c r="D140" i="5"/>
  <c r="D164" i="5"/>
  <c r="D188" i="5"/>
  <c r="D212" i="5"/>
  <c r="D236" i="5"/>
  <c r="D260" i="5"/>
  <c r="D284" i="5"/>
  <c r="D308" i="5"/>
  <c r="D332" i="5"/>
  <c r="D356" i="5"/>
  <c r="D380" i="5"/>
  <c r="D404" i="5"/>
  <c r="D428" i="5"/>
  <c r="D452" i="5"/>
  <c r="D476" i="5"/>
  <c r="D500" i="5"/>
  <c r="D524" i="5"/>
  <c r="D548" i="5"/>
  <c r="D572" i="5"/>
  <c r="D596" i="5"/>
  <c r="D620" i="5"/>
  <c r="D644" i="5"/>
  <c r="D668" i="5"/>
  <c r="D692" i="5"/>
  <c r="D716" i="5"/>
  <c r="D740" i="5"/>
  <c r="D764" i="5"/>
  <c r="D788" i="5"/>
  <c r="D812" i="5"/>
  <c r="D836" i="5"/>
  <c r="D860" i="5"/>
  <c r="D884" i="5"/>
  <c r="D45" i="5"/>
  <c r="D69" i="5"/>
  <c r="D93" i="5"/>
  <c r="D117" i="5"/>
  <c r="D141" i="5"/>
  <c r="D165" i="5"/>
  <c r="D189" i="5"/>
  <c r="D213" i="5"/>
  <c r="D237" i="5"/>
  <c r="D261" i="5"/>
  <c r="D285" i="5"/>
  <c r="D309" i="5"/>
  <c r="D333" i="5"/>
  <c r="D357" i="5"/>
  <c r="D381" i="5"/>
  <c r="D405" i="5"/>
  <c r="D429" i="5"/>
  <c r="D453" i="5"/>
  <c r="D477" i="5"/>
  <c r="D501" i="5"/>
  <c r="D525" i="5"/>
  <c r="D549" i="5"/>
  <c r="D573" i="5"/>
  <c r="D597" i="5"/>
  <c r="D621" i="5"/>
  <c r="D645" i="5"/>
  <c r="D669" i="5"/>
  <c r="D693" i="5"/>
  <c r="D717" i="5"/>
  <c r="D741" i="5"/>
  <c r="D765" i="5"/>
  <c r="D789" i="5"/>
  <c r="D813" i="5"/>
  <c r="D837" i="5"/>
  <c r="D861" i="5"/>
  <c r="D885" i="5"/>
  <c r="G885" i="5"/>
  <c r="G861" i="5"/>
  <c r="G837" i="5"/>
  <c r="G813" i="5"/>
  <c r="G789" i="5"/>
  <c r="G765" i="5"/>
  <c r="G741" i="5"/>
  <c r="G717" i="5"/>
  <c r="G693" i="5"/>
  <c r="G669" i="5"/>
  <c r="G645" i="5"/>
  <c r="G621" i="5"/>
  <c r="G597" i="5"/>
  <c r="G573" i="5"/>
  <c r="G549" i="5"/>
  <c r="G525" i="5"/>
  <c r="G501" i="5"/>
  <c r="G477" i="5"/>
  <c r="G453" i="5"/>
  <c r="G429" i="5"/>
  <c r="G405" i="5"/>
  <c r="G381" i="5"/>
  <c r="G357" i="5"/>
  <c r="G333" i="5"/>
  <c r="G307" i="5"/>
  <c r="G281" i="5"/>
  <c r="G255" i="5"/>
  <c r="G227" i="5"/>
  <c r="G199" i="5"/>
  <c r="G172" i="5"/>
  <c r="G144" i="5"/>
  <c r="G117" i="5"/>
  <c r="G90" i="5"/>
  <c r="G63" i="5"/>
  <c r="G35" i="5"/>
  <c r="H875" i="5"/>
  <c r="H848" i="5"/>
  <c r="H820" i="5"/>
  <c r="H793" i="5"/>
  <c r="H766" i="5"/>
  <c r="H739" i="5"/>
  <c r="H711" i="5"/>
  <c r="H683" i="5"/>
  <c r="H656" i="5"/>
  <c r="H628" i="5"/>
  <c r="H600" i="5"/>
  <c r="H569" i="5"/>
  <c r="H539" i="5"/>
  <c r="H508" i="5"/>
  <c r="H479" i="5"/>
  <c r="H448" i="5"/>
  <c r="H418" i="5"/>
  <c r="H387" i="5"/>
  <c r="H358" i="5"/>
  <c r="H327" i="5"/>
  <c r="H297" i="5"/>
  <c r="H266" i="5"/>
  <c r="H237" i="5"/>
  <c r="H205" i="5"/>
  <c r="H176" i="5"/>
  <c r="H145" i="5"/>
  <c r="H116" i="5"/>
  <c r="H84" i="5"/>
  <c r="H54" i="5"/>
  <c r="H24" i="5"/>
  <c r="G728" i="5"/>
  <c r="G847" i="5"/>
  <c r="G487" i="5"/>
  <c r="G630" i="5"/>
  <c r="G884" i="5"/>
  <c r="G860" i="5"/>
  <c r="G836" i="5"/>
  <c r="G812" i="5"/>
  <c r="G788" i="5"/>
  <c r="G764" i="5"/>
  <c r="G740" i="5"/>
  <c r="G716" i="5"/>
  <c r="G692" i="5"/>
  <c r="G668" i="5"/>
  <c r="G644" i="5"/>
  <c r="G620" i="5"/>
  <c r="G596" i="5"/>
  <c r="G572" i="5"/>
  <c r="G548" i="5"/>
  <c r="G524" i="5"/>
  <c r="G500" i="5"/>
  <c r="G476" i="5"/>
  <c r="G452" i="5"/>
  <c r="G428" i="5"/>
  <c r="G404" i="5"/>
  <c r="G380" i="5"/>
  <c r="G356" i="5"/>
  <c r="G332" i="5"/>
  <c r="G306" i="5"/>
  <c r="G280" i="5"/>
  <c r="G253" i="5"/>
  <c r="G225" i="5"/>
  <c r="G198" i="5"/>
  <c r="G171" i="5"/>
  <c r="G143" i="5"/>
  <c r="G116" i="5"/>
  <c r="G89" i="5"/>
  <c r="G61" i="5"/>
  <c r="G33" i="5"/>
  <c r="H874" i="5"/>
  <c r="H847" i="5"/>
  <c r="H819" i="5"/>
  <c r="H792" i="5"/>
  <c r="H765" i="5"/>
  <c r="H737" i="5"/>
  <c r="H709" i="5"/>
  <c r="H682" i="5"/>
  <c r="H655" i="5"/>
  <c r="H627" i="5"/>
  <c r="H599" i="5"/>
  <c r="H568" i="5"/>
  <c r="H538" i="5"/>
  <c r="H507" i="5"/>
  <c r="H478" i="5"/>
  <c r="H447" i="5"/>
  <c r="H417" i="5"/>
  <c r="H386" i="5"/>
  <c r="H357" i="5"/>
  <c r="H325" i="5"/>
  <c r="H296" i="5"/>
  <c r="H265" i="5"/>
  <c r="H236" i="5"/>
  <c r="H204" i="5"/>
  <c r="H174" i="5"/>
  <c r="H144" i="5"/>
  <c r="H113" i="5"/>
  <c r="H83" i="5"/>
  <c r="H52" i="5"/>
  <c r="H23" i="5"/>
  <c r="G752" i="5"/>
  <c r="G799" i="5"/>
  <c r="G439" i="5"/>
  <c r="G654" i="5"/>
  <c r="G883" i="5"/>
  <c r="G835" i="5"/>
  <c r="G787" i="5"/>
  <c r="G739" i="5"/>
  <c r="G667" i="5"/>
  <c r="G619" i="5"/>
  <c r="G571" i="5"/>
  <c r="G523" i="5"/>
  <c r="G475" i="5"/>
  <c r="G451" i="5"/>
  <c r="G403" i="5"/>
  <c r="G379" i="5"/>
  <c r="G355" i="5"/>
  <c r="G331" i="5"/>
  <c r="G305" i="5"/>
  <c r="G279" i="5"/>
  <c r="G252" i="5"/>
  <c r="G224" i="5"/>
  <c r="G197" i="5"/>
  <c r="G170" i="5"/>
  <c r="G115" i="5"/>
  <c r="G88" i="5"/>
  <c r="G60" i="5"/>
  <c r="G32" i="5"/>
  <c r="H873" i="5"/>
  <c r="H846" i="5"/>
  <c r="H818" i="5"/>
  <c r="H791" i="5"/>
  <c r="H764" i="5"/>
  <c r="H736" i="5"/>
  <c r="H708" i="5"/>
  <c r="H681" i="5"/>
  <c r="H654" i="5"/>
  <c r="H626" i="5"/>
  <c r="H598" i="5"/>
  <c r="H567" i="5"/>
  <c r="H537" i="5"/>
  <c r="H506" i="5"/>
  <c r="H477" i="5"/>
  <c r="H445" i="5"/>
  <c r="H416" i="5"/>
  <c r="H385" i="5"/>
  <c r="H356" i="5"/>
  <c r="H294" i="5"/>
  <c r="H264" i="5"/>
  <c r="H233" i="5"/>
  <c r="H203" i="5"/>
  <c r="H172" i="5"/>
  <c r="H143" i="5"/>
  <c r="H112" i="5"/>
  <c r="H82" i="5"/>
  <c r="H51" i="5"/>
  <c r="H22" i="5"/>
  <c r="G463" i="5"/>
  <c r="G859" i="5"/>
  <c r="G811" i="5"/>
  <c r="G763" i="5"/>
  <c r="G715" i="5"/>
  <c r="G691" i="5"/>
  <c r="G643" i="5"/>
  <c r="G595" i="5"/>
  <c r="G547" i="5"/>
  <c r="G499" i="5"/>
  <c r="G427" i="5"/>
  <c r="G882" i="5"/>
  <c r="G858" i="5"/>
  <c r="G834" i="5"/>
  <c r="G810" i="5"/>
  <c r="G786" i="5"/>
  <c r="G762" i="5"/>
  <c r="G738" i="5"/>
  <c r="G714" i="5"/>
  <c r="G690" i="5"/>
  <c r="G666" i="5"/>
  <c r="G642" i="5"/>
  <c r="G618" i="5"/>
  <c r="G594" i="5"/>
  <c r="G570" i="5"/>
  <c r="G546" i="5"/>
  <c r="G522" i="5"/>
  <c r="G498" i="5"/>
  <c r="G474" i="5"/>
  <c r="G450" i="5"/>
  <c r="G426" i="5"/>
  <c r="G402" i="5"/>
  <c r="G378" i="5"/>
  <c r="G354" i="5"/>
  <c r="G330" i="5"/>
  <c r="G304" i="5"/>
  <c r="G277" i="5"/>
  <c r="G251" i="5"/>
  <c r="G223" i="5"/>
  <c r="G196" i="5"/>
  <c r="G168" i="5"/>
  <c r="G141" i="5"/>
  <c r="G114" i="5"/>
  <c r="G87" i="5"/>
  <c r="G59" i="5"/>
  <c r="G31" i="5"/>
  <c r="H872" i="5"/>
  <c r="H844" i="5"/>
  <c r="H817" i="5"/>
  <c r="H790" i="5"/>
  <c r="H763" i="5"/>
  <c r="H735" i="5"/>
  <c r="H707" i="5"/>
  <c r="H680" i="5"/>
  <c r="H652" i="5"/>
  <c r="H625" i="5"/>
  <c r="H597" i="5"/>
  <c r="H565" i="5"/>
  <c r="H536" i="5"/>
  <c r="H505" i="5"/>
  <c r="H476" i="5"/>
  <c r="H444" i="5"/>
  <c r="H414" i="5"/>
  <c r="H384" i="5"/>
  <c r="H353" i="5"/>
  <c r="H323" i="5"/>
  <c r="H292" i="5"/>
  <c r="H263" i="5"/>
  <c r="H232" i="5"/>
  <c r="H202" i="5"/>
  <c r="H171" i="5"/>
  <c r="H142" i="5"/>
  <c r="H111" i="5"/>
  <c r="H81" i="5"/>
  <c r="H50" i="5"/>
  <c r="G881" i="5"/>
  <c r="G857" i="5"/>
  <c r="G833" i="5"/>
  <c r="G809" i="5"/>
  <c r="G785" i="5"/>
  <c r="G761" i="5"/>
  <c r="G737" i="5"/>
  <c r="G713" i="5"/>
  <c r="G689" i="5"/>
  <c r="G665" i="5"/>
  <c r="G641" i="5"/>
  <c r="G617" i="5"/>
  <c r="G593" i="5"/>
  <c r="G569" i="5"/>
  <c r="G545" i="5"/>
  <c r="G521" i="5"/>
  <c r="G497" i="5"/>
  <c r="G473" i="5"/>
  <c r="G449" i="5"/>
  <c r="G425" i="5"/>
  <c r="G401" i="5"/>
  <c r="G377" i="5"/>
  <c r="G353" i="5"/>
  <c r="G329" i="5"/>
  <c r="G303" i="5"/>
  <c r="G276" i="5"/>
  <c r="G249" i="5"/>
  <c r="G222" i="5"/>
  <c r="G195" i="5"/>
  <c r="G167" i="5"/>
  <c r="G140" i="5"/>
  <c r="G113" i="5"/>
  <c r="G85" i="5"/>
  <c r="G57" i="5"/>
  <c r="G30" i="5"/>
  <c r="H871" i="5"/>
  <c r="H843" i="5"/>
  <c r="H816" i="5"/>
  <c r="H789" i="5"/>
  <c r="H761" i="5"/>
  <c r="H733" i="5"/>
  <c r="H706" i="5"/>
  <c r="H679" i="5"/>
  <c r="H651" i="5"/>
  <c r="H624" i="5"/>
  <c r="H596" i="5"/>
  <c r="H564" i="5"/>
  <c r="H534" i="5"/>
  <c r="H504" i="5"/>
  <c r="H473" i="5"/>
  <c r="H443" i="5"/>
  <c r="H412" i="5"/>
  <c r="H383" i="5"/>
  <c r="H352" i="5"/>
  <c r="H322" i="5"/>
  <c r="H291" i="5"/>
  <c r="H262" i="5"/>
  <c r="H231" i="5"/>
  <c r="H201" i="5"/>
  <c r="H170" i="5"/>
  <c r="H141" i="5"/>
  <c r="H109" i="5"/>
  <c r="H80" i="5"/>
  <c r="H49" i="5"/>
</calcChain>
</file>

<file path=xl/sharedStrings.xml><?xml version="1.0" encoding="utf-8"?>
<sst xmlns="http://schemas.openxmlformats.org/spreadsheetml/2006/main" count="25836" uniqueCount="5130">
  <si>
    <t>Loc</t>
  </si>
  <si>
    <t>Loc Name</t>
  </si>
  <si>
    <t>Loc St Abbrev</t>
  </si>
  <si>
    <t>Loc Cnty</t>
  </si>
  <si>
    <t>Loc Zone</t>
  </si>
  <si>
    <t>Dir Flo</t>
  </si>
  <si>
    <t>Loc Stat Ind</t>
  </si>
  <si>
    <t>Loc Type Ind</t>
  </si>
  <si>
    <t>Eff Date</t>
  </si>
  <si>
    <t>Inact Date</t>
  </si>
  <si>
    <t>TSP</t>
  </si>
  <si>
    <t>TSP Name</t>
  </si>
  <si>
    <t>TSP FERC CID</t>
  </si>
  <si>
    <t>Update D/T</t>
  </si>
  <si>
    <t>Up/Dn Ind</t>
  </si>
  <si>
    <t>Up/Dn Name</t>
  </si>
  <si>
    <t>Up/Dn ID</t>
  </si>
  <si>
    <t>Up/Dn ID Prop</t>
  </si>
  <si>
    <t>Up/Dn FERC CID Ind</t>
  </si>
  <si>
    <t>Up/Dn FERC CID</t>
  </si>
  <si>
    <t>Up/Dn Loc</t>
  </si>
  <si>
    <t>Up/Dn Loc Name</t>
  </si>
  <si>
    <t xml:space="preserve">	70004</t>
  </si>
  <si>
    <t>DOMINION ENERGY TRANSMISSION, INC - CLARINGTON, OH</t>
  </si>
  <si>
    <t>OH</t>
  </si>
  <si>
    <t>MONROE</t>
  </si>
  <si>
    <t>D</t>
  </si>
  <si>
    <t>A</t>
  </si>
  <si>
    <t>INT</t>
  </si>
  <si>
    <t xml:space="preserve">	19470504</t>
  </si>
  <si>
    <t xml:space="preserve">	007932908</t>
  </si>
  <si>
    <t>Texas Eastern Transmission, LP</t>
  </si>
  <si>
    <t>C000094</t>
  </si>
  <si>
    <t>20190717 06:47:30</t>
  </si>
  <si>
    <t>Y</t>
  </si>
  <si>
    <t>DOMINION ENERGY TRANSMISSION, INC.</t>
  </si>
  <si>
    <t xml:space="preserve">	116025180</t>
  </si>
  <si>
    <t>C000160</t>
  </si>
  <si>
    <t xml:space="preserve">	40207</t>
  </si>
  <si>
    <t>TET-MULLETT</t>
  </si>
  <si>
    <t xml:space="preserve">	70011</t>
  </si>
  <si>
    <t>COLUMBIA GAS OF  PA.  - EAGLE, PA</t>
  </si>
  <si>
    <t>PA</t>
  </si>
  <si>
    <t>CHESTER</t>
  </si>
  <si>
    <t xml:space="preserve">	19480201</t>
  </si>
  <si>
    <t>20200114 10:20:37</t>
  </si>
  <si>
    <t>COLUMBIA GAS TRANSMISSION, LLC</t>
  </si>
  <si>
    <t xml:space="preserve">	054748041</t>
  </si>
  <si>
    <t>C000306</t>
  </si>
  <si>
    <t xml:space="preserve">	C22</t>
  </si>
  <si>
    <t>EAGLE-25</t>
  </si>
  <si>
    <t xml:space="preserve">	70017</t>
  </si>
  <si>
    <t>INDIANA GAS - GREENSBURG, IN</t>
  </si>
  <si>
    <t>IN</t>
  </si>
  <si>
    <t>DECATUR</t>
  </si>
  <si>
    <t>LDC</t>
  </si>
  <si>
    <t xml:space="preserve">	19471222</t>
  </si>
  <si>
    <t>20200316 14:54:54</t>
  </si>
  <si>
    <t>INDIANA GAS COMPANY, INC.</t>
  </si>
  <si>
    <t xml:space="preserve">	006938211</t>
  </si>
  <si>
    <t>N</t>
  </si>
  <si>
    <t xml:space="preserve">	70018</t>
  </si>
  <si>
    <t>INDIANA GAS - SEYMOUR, IN</t>
  </si>
  <si>
    <t>JACKSON</t>
  </si>
  <si>
    <t xml:space="preserve">	19480114</t>
  </si>
  <si>
    <t xml:space="preserve">	70020</t>
  </si>
  <si>
    <t>EQUITRANS - WAYNESBURG, PA</t>
  </si>
  <si>
    <t>GREENE</t>
  </si>
  <si>
    <t xml:space="preserve">	19471226</t>
  </si>
  <si>
    <t>20190730 14:14:47</t>
  </si>
  <si>
    <t>EQUITRANS, LP</t>
  </si>
  <si>
    <t xml:space="preserve">	189569585</t>
  </si>
  <si>
    <t>C000095</t>
  </si>
  <si>
    <t xml:space="preserve">	11181</t>
  </si>
  <si>
    <t>ROBERTS FARM</t>
  </si>
  <si>
    <t xml:space="preserve">	70030</t>
  </si>
  <si>
    <t>PHILADELPHIA GAS WORKS - POINT BREEZE,PA</t>
  </si>
  <si>
    <t>PHILADELPHIA</t>
  </si>
  <si>
    <t xml:space="preserve">	19480325</t>
  </si>
  <si>
    <t>20190717 06:47:43</t>
  </si>
  <si>
    <t>PHILADELPHIA GAS WORKS</t>
  </si>
  <si>
    <t xml:space="preserve">	148415904</t>
  </si>
  <si>
    <t xml:space="preserve">	70033</t>
  </si>
  <si>
    <t>PECO ENERGY - CROMBY GENERATION, PA</t>
  </si>
  <si>
    <t xml:space="preserve">	19531215</t>
  </si>
  <si>
    <t>20190717 06:47:33</t>
  </si>
  <si>
    <t>PECO ENERGY COMPANY</t>
  </si>
  <si>
    <t xml:space="preserve">	007914468</t>
  </si>
  <si>
    <t xml:space="preserve">	70034</t>
  </si>
  <si>
    <t>PHILADELPHIA GAS WORKS - LEVICK ST., PA</t>
  </si>
  <si>
    <t>MONTGOMERY</t>
  </si>
  <si>
    <t xml:space="preserve">	19481024</t>
  </si>
  <si>
    <t>20190717 06:47:44</t>
  </si>
  <si>
    <t xml:space="preserve">	70035</t>
  </si>
  <si>
    <t>PECO ENERGY - TILGHMAN ST. - CHESTER, PA</t>
  </si>
  <si>
    <t>DELAWARE</t>
  </si>
  <si>
    <t xml:space="preserve">	19480917</t>
  </si>
  <si>
    <t xml:space="preserve">	70036</t>
  </si>
  <si>
    <t>PECO ENERGY - WEST CONSHOHOCKEN, PA</t>
  </si>
  <si>
    <t xml:space="preserve">	19481011</t>
  </si>
  <si>
    <t>20190717 06:47:45</t>
  </si>
  <si>
    <t xml:space="preserve">	70039</t>
  </si>
  <si>
    <t>UNITED CITIES - HARRISBURG, IL</t>
  </si>
  <si>
    <t>IL</t>
  </si>
  <si>
    <t>SALINE</t>
  </si>
  <si>
    <t xml:space="preserve">	19410921</t>
  </si>
  <si>
    <t>20190717 06:47:21</t>
  </si>
  <si>
    <t>LIBERTY UTILITIES (MIDSTATES NATURAL GAS) CORP.</t>
  </si>
  <si>
    <t xml:space="preserve">	078314967</t>
  </si>
  <si>
    <t>C002871</t>
  </si>
  <si>
    <t>UNITED CITIES HARRISBURG</t>
  </si>
  <si>
    <t xml:space="preserve">	70041</t>
  </si>
  <si>
    <t>COLUMBIA GAS - LEBANON, OH</t>
  </si>
  <si>
    <t>WARREN</t>
  </si>
  <si>
    <t xml:space="preserve">	19481019</t>
  </si>
  <si>
    <t>20190717 06:47:27</t>
  </si>
  <si>
    <t xml:space="preserve">	C4</t>
  </si>
  <si>
    <t>TETCO LEBANON-6</t>
  </si>
  <si>
    <t xml:space="preserve">	70042</t>
  </si>
  <si>
    <t>UNION ELEC -CAPE GIRARDEAU, MO</t>
  </si>
  <si>
    <t>MO</t>
  </si>
  <si>
    <t>SCOTT</t>
  </si>
  <si>
    <t xml:space="preserve">	19490908</t>
  </si>
  <si>
    <t>20190717 06:47:20</t>
  </si>
  <si>
    <t>UNION ELECTRIC COMPANY D/B/A AMEREN MISSOURI</t>
  </si>
  <si>
    <t xml:space="preserve">	006968655</t>
  </si>
  <si>
    <t xml:space="preserve">	70043</t>
  </si>
  <si>
    <t>UNION ELECTRIC - DEXTER, MO</t>
  </si>
  <si>
    <t>STODDARD</t>
  </si>
  <si>
    <t xml:space="preserve">	19500718</t>
  </si>
  <si>
    <t>20190717 06:47:19</t>
  </si>
  <si>
    <t xml:space="preserve">	70051</t>
  </si>
  <si>
    <t>PEOPLES NAT - SOMERSET, PA</t>
  </si>
  <si>
    <t>SOMERSET</t>
  </si>
  <si>
    <t xml:space="preserve">	20050712</t>
  </si>
  <si>
    <t>20200805 11:53:13</t>
  </si>
  <si>
    <t>PEOPLES NATURAL GAS COMPANY LLC</t>
  </si>
  <si>
    <t xml:space="preserve">	007916208</t>
  </si>
  <si>
    <t>C002105</t>
  </si>
  <si>
    <t>SOMERSET, PA</t>
  </si>
  <si>
    <t xml:space="preserve">	70056</t>
  </si>
  <si>
    <t>COLUMBIA GAS OF  PA. -  (UNIONTOWN)</t>
  </si>
  <si>
    <t>FAYETTE</t>
  </si>
  <si>
    <t xml:space="preserve">	19501031</t>
  </si>
  <si>
    <t>20190717 06:47:35</t>
  </si>
  <si>
    <t>COLUMBIA GAS OF PENNSYLVANIA</t>
  </si>
  <si>
    <t xml:space="preserve">	008781668</t>
  </si>
  <si>
    <t xml:space="preserve">	70057</t>
  </si>
  <si>
    <t>PUBLIC SERVICE - SOUTH PLAINFIELD, NJ</t>
  </si>
  <si>
    <t>NJ</t>
  </si>
  <si>
    <t>MIDDLESEX</t>
  </si>
  <si>
    <t xml:space="preserve">	19490712</t>
  </si>
  <si>
    <t>20190717 06:47:47</t>
  </si>
  <si>
    <t>PUBLIC SERVICE ELECTRIC AND GAS COMPANY (NJ)</t>
  </si>
  <si>
    <t xml:space="preserve">	006973812</t>
  </si>
  <si>
    <t xml:space="preserve">	70058</t>
  </si>
  <si>
    <t>NATIONAL GRID METRO NY, GOETHALS RD., STATEN ISLAND, RICHMO</t>
  </si>
  <si>
    <t>NY</t>
  </si>
  <si>
    <t>RICHMOND</t>
  </si>
  <si>
    <t xml:space="preserve">	19490820</t>
  </si>
  <si>
    <t>20190717 06:47:49</t>
  </si>
  <si>
    <t>THE BROOKLYN UNION GAS COMPANY D/B/A NATIONAL GRID NY</t>
  </si>
  <si>
    <t xml:space="preserve">	006978795</t>
  </si>
  <si>
    <t>C001657</t>
  </si>
  <si>
    <t>N/A</t>
  </si>
  <si>
    <t xml:space="preserve">	70061</t>
  </si>
  <si>
    <t>ATMOS ENERGY CORPORATION - SCOTT CO, MO</t>
  </si>
  <si>
    <t xml:space="preserve">	19500810</t>
  </si>
  <si>
    <t>ATMOS SCOTT CO</t>
  </si>
  <si>
    <t xml:space="preserve">	70062</t>
  </si>
  <si>
    <t>NAT GAS &amp; OIL - SOMERSET, OH</t>
  </si>
  <si>
    <t>PERRY</t>
  </si>
  <si>
    <t xml:space="preserve">	19491026</t>
  </si>
  <si>
    <t>20200805 11:51:18</t>
  </si>
  <si>
    <t>NATIONAL GAS &amp; OIL COOPERATIVE</t>
  </si>
  <si>
    <t xml:space="preserve">	001053560</t>
  </si>
  <si>
    <t xml:space="preserve">	70063</t>
  </si>
  <si>
    <t>HUNTINGBURG, IN</t>
  </si>
  <si>
    <t>DUBOIS</t>
  </si>
  <si>
    <t xml:space="preserve">	19540623</t>
  </si>
  <si>
    <t>20190717 06:47:24</t>
  </si>
  <si>
    <t>HUNTINGBURG, INDIANA, CITY OF</t>
  </si>
  <si>
    <t xml:space="preserve">	020426177</t>
  </si>
  <si>
    <t xml:space="preserve">	70065</t>
  </si>
  <si>
    <t>TEXAS GAS TRANSMISSION - LISBON, LA  (DELIVERY)</t>
  </si>
  <si>
    <t>LA</t>
  </si>
  <si>
    <t>CLAIBORNE</t>
  </si>
  <si>
    <t>ETX</t>
  </si>
  <si>
    <t xml:space="preserve">	19490209</t>
  </si>
  <si>
    <t>20200706 16:35:22</t>
  </si>
  <si>
    <t>TEXAS GAS TRANSMISSION,LLC</t>
  </si>
  <si>
    <t xml:space="preserve">	115972101</t>
  </si>
  <si>
    <t>C000592</t>
  </si>
  <si>
    <t xml:space="preserve">	2757</t>
  </si>
  <si>
    <t>TEXAS EASTERN-SHARON</t>
  </si>
  <si>
    <t xml:space="preserve">	70066</t>
  </si>
  <si>
    <t>PUBLIC SERVICE - SEWAREN, NJ</t>
  </si>
  <si>
    <t xml:space="preserve">	19490828</t>
  </si>
  <si>
    <t>20190717 06:47:48</t>
  </si>
  <si>
    <t xml:space="preserve">	70069</t>
  </si>
  <si>
    <t>UGI UTILITIES, INC. (COLUMBIA GAS)  - COLUMBIA, PA</t>
  </si>
  <si>
    <t>LANCASTER</t>
  </si>
  <si>
    <t xml:space="preserve">	19500505</t>
  </si>
  <si>
    <t>UGI UTILITIES, INC.</t>
  </si>
  <si>
    <t xml:space="preserve">	799376595</t>
  </si>
  <si>
    <t>C008951</t>
  </si>
  <si>
    <t xml:space="preserve">	</t>
  </si>
  <si>
    <t xml:space="preserve">	70070</t>
  </si>
  <si>
    <t>UGI UTILITIES, INC. (COLUMBIA GAS) -LANCASTER, PA</t>
  </si>
  <si>
    <t xml:space="preserve">	19500522</t>
  </si>
  <si>
    <t xml:space="preserve">	70077</t>
  </si>
  <si>
    <t>COLUMBIA GAS - HOOKER, OH</t>
  </si>
  <si>
    <t>FAIRFIELD</t>
  </si>
  <si>
    <t xml:space="preserve">	19491229</t>
  </si>
  <si>
    <t>20190717 06:47:28</t>
  </si>
  <si>
    <t xml:space="preserve">	C9</t>
  </si>
  <si>
    <t>HOOKER-5</t>
  </si>
  <si>
    <t xml:space="preserve">	70079</t>
  </si>
  <si>
    <t>ATMOS ENERGY CORPORATION- JIM HILL, MO</t>
  </si>
  <si>
    <t>DUNKLIN</t>
  </si>
  <si>
    <t>20190717 06:47:18</t>
  </si>
  <si>
    <t>ATMOS JIM HILL</t>
  </si>
  <si>
    <t xml:space="preserve">	70081</t>
  </si>
  <si>
    <t>COLUMBIA GAS - SABINA, OH</t>
  </si>
  <si>
    <t xml:space="preserve">	19501121</t>
  </si>
  <si>
    <t xml:space="preserve">	C7</t>
  </si>
  <si>
    <t>SABINA-6</t>
  </si>
  <si>
    <t xml:space="preserve">	70087</t>
  </si>
  <si>
    <t>ALGONQUIN - LAMBERTVILLE, NJ</t>
  </si>
  <si>
    <t>HUNTERDON</t>
  </si>
  <si>
    <t xml:space="preserve">	19521014</t>
  </si>
  <si>
    <t>20191111 11:20:36</t>
  </si>
  <si>
    <t>ALGONQUIN GAS TRANSMISSION, LLC</t>
  </si>
  <si>
    <t xml:space="preserve">	006951446</t>
  </si>
  <si>
    <t>C000084</t>
  </si>
  <si>
    <t xml:space="preserve">	00210</t>
  </si>
  <si>
    <t xml:space="preserve">	70089</t>
  </si>
  <si>
    <t>CONSUMERS GAS CO. - CARMI, IL</t>
  </si>
  <si>
    <t>WHITE</t>
  </si>
  <si>
    <t xml:space="preserve">	19510331</t>
  </si>
  <si>
    <t>20200316 15:23:40</t>
  </si>
  <si>
    <t>CONSUMERS GAS CO FOR CARMI, IL</t>
  </si>
  <si>
    <t xml:space="preserve">	075888552</t>
  </si>
  <si>
    <t xml:space="preserve">	70090</t>
  </si>
  <si>
    <t>SOMERSET GAS - CASEY CO., KY</t>
  </si>
  <si>
    <t>KY</t>
  </si>
  <si>
    <t>CASEY</t>
  </si>
  <si>
    <t xml:space="preserve">	19541021</t>
  </si>
  <si>
    <t>20200319 10:54:03</t>
  </si>
  <si>
    <t>SOMERSET GAS SERVICE</t>
  </si>
  <si>
    <t xml:space="preserve">	0000005335</t>
  </si>
  <si>
    <t xml:space="preserve">	70092</t>
  </si>
  <si>
    <t>NORRIS CITY, IL</t>
  </si>
  <si>
    <t xml:space="preserve">	19521229</t>
  </si>
  <si>
    <t>NORRIS CITY, IL, VILLAGE OF</t>
  </si>
  <si>
    <t xml:space="preserve">	109239814</t>
  </si>
  <si>
    <t xml:space="preserve">	70093</t>
  </si>
  <si>
    <t>JASPER, IN</t>
  </si>
  <si>
    <t xml:space="preserve">	19540602</t>
  </si>
  <si>
    <t>JASPER, IN CITY OF/JASPER MUNICIPAL GAS UTILITY</t>
  </si>
  <si>
    <t xml:space="preserve">	079669495</t>
  </si>
  <si>
    <t xml:space="preserve">	70095</t>
  </si>
  <si>
    <t>NAT GAS - CALDWELL, OH</t>
  </si>
  <si>
    <t>NOBLE</t>
  </si>
  <si>
    <t xml:space="preserve">	19521128</t>
  </si>
  <si>
    <t>20200805 11:51:47</t>
  </si>
  <si>
    <t>NGO TRANSMISSION, INC.</t>
  </si>
  <si>
    <t xml:space="preserve">	0000029930</t>
  </si>
  <si>
    <t>C000838</t>
  </si>
  <si>
    <t xml:space="preserve">	NONE</t>
  </si>
  <si>
    <t>TET STATION 095</t>
  </si>
  <si>
    <t xml:space="preserve">	70096</t>
  </si>
  <si>
    <t>UGI CENTRAL - SHIPPENSBURG - OXFORD, PA</t>
  </si>
  <si>
    <t>FRANKLIN</t>
  </si>
  <si>
    <t xml:space="preserve">	19531129</t>
  </si>
  <si>
    <t>20190717 06:47:36</t>
  </si>
  <si>
    <t>SHIPPENSBURG</t>
  </si>
  <si>
    <t xml:space="preserve">	70098</t>
  </si>
  <si>
    <t>FULTON, MS</t>
  </si>
  <si>
    <t>MS</t>
  </si>
  <si>
    <t>ITAWAMBA</t>
  </si>
  <si>
    <t xml:space="preserve">	19530328</t>
  </si>
  <si>
    <t>FULTON, CITY OF</t>
  </si>
  <si>
    <t xml:space="preserve">	0000027011</t>
  </si>
  <si>
    <t xml:space="preserve">	70099</t>
  </si>
  <si>
    <t>BELMONT, MS</t>
  </si>
  <si>
    <t xml:space="preserve">	19531209</t>
  </si>
  <si>
    <t>TOWN OF BELMONT, MISSISSIPPI</t>
  </si>
  <si>
    <t xml:space="preserve">	612981910</t>
  </si>
  <si>
    <t xml:space="preserve">	70100</t>
  </si>
  <si>
    <t>RED BAY, AL</t>
  </si>
  <si>
    <t>AL</t>
  </si>
  <si>
    <t xml:space="preserve">	19530420</t>
  </si>
  <si>
    <t>RED BAY WATER WORKS &amp; GAS BOARD</t>
  </si>
  <si>
    <t xml:space="preserve">	780465993</t>
  </si>
  <si>
    <t xml:space="preserve">	70101</t>
  </si>
  <si>
    <t>LAWRENCEBURG GAS - TN</t>
  </si>
  <si>
    <t>TN</t>
  </si>
  <si>
    <t>LAWRENCE</t>
  </si>
  <si>
    <t xml:space="preserve">	19521016</t>
  </si>
  <si>
    <t>LAWRENCEBURG, TENNESSEE, CITYOF</t>
  </si>
  <si>
    <t xml:space="preserve">	078955341</t>
  </si>
  <si>
    <t xml:space="preserve">	70102</t>
  </si>
  <si>
    <t>UNIT CITIES - MURFREESBORO, TN</t>
  </si>
  <si>
    <t>RUTHERFORD</t>
  </si>
  <si>
    <t xml:space="preserve">	19530104</t>
  </si>
  <si>
    <t>20200316 14:22:05</t>
  </si>
  <si>
    <t>ATMOS ENERGY CORPORATION</t>
  </si>
  <si>
    <t xml:space="preserve">	159717263</t>
  </si>
  <si>
    <t>C003008</t>
  </si>
  <si>
    <t>MURFREESBORO (SMRYNA TAP) 70102</t>
  </si>
  <si>
    <t xml:space="preserve">	70104</t>
  </si>
  <si>
    <t>LAFAYETTE, TN</t>
  </si>
  <si>
    <t>MACON</t>
  </si>
  <si>
    <t xml:space="preserve">	19551108</t>
  </si>
  <si>
    <t>20200316 14:52:01</t>
  </si>
  <si>
    <t>LAFAYETTE, TENNESSEE, CITY OF</t>
  </si>
  <si>
    <t xml:space="preserve">	048848693</t>
  </si>
  <si>
    <t xml:space="preserve">	70107</t>
  </si>
  <si>
    <t>ARKLA INC. - CABOT, AR</t>
  </si>
  <si>
    <t>AR</t>
  </si>
  <si>
    <t>LONOKE</t>
  </si>
  <si>
    <t xml:space="preserve">	19530128</t>
  </si>
  <si>
    <t>20190717 06:47:15</t>
  </si>
  <si>
    <t>ARKANSAS LOUISIANA GAS COMPANY FOR BEEBE AND CABOT</t>
  </si>
  <si>
    <t xml:space="preserve">	0000005347</t>
  </si>
  <si>
    <t xml:space="preserve">	70108</t>
  </si>
  <si>
    <t>ARKLA INC. - BEEBE, AR</t>
  </si>
  <si>
    <t xml:space="preserve">	70109</t>
  </si>
  <si>
    <t>ARKLA INC. - LIGHT, AR</t>
  </si>
  <si>
    <t xml:space="preserve">	19530120</t>
  </si>
  <si>
    <t>ARKANSAS LOUISIANA GAS COMPANY FOR PARAGOULD, AR</t>
  </si>
  <si>
    <t xml:space="preserve">	0000005346</t>
  </si>
  <si>
    <t xml:space="preserve">	70110</t>
  </si>
  <si>
    <t>ASSOC NAT GAS - PIGGOTT, AR</t>
  </si>
  <si>
    <t>CLAY</t>
  </si>
  <si>
    <t xml:space="preserve">	19530604</t>
  </si>
  <si>
    <t>BLACK HILLS ENERGY ARKANSAS, INC.</t>
  </si>
  <si>
    <t xml:space="preserve">	0000030481</t>
  </si>
  <si>
    <t>C001693</t>
  </si>
  <si>
    <t xml:space="preserve">	70119</t>
  </si>
  <si>
    <t>CHAMBERSBURG, PA</t>
  </si>
  <si>
    <t xml:space="preserve">	19530309</t>
  </si>
  <si>
    <t>CHAMBERSBURG, PA, BOROUGH OF</t>
  </si>
  <si>
    <t xml:space="preserve">	797195984</t>
  </si>
  <si>
    <t xml:space="preserve">	70122</t>
  </si>
  <si>
    <t>CAIRO, PUBLIC</t>
  </si>
  <si>
    <t>UNION</t>
  </si>
  <si>
    <t>CAIRO PUBLIC UTILITY COMPANY</t>
  </si>
  <si>
    <t xml:space="preserve">	0000025010</t>
  </si>
  <si>
    <t xml:space="preserve">	70123</t>
  </si>
  <si>
    <t>MISS RIVER FUEL TRANSMISSION - BALD KNOB, AR (REC)</t>
  </si>
  <si>
    <t>R</t>
  </si>
  <si>
    <t xml:space="preserve">	19520802</t>
  </si>
  <si>
    <t>20200316 15:09:15</t>
  </si>
  <si>
    <t>ENABLE MISSISSIPPI RIVER TRANSMISSION, LLC</t>
  </si>
  <si>
    <t xml:space="preserve">	0000030232</t>
  </si>
  <si>
    <t>C000545</t>
  </si>
  <si>
    <t xml:space="preserve">	13313</t>
  </si>
  <si>
    <t>TET BALD KNOB WHITE CO.</t>
  </si>
  <si>
    <t xml:space="preserve">	70128</t>
  </si>
  <si>
    <t>PUBLIC SERVICE - LINDEN, NJ</t>
  </si>
  <si>
    <t xml:space="preserve">	19530609</t>
  </si>
  <si>
    <t xml:space="preserve">	70129</t>
  </si>
  <si>
    <t>LOUIS DREYFUS</t>
  </si>
  <si>
    <t>TX</t>
  </si>
  <si>
    <t>HARRIS</t>
  </si>
  <si>
    <t>STX</t>
  </si>
  <si>
    <t>END</t>
  </si>
  <si>
    <t xml:space="preserve">	19530819</t>
  </si>
  <si>
    <t>20190717 06:46:59</t>
  </si>
  <si>
    <t xml:space="preserve">	70149</t>
  </si>
  <si>
    <t>TE SEYMOUR DEL. - SEYMOUR, IN - CMM</t>
  </si>
  <si>
    <t>I</t>
  </si>
  <si>
    <t xml:space="preserve">	20160901</t>
  </si>
  <si>
    <t>20190717 06:47:25</t>
  </si>
  <si>
    <t xml:space="preserve">	70190</t>
  </si>
  <si>
    <t>NEWMAN CORP. - HARRISON CO., TX (RECEIPT)</t>
  </si>
  <si>
    <t>HARRISON</t>
  </si>
  <si>
    <t>WHD</t>
  </si>
  <si>
    <t xml:space="preserve">	20180912</t>
  </si>
  <si>
    <t>20190717 06:47:10</t>
  </si>
  <si>
    <t>THE NEWMAN CORPORATION</t>
  </si>
  <si>
    <t xml:space="preserve">	0000008046</t>
  </si>
  <si>
    <t xml:space="preserve">	70191</t>
  </si>
  <si>
    <t>CENTERPOINT ENERGY FIELD SERVICES - WASKOM, TX (RECEIPT)</t>
  </si>
  <si>
    <t>PLT</t>
  </si>
  <si>
    <t xml:space="preserve">	20161214</t>
  </si>
  <si>
    <t>20200302 10:35:14</t>
  </si>
  <si>
    <t>CENTERPOINT ENERGY FIELD SERVICES, LLC</t>
  </si>
  <si>
    <t xml:space="preserve">	0000029436</t>
  </si>
  <si>
    <t xml:space="preserve">	70192</t>
  </si>
  <si>
    <t>SMITH (HARVEY BROYLE)#2 MURPHY-BRYCELAND, BIENVILLE PSH., L</t>
  </si>
  <si>
    <t>BIENVILLE</t>
  </si>
  <si>
    <t xml:space="preserve">	19481205</t>
  </si>
  <si>
    <t>SMITH OPERATING CO</t>
  </si>
  <si>
    <t xml:space="preserve">	0000005566</t>
  </si>
  <si>
    <t xml:space="preserve">	70215</t>
  </si>
  <si>
    <t>TEXAS GAS TRANSMISSION LLC - LEBANON, OH</t>
  </si>
  <si>
    <t xml:space="preserve">	19500209</t>
  </si>
  <si>
    <t>20200603 17:18:34</t>
  </si>
  <si>
    <t xml:space="preserve">	9959</t>
  </si>
  <si>
    <t>LEBANON-TEXAS EASTERN</t>
  </si>
  <si>
    <t xml:space="preserve">	70217</t>
  </si>
  <si>
    <t>GULF SOUTH PIPELINE COMPANY- KOSCIUSKO,  MS</t>
  </si>
  <si>
    <t>ATTALA</t>
  </si>
  <si>
    <t xml:space="preserve">	19520407</t>
  </si>
  <si>
    <t>GULF SOUTH PIPELINE COMPANY, LP</t>
  </si>
  <si>
    <t xml:space="preserve">	078444247</t>
  </si>
  <si>
    <t>C000591</t>
  </si>
  <si>
    <t xml:space="preserve">	2471</t>
  </si>
  <si>
    <t>KOSCIUSKO (TO TET)</t>
  </si>
  <si>
    <t xml:space="preserve">	70238</t>
  </si>
  <si>
    <t>HUGHES EASTERN - CHICKASAW, MS</t>
  </si>
  <si>
    <t>CHICKASAW</t>
  </si>
  <si>
    <t xml:space="preserve">	19550113</t>
  </si>
  <si>
    <t>HUGHES EASTERN CORPORATION</t>
  </si>
  <si>
    <t xml:space="preserve">	0000030034</t>
  </si>
  <si>
    <t xml:space="preserve">	70244</t>
  </si>
  <si>
    <t>TRANSCO - LINDEN, NJ - DEL</t>
  </si>
  <si>
    <t xml:space="preserve">	19540807</t>
  </si>
  <si>
    <t>TRANSCONTINENTAL GAS PIPE LINE COMPANY, LLC</t>
  </si>
  <si>
    <t xml:space="preserve">	007933021</t>
  </si>
  <si>
    <t>C000654</t>
  </si>
  <si>
    <t xml:space="preserve">	1006166</t>
  </si>
  <si>
    <t>LINDEN-TETCO M3057</t>
  </si>
  <si>
    <t xml:space="preserve">	70249</t>
  </si>
  <si>
    <t>TRANSCO - SKIPPACK, PA - REC</t>
  </si>
  <si>
    <t xml:space="preserve">	19930601</t>
  </si>
  <si>
    <t xml:space="preserve">	1006249</t>
  </si>
  <si>
    <t>SKIPPACK-TETCO</t>
  </si>
  <si>
    <t xml:space="preserve">	70266</t>
  </si>
  <si>
    <t>UGI CENTRAL - HUNTINGDON GAS - HUNTINGDON, PA</t>
  </si>
  <si>
    <t>HUNTINGDON</t>
  </si>
  <si>
    <t xml:space="preserve">	19541116</t>
  </si>
  <si>
    <t>20190717 06:47:41</t>
  </si>
  <si>
    <t>HUNTINGDON GAS</t>
  </si>
  <si>
    <t xml:space="preserve">	70275</t>
  </si>
  <si>
    <t>ELIZABETHTOWN GAS COMPANY - ELIZABETH, NJ</t>
  </si>
  <si>
    <t xml:space="preserve">	19571105</t>
  </si>
  <si>
    <t>ELIZABETHTOWN GAS COMPANY</t>
  </si>
  <si>
    <t xml:space="preserve">	006972236</t>
  </si>
  <si>
    <t xml:space="preserve">	70283</t>
  </si>
  <si>
    <t>TGC LICK CREEK - WILLIAMSON CO., IL (TO TE)</t>
  </si>
  <si>
    <t>WILLIAMSON</t>
  </si>
  <si>
    <t xml:space="preserve">	19610910</t>
  </si>
  <si>
    <t>TRUNKLINE GAS COMPANY, LLC</t>
  </si>
  <si>
    <t xml:space="preserve">	007933062</t>
  </si>
  <si>
    <t>C000251</t>
  </si>
  <si>
    <t xml:space="preserve">	93074</t>
  </si>
  <si>
    <t>TEXAS EASTERN LICK CREEK</t>
  </si>
  <si>
    <t xml:space="preserve">	70295</t>
  </si>
  <si>
    <t>ANNA, IL</t>
  </si>
  <si>
    <t xml:space="preserve">	19560730</t>
  </si>
  <si>
    <t>20200316 14:20:55</t>
  </si>
  <si>
    <t>ANNA, ILLINOIS, CITY OF</t>
  </si>
  <si>
    <t xml:space="preserve">	080009905</t>
  </si>
  <si>
    <t xml:space="preserve">	70297</t>
  </si>
  <si>
    <t>ATMOS ENERGY - ETHEL - ATTALA CO. MS</t>
  </si>
  <si>
    <t xml:space="preserve">	19550927</t>
  </si>
  <si>
    <t>ETHEL</t>
  </si>
  <si>
    <t xml:space="preserve">	70298</t>
  </si>
  <si>
    <t>MISSISSIPPI VALLEY - MCCOOL, MS</t>
  </si>
  <si>
    <t xml:space="preserve">	19551003</t>
  </si>
  <si>
    <t>MCCOOL</t>
  </si>
  <si>
    <t xml:space="preserve">	70299</t>
  </si>
  <si>
    <t>FLORENCE, AL</t>
  </si>
  <si>
    <t>LAUDERDALE</t>
  </si>
  <si>
    <t xml:space="preserve">	19551018</t>
  </si>
  <si>
    <t>20200316 14:57:50</t>
  </si>
  <si>
    <t>CITY OF FLORENCE, ALABAMA</t>
  </si>
  <si>
    <t xml:space="preserve">	079124780</t>
  </si>
  <si>
    <t xml:space="preserve">	70308</t>
  </si>
  <si>
    <t>UGI CENTRAL - LEWISTOWN - JUNIATA CO., PA</t>
  </si>
  <si>
    <t>JUNIATA</t>
  </si>
  <si>
    <t xml:space="preserve">	19560522</t>
  </si>
  <si>
    <t>LEWISTOWN</t>
  </si>
  <si>
    <t xml:space="preserve">	70309</t>
  </si>
  <si>
    <t>UGI CENTRAL - POTTSVILLE GAS - BERKS CO., PA</t>
  </si>
  <si>
    <t>BERKS</t>
  </si>
  <si>
    <t xml:space="preserve">	19560413</t>
  </si>
  <si>
    <t>POTTSVILLE GAS</t>
  </si>
  <si>
    <t xml:space="preserve">	70313</t>
  </si>
  <si>
    <t>COLUMBIA, KY</t>
  </si>
  <si>
    <t>ADAIR</t>
  </si>
  <si>
    <t xml:space="preserve">	19551102</t>
  </si>
  <si>
    <t>COLUMBIA, KENTUCKY, CITY OF</t>
  </si>
  <si>
    <t xml:space="preserve">	606442333</t>
  </si>
  <si>
    <t xml:space="preserve">	70315</t>
  </si>
  <si>
    <t>SMYRNA, TN</t>
  </si>
  <si>
    <t xml:space="preserve">	19551031</t>
  </si>
  <si>
    <t>20200316 14:33:35</t>
  </si>
  <si>
    <t>SMYRNA, TENNESSEE, TOWN OF</t>
  </si>
  <si>
    <t xml:space="preserve">	101758043</t>
  </si>
  <si>
    <t xml:space="preserve">	70316</t>
  </si>
  <si>
    <t>HARTSVILLE GAS - TROUSDALE, TN</t>
  </si>
  <si>
    <t>TROUSDALE</t>
  </si>
  <si>
    <t>20190717 06:47:22</t>
  </si>
  <si>
    <t>PIEDMONT NATURAL GAS COMPANY, INC.</t>
  </si>
  <si>
    <t xml:space="preserve">	006996219</t>
  </si>
  <si>
    <t xml:space="preserve">	70321</t>
  </si>
  <si>
    <t>UGI UTILITIES, INC. (COLUMBIA GAS) - LEBANON, PA</t>
  </si>
  <si>
    <t>LEBANON</t>
  </si>
  <si>
    <t xml:space="preserve">	19551107</t>
  </si>
  <si>
    <t xml:space="preserve">	70322</t>
  </si>
  <si>
    <t>UGI UTIL (COLUMBIA GAS) - READING, PA</t>
  </si>
  <si>
    <t xml:space="preserve">	19560103</t>
  </si>
  <si>
    <t xml:space="preserve">	70323</t>
  </si>
  <si>
    <t>PEOPLES NAT - CLAYSBURG, PA</t>
  </si>
  <si>
    <t>BLAIR</t>
  </si>
  <si>
    <t xml:space="preserve">	19560201</t>
  </si>
  <si>
    <t>CLAYSBURG, PA</t>
  </si>
  <si>
    <t xml:space="preserve">	70336</t>
  </si>
  <si>
    <t>UNION ELEC. - BLOOMFIELD, MO</t>
  </si>
  <si>
    <t xml:space="preserve">	19651216</t>
  </si>
  <si>
    <t xml:space="preserve">	70355</t>
  </si>
  <si>
    <t>EQUITABLE GAS CO. - DELMONT, PA</t>
  </si>
  <si>
    <t>WESTMORELAND</t>
  </si>
  <si>
    <t xml:space="preserve">	20160912</t>
  </si>
  <si>
    <t xml:space="preserve">	11179</t>
  </si>
  <si>
    <t>DELMONT</t>
  </si>
  <si>
    <t xml:space="preserve">	70364</t>
  </si>
  <si>
    <t>MAGNUM PRODUCING, LP - MAY, TX</t>
  </si>
  <si>
    <t>KLEBERG</t>
  </si>
  <si>
    <t xml:space="preserve">	19570905</t>
  </si>
  <si>
    <t>20200706 16:35:23</t>
  </si>
  <si>
    <t>MAGNUM PRODUCING, LP</t>
  </si>
  <si>
    <t xml:space="preserve">	0000028637</t>
  </si>
  <si>
    <t xml:space="preserve">	70396</t>
  </si>
  <si>
    <t>UNITED CITIES - FRANKLIN, TN</t>
  </si>
  <si>
    <t xml:space="preserve">	19570416</t>
  </si>
  <si>
    <t>FRANKLIN (ARNO RD) 70396</t>
  </si>
  <si>
    <t xml:space="preserve">	70397</t>
  </si>
  <si>
    <t xml:space="preserve">	19571027</t>
  </si>
  <si>
    <t xml:space="preserve">	70398</t>
  </si>
  <si>
    <t>BERNIE, MO</t>
  </si>
  <si>
    <t xml:space="preserve">	19561011</t>
  </si>
  <si>
    <t>20200316 14:22:38</t>
  </si>
  <si>
    <t>BERNIE, MISSOURI, CITY OF</t>
  </si>
  <si>
    <t xml:space="preserve">	047370721</t>
  </si>
  <si>
    <t xml:space="preserve">	70418</t>
  </si>
  <si>
    <t>GLOSTER, MS</t>
  </si>
  <si>
    <t>AMITE</t>
  </si>
  <si>
    <t>ELA</t>
  </si>
  <si>
    <t xml:space="preserve">	19570611</t>
  </si>
  <si>
    <t>SYMMETRY ENERGY SOLUTIONS, LLC</t>
  </si>
  <si>
    <t xml:space="preserve">	838611739</t>
  </si>
  <si>
    <t xml:space="preserve">	70419</t>
  </si>
  <si>
    <t>MEADVILLE, MS</t>
  </si>
  <si>
    <t xml:space="preserve">	19570118</t>
  </si>
  <si>
    <t>MEADVILLE</t>
  </si>
  <si>
    <t xml:space="preserve">	70420</t>
  </si>
  <si>
    <t>BUDE, MS</t>
  </si>
  <si>
    <t xml:space="preserve">	19570119</t>
  </si>
  <si>
    <t>BUDE</t>
  </si>
  <si>
    <t xml:space="preserve">	70421</t>
  </si>
  <si>
    <t>FLORA, MS</t>
  </si>
  <si>
    <t>HINDS</t>
  </si>
  <si>
    <t xml:space="preserve">	19570123</t>
  </si>
  <si>
    <t xml:space="preserve">	70421-01/70421-02</t>
  </si>
  <si>
    <t>FLORA 70421/FLORA 70421</t>
  </si>
  <si>
    <t xml:space="preserve">	70428</t>
  </si>
  <si>
    <t>EDMONTON, KY</t>
  </si>
  <si>
    <t>METCALFE</t>
  </si>
  <si>
    <t xml:space="preserve">	19590323</t>
  </si>
  <si>
    <t>20200316 15:21:54</t>
  </si>
  <si>
    <t>EDMONTON, KY, CITY OF</t>
  </si>
  <si>
    <t xml:space="preserve">	040432783</t>
  </si>
  <si>
    <t xml:space="preserve">	70429</t>
  </si>
  <si>
    <t>TOMPKINSVILLE, KY</t>
  </si>
  <si>
    <t xml:space="preserve">	19580510</t>
  </si>
  <si>
    <t>20190717 06:47:23</t>
  </si>
  <si>
    <t>TOMPKINSVILLE, KENTUCKY CITY OF</t>
  </si>
  <si>
    <t xml:space="preserve">	029630571</t>
  </si>
  <si>
    <t xml:space="preserve">	70430</t>
  </si>
  <si>
    <t>PULASKI, TN</t>
  </si>
  <si>
    <t xml:space="preserve">	19570816</t>
  </si>
  <si>
    <t>20200316 14:34:03</t>
  </si>
  <si>
    <t>PULASKI, TENNESSEE, CITY OF</t>
  </si>
  <si>
    <t xml:space="preserve">	078229812</t>
  </si>
  <si>
    <t xml:space="preserve">	70441</t>
  </si>
  <si>
    <t>GRAYVILLE, IL</t>
  </si>
  <si>
    <t xml:space="preserve">	19580703</t>
  </si>
  <si>
    <t>GRAYVILLE, ILLINOIS, CITY OF</t>
  </si>
  <si>
    <t xml:space="preserve">	034047811</t>
  </si>
  <si>
    <t xml:space="preserve">	70442</t>
  </si>
  <si>
    <t>CROSSVILLE, IL</t>
  </si>
  <si>
    <t xml:space="preserve">	19590716</t>
  </si>
  <si>
    <t>CROSSVILLE, IL, VILLAGE OF</t>
  </si>
  <si>
    <t xml:space="preserve">	050725571</t>
  </si>
  <si>
    <t xml:space="preserve">	70449</t>
  </si>
  <si>
    <t>PUBLIC SERVICE - CENTRAL WORKS, NJ</t>
  </si>
  <si>
    <t xml:space="preserve">	19581230</t>
  </si>
  <si>
    <t xml:space="preserve">	70457</t>
  </si>
  <si>
    <t>LAWRENCEBURG, TN</t>
  </si>
  <si>
    <t xml:space="preserve">	19570909</t>
  </si>
  <si>
    <t xml:space="preserve">	70458</t>
  </si>
  <si>
    <t>PEOPLES NAT - EBENSBURG, PA</t>
  </si>
  <si>
    <t>CAMBRIA</t>
  </si>
  <si>
    <t xml:space="preserve">	19570903</t>
  </si>
  <si>
    <t>EBENSBURG, PA</t>
  </si>
  <si>
    <t xml:space="preserve">	70463</t>
  </si>
  <si>
    <t>UGI CENTRAL - COUNTIES GAS CO. - MIFFLIN CO., PA</t>
  </si>
  <si>
    <t>MIFFLIN</t>
  </si>
  <si>
    <t xml:space="preserve">	19630206</t>
  </si>
  <si>
    <t>COUNTIES GAS COMPANY</t>
  </si>
  <si>
    <t xml:space="preserve">	70468</t>
  </si>
  <si>
    <t>COLUMBIA GAS - CORWIN, OH</t>
  </si>
  <si>
    <t xml:space="preserve">	19580523</t>
  </si>
  <si>
    <t xml:space="preserve">	C5</t>
  </si>
  <si>
    <t>CORWIN-6</t>
  </si>
  <si>
    <t xml:space="preserve">	70471</t>
  </si>
  <si>
    <t>DOMINION TRANSMISSION INC - WOODSFIELD, OH</t>
  </si>
  <si>
    <t xml:space="preserve">	19571101</t>
  </si>
  <si>
    <t>20200316 14:25:48</t>
  </si>
  <si>
    <t>THE EAST OHIO GAS COMPANY DBA DOMINION ENERGY OHIO</t>
  </si>
  <si>
    <t xml:space="preserve">	007900475</t>
  </si>
  <si>
    <t xml:space="preserve">	70473</t>
  </si>
  <si>
    <t>TEXANA MIDSTREAM COMPANY LP</t>
  </si>
  <si>
    <t>COLORADO</t>
  </si>
  <si>
    <t>PETROLEUM FUELS MIDSTREAM HOLDING, LLC</t>
  </si>
  <si>
    <t xml:space="preserve">	0000029951</t>
  </si>
  <si>
    <t xml:space="preserve">	70474</t>
  </si>
  <si>
    <t>ETC TEXAS PIPELINE, LTD-SEALY, TX- DEL (B/D 73311)</t>
  </si>
  <si>
    <t>AUSTIN</t>
  </si>
  <si>
    <t xml:space="preserve">	19571018</t>
  </si>
  <si>
    <t>OASIS PIPELINE, LP</t>
  </si>
  <si>
    <t xml:space="preserve">	0000030504</t>
  </si>
  <si>
    <t>C001006</t>
  </si>
  <si>
    <t xml:space="preserve">	8153225A</t>
  </si>
  <si>
    <t>SPECTRA/TETCO PETERS #1 AND #2 OMV</t>
  </si>
  <si>
    <t xml:space="preserve">	70478</t>
  </si>
  <si>
    <t>NEW HARMONY, IL</t>
  </si>
  <si>
    <t xml:space="preserve">	19591022</t>
  </si>
  <si>
    <t>20200316 14:37:48</t>
  </si>
  <si>
    <t>NEW HARMONY, IN, TOWN OF</t>
  </si>
  <si>
    <t xml:space="preserve">	183082635</t>
  </si>
  <si>
    <t xml:space="preserve">	70480</t>
  </si>
  <si>
    <t>HORTON HIGHWAY - TRIUNE, TN</t>
  </si>
  <si>
    <t xml:space="preserve">	19590630</t>
  </si>
  <si>
    <t>HORTON HIGHWAY UTILITY DISTRICT</t>
  </si>
  <si>
    <t xml:space="preserve">	081460024</t>
  </si>
  <si>
    <t xml:space="preserve">	70486</t>
  </si>
  <si>
    <t>UGI UTIL (COLUMBIA GAS) - WOMELSDORF, PA</t>
  </si>
  <si>
    <t xml:space="preserve">	19571108</t>
  </si>
  <si>
    <t xml:space="preserve">	70517</t>
  </si>
  <si>
    <t>PECO - ALAN WOOD STEEL, PA</t>
  </si>
  <si>
    <t xml:space="preserve">	19590316</t>
  </si>
  <si>
    <t xml:space="preserve">	70519</t>
  </si>
  <si>
    <t>UGI UTIL (COLUMBIA GAS) - DAUPHIN CO., PA</t>
  </si>
  <si>
    <t>DAUPHIN</t>
  </si>
  <si>
    <t xml:space="preserve">	19581008</t>
  </si>
  <si>
    <t>20190717 06:47:42</t>
  </si>
  <si>
    <t xml:space="preserve">	70521</t>
  </si>
  <si>
    <t>DUKE ENERGY OHIO, INC. DICKS CREEK</t>
  </si>
  <si>
    <t>BUTLER</t>
  </si>
  <si>
    <t xml:space="preserve">	19581201</t>
  </si>
  <si>
    <t>20190717 06:47:26</t>
  </si>
  <si>
    <t>DUKE ENERGY OHIO, INC. (REG)</t>
  </si>
  <si>
    <t xml:space="preserve">	006999189</t>
  </si>
  <si>
    <t>C000295</t>
  </si>
  <si>
    <t>DICK'S CREEK</t>
  </si>
  <si>
    <t xml:space="preserve">	70524</t>
  </si>
  <si>
    <t>ATMOS ENERGY - AMORY, MS</t>
  </si>
  <si>
    <t xml:space="preserve">	19560105</t>
  </si>
  <si>
    <t>AMORY</t>
  </si>
  <si>
    <t xml:space="preserve">	70532</t>
  </si>
  <si>
    <t>ATMOS ENERGY CORPORATION- BENTON, MO</t>
  </si>
  <si>
    <t xml:space="preserve">	19581217</t>
  </si>
  <si>
    <t>ATMOS BENTON</t>
  </si>
  <si>
    <t xml:space="preserve">	70539</t>
  </si>
  <si>
    <t>S.I.G. &amp; ELEC -FT. BRANCH, IN</t>
  </si>
  <si>
    <t>GIBSON</t>
  </si>
  <si>
    <t xml:space="preserve">	19590702</t>
  </si>
  <si>
    <t>20200316 14:32:14</t>
  </si>
  <si>
    <t>SOUTHERN INDIANA GAS &amp; ELECTRIC COMPANY</t>
  </si>
  <si>
    <t xml:space="preserve">	006937015</t>
  </si>
  <si>
    <t xml:space="preserve">	70548</t>
  </si>
  <si>
    <t>STARKS UTILITIES - STARKS, LA</t>
  </si>
  <si>
    <t>CALCASIEU</t>
  </si>
  <si>
    <t>WLA</t>
  </si>
  <si>
    <t xml:space="preserve">	19640616</t>
  </si>
  <si>
    <t>STARKS WATER AND GAS, INC</t>
  </si>
  <si>
    <t xml:space="preserve">	0000003950</t>
  </si>
  <si>
    <t xml:space="preserve">	70552</t>
  </si>
  <si>
    <t>TE TODHUNTER - TODHUNTER, OH</t>
  </si>
  <si>
    <t xml:space="preserve">	19581214</t>
  </si>
  <si>
    <t xml:space="preserve">	70573</t>
  </si>
  <si>
    <t>BATESVILLE, IN</t>
  </si>
  <si>
    <t>RIPLEY</t>
  </si>
  <si>
    <t xml:space="preserve">	19590928</t>
  </si>
  <si>
    <t>BATESVILLE, IN, CITY OF</t>
  </si>
  <si>
    <t xml:space="preserve">	087438255</t>
  </si>
  <si>
    <t xml:space="preserve">	70579</t>
  </si>
  <si>
    <t>COLUMBIA GAS OF  PA.  - ROCKWOOD, PA</t>
  </si>
  <si>
    <t xml:space="preserve">	19591104</t>
  </si>
  <si>
    <t xml:space="preserve">	70582</t>
  </si>
  <si>
    <t>MIDWEST NAT. - BROWNSTOWN, IN</t>
  </si>
  <si>
    <t xml:space="preserve">	19591221</t>
  </si>
  <si>
    <t>20200316 14:39:12</t>
  </si>
  <si>
    <t>MIDWEST NATURAL GAS CORPORATION FOR BROWNSTONE &amp; MEDORA, INDIANA</t>
  </si>
  <si>
    <t xml:space="preserve">	088908413</t>
  </si>
  <si>
    <t xml:space="preserve">	70583</t>
  </si>
  <si>
    <t>MIDWEST NAT. -NORTH VERNON, IN</t>
  </si>
  <si>
    <t>JENNINGS</t>
  </si>
  <si>
    <t>20200316 14:39:43</t>
  </si>
  <si>
    <t>MIDWEST NATURAL GAS CORPORATION FOR NORTH VERNON</t>
  </si>
  <si>
    <t xml:space="preserve">	0000002760</t>
  </si>
  <si>
    <t xml:space="preserve">	70584</t>
  </si>
  <si>
    <t>ELIZABETHTOWN GAS COMPANY - RINGOES, NJ</t>
  </si>
  <si>
    <t xml:space="preserve">	19591118</t>
  </si>
  <si>
    <t>20190717 06:47:46</t>
  </si>
  <si>
    <t xml:space="preserve">	70633</t>
  </si>
  <si>
    <t>B&amp;T OIL CO., YOWARD C.P. - BEE CO., TX</t>
  </si>
  <si>
    <t>BEE</t>
  </si>
  <si>
    <t xml:space="preserve">	19530511</t>
  </si>
  <si>
    <t>SRS PROPERTIES, LLC</t>
  </si>
  <si>
    <t xml:space="preserve">	0000030437</t>
  </si>
  <si>
    <t xml:space="preserve">	70655</t>
  </si>
  <si>
    <t>LINN EXCHANGE PROPERTIES, LLC-SOUTHWEST GOHLKE CP - VICTORI</t>
  </si>
  <si>
    <t>VICTORIA</t>
  </si>
  <si>
    <t xml:space="preserve">	19560325</t>
  </si>
  <si>
    <t>SYDRI OPERATING, LLC</t>
  </si>
  <si>
    <t xml:space="preserve">	0000030647</t>
  </si>
  <si>
    <t xml:space="preserve">	70675</t>
  </si>
  <si>
    <t>MOSBACHER-MORGAN #1, LIVE OAK CO. TX</t>
  </si>
  <si>
    <t>LIVE OAK</t>
  </si>
  <si>
    <t xml:space="preserve">	20190930</t>
  </si>
  <si>
    <t>20190930 09:20:25</t>
  </si>
  <si>
    <t>MOSBACHER ENERGY COMPANY</t>
  </si>
  <si>
    <t xml:space="preserve">	0000006646</t>
  </si>
  <si>
    <t xml:space="preserve">	70689</t>
  </si>
  <si>
    <t>NOG PRODUCTION &amp; OPERATING LLC- #1 CHILDREN'S HOME - BEE CO</t>
  </si>
  <si>
    <t xml:space="preserve">	19530801</t>
  </si>
  <si>
    <t>NOG PRODUCTION &amp; OPERATING LLC</t>
  </si>
  <si>
    <t xml:space="preserve">	0000030835</t>
  </si>
  <si>
    <t xml:space="preserve">	70859</t>
  </si>
  <si>
    <t>GULF SOUTH PIPELINE, LP - HUNTSVILLE, TX  (DELIVERY)</t>
  </si>
  <si>
    <t>SAN JACINTO</t>
  </si>
  <si>
    <t xml:space="preserve">	19601213</t>
  </si>
  <si>
    <t xml:space="preserve">	1756</t>
  </si>
  <si>
    <t>HUNTSVILLE (FROM TET)</t>
  </si>
  <si>
    <t xml:space="preserve">	70877</t>
  </si>
  <si>
    <t>CONSOL. EDISON - (THRU 70058)</t>
  </si>
  <si>
    <t>CONSOLIDATED EDISON COMPANY OF NEW YORK, INC.</t>
  </si>
  <si>
    <t xml:space="preserve">	006982359</t>
  </si>
  <si>
    <t xml:space="preserve">	70878</t>
  </si>
  <si>
    <t>LONG ISL. LIGHTING-(THRU70058)</t>
  </si>
  <si>
    <t>KEYSPAN GAS EAST CORPORATION D/B/A NATIONAL GRID</t>
  </si>
  <si>
    <t xml:space="preserve">	053106352</t>
  </si>
  <si>
    <t>C001658</t>
  </si>
  <si>
    <t xml:space="preserve">	70907</t>
  </si>
  <si>
    <t>DUKE ENERGY OHIO INC. MILLVILLE</t>
  </si>
  <si>
    <t xml:space="preserve">	19601029</t>
  </si>
  <si>
    <t>MILLVILLE</t>
  </si>
  <si>
    <t xml:space="preserve">	70912</t>
  </si>
  <si>
    <t>BRITANCO, LLC WILCOX - TULETA CP, BEE CO., TX</t>
  </si>
  <si>
    <t xml:space="preserve">	19600809</t>
  </si>
  <si>
    <t>BRITANCO, LLC</t>
  </si>
  <si>
    <t xml:space="preserve">	0000027340</t>
  </si>
  <si>
    <t xml:space="preserve">	70930</t>
  </si>
  <si>
    <t>TEXACO - ALTAIR, COLORADO CO., TX</t>
  </si>
  <si>
    <t xml:space="preserve">	20200709</t>
  </si>
  <si>
    <t>20200709 09:20:27</t>
  </si>
  <si>
    <t>ELLIOTT OIL &amp; GAS OPERATING CO.</t>
  </si>
  <si>
    <t xml:space="preserve">	0000030532</t>
  </si>
  <si>
    <t xml:space="preserve">	70937</t>
  </si>
  <si>
    <t>CONSUMERS GAS CO. - OMAHA, IL</t>
  </si>
  <si>
    <t xml:space="preserve">	19631120</t>
  </si>
  <si>
    <t>20200316 15:23:14</t>
  </si>
  <si>
    <t>CONSUMERS GAS CO FOR OMAHA, IL</t>
  </si>
  <si>
    <t xml:space="preserve">	0000005357</t>
  </si>
  <si>
    <t xml:space="preserve">	70939</t>
  </si>
  <si>
    <t>INDIANA GAS - FRENCH LICK, IN</t>
  </si>
  <si>
    <t>ORANGE</t>
  </si>
  <si>
    <t xml:space="preserve">	19650913</t>
  </si>
  <si>
    <t>INDIANA NATURAL GAS</t>
  </si>
  <si>
    <t xml:space="preserve">	044911683</t>
  </si>
  <si>
    <t xml:space="preserve">	70940</t>
  </si>
  <si>
    <t>INDIANA GAS CO. - WESTPORT, IN</t>
  </si>
  <si>
    <t xml:space="preserve">	19621229</t>
  </si>
  <si>
    <t xml:space="preserve">	70941</t>
  </si>
  <si>
    <t>LAWRENCEBURG GAS, IN</t>
  </si>
  <si>
    <t xml:space="preserve">	19630920</t>
  </si>
  <si>
    <t>20200316 14:29:17</t>
  </si>
  <si>
    <t>SYCAMORE GAS COMPANY</t>
  </si>
  <si>
    <t xml:space="preserve">	088656632</t>
  </si>
  <si>
    <t xml:space="preserve">	70949</t>
  </si>
  <si>
    <t>PUBLIC SERVICE - HANOVER, NJ</t>
  </si>
  <si>
    <t>MORRIS</t>
  </si>
  <si>
    <t xml:space="preserve">	19631017</t>
  </si>
  <si>
    <t xml:space="preserve">	70953</t>
  </si>
  <si>
    <t>NEW JERSEY NATURAL - FREEHOLD, NJ</t>
  </si>
  <si>
    <t xml:space="preserve">	19611211</t>
  </si>
  <si>
    <t>NEW JERSEY NATURAL GAS COMPANY</t>
  </si>
  <si>
    <t xml:space="preserve">	061843553</t>
  </si>
  <si>
    <t xml:space="preserve">	70958</t>
  </si>
  <si>
    <t>HURST - SILOAM, MS</t>
  </si>
  <si>
    <t xml:space="preserve">	19610508</t>
  </si>
  <si>
    <t>BRUXOIL INC</t>
  </si>
  <si>
    <t xml:space="preserve">	007850985</t>
  </si>
  <si>
    <t xml:space="preserve">	70970</t>
  </si>
  <si>
    <t>NGC ENERGY RESOURCES - SLIGO GAS PLANT, LA  (RECEIPT)</t>
  </si>
  <si>
    <t>BOSSIER</t>
  </si>
  <si>
    <t xml:space="preserve">	19620818</t>
  </si>
  <si>
    <t xml:space="preserve">	70983</t>
  </si>
  <si>
    <t>DOMINION TRANSMISSION INC - POWHATAN POINT, OH</t>
  </si>
  <si>
    <t xml:space="preserve">	19611005</t>
  </si>
  <si>
    <t xml:space="preserve">	70984</t>
  </si>
  <si>
    <t>COLUMBIA GAS - NEW HOLLAND, OH</t>
  </si>
  <si>
    <t xml:space="preserve">	19620717</t>
  </si>
  <si>
    <t xml:space="preserve">	C8</t>
  </si>
  <si>
    <t>NEW HOLLAND-6</t>
  </si>
  <si>
    <t xml:space="preserve">	71000</t>
  </si>
  <si>
    <t>GULF SOUTH PIPELINE COMPANY, LP - WEST MONROE, LA  (RECEIPT</t>
  </si>
  <si>
    <t>OUACHITA</t>
  </si>
  <si>
    <t xml:space="preserve">	19611031</t>
  </si>
  <si>
    <t xml:space="preserve">	3343</t>
  </si>
  <si>
    <t>WEST MONROE (TO TET)</t>
  </si>
  <si>
    <t xml:space="preserve">	71017</t>
  </si>
  <si>
    <t>ALGONQUIN - GOETHALS BRIDGE, NY</t>
  </si>
  <si>
    <t>NEW YORK</t>
  </si>
  <si>
    <t>OTH</t>
  </si>
  <si>
    <t xml:space="preserve">	20161201</t>
  </si>
  <si>
    <t xml:space="preserve">	N/A</t>
  </si>
  <si>
    <t xml:space="preserve">	71020</t>
  </si>
  <si>
    <t>TE PRINCETON - PRINCETON, IN</t>
  </si>
  <si>
    <t xml:space="preserve">	19611116</t>
  </si>
  <si>
    <t xml:space="preserve">	71028</t>
  </si>
  <si>
    <t>COL GAS (DPL) -BOWERSVILLE, OH</t>
  </si>
  <si>
    <t>CLINTON</t>
  </si>
  <si>
    <t xml:space="preserve">	19631011</t>
  </si>
  <si>
    <t xml:space="preserve">	C6</t>
  </si>
  <si>
    <t>BOWERSVILLE-6</t>
  </si>
  <si>
    <t xml:space="preserve">	71043</t>
  </si>
  <si>
    <t>UNION ELECTRIC - VANDUSER, MO</t>
  </si>
  <si>
    <t xml:space="preserve">	19621023</t>
  </si>
  <si>
    <t xml:space="preserve">	71044</t>
  </si>
  <si>
    <t>PEOPLES GAS COMPANY LLC - DELMONT, PA</t>
  </si>
  <si>
    <t>20200805 11:52:45</t>
  </si>
  <si>
    <t>PEOPLES GAS COMPANY LLC</t>
  </si>
  <si>
    <t xml:space="preserve">	0000030680</t>
  </si>
  <si>
    <t xml:space="preserve">	71046</t>
  </si>
  <si>
    <t>HARRISBURG, AR</t>
  </si>
  <si>
    <t xml:space="preserve">	19631217</t>
  </si>
  <si>
    <t>20200316 14:55:17</t>
  </si>
  <si>
    <t>HARRISBURG, AR, CITY OF</t>
  </si>
  <si>
    <t xml:space="preserve">	067717421</t>
  </si>
  <si>
    <t xml:space="preserve">	71075</t>
  </si>
  <si>
    <t>ELIZABETHTOWN GAS COMPANY - PERTH AMBOY, NJ</t>
  </si>
  <si>
    <t xml:space="preserve">	71076</t>
  </si>
  <si>
    <t>NEW JERSEY NATURAL - HANOVER, NJ</t>
  </si>
  <si>
    <t xml:space="preserve">	19631216</t>
  </si>
  <si>
    <t xml:space="preserve">	71078</t>
  </si>
  <si>
    <t>ALGONQUIN - HANOVER, NJ</t>
  </si>
  <si>
    <t xml:space="preserve">	19631101</t>
  </si>
  <si>
    <t>20191016 15:20:28</t>
  </si>
  <si>
    <t xml:space="preserve">	00211</t>
  </si>
  <si>
    <t>TETCO - HANOVER (MORRIS,NJ)</t>
  </si>
  <si>
    <t xml:space="preserve">	71081</t>
  </si>
  <si>
    <t>COMMUNITY GAS - CYNTHIANA, IN</t>
  </si>
  <si>
    <t>COMMUNITY NATURAL GAS COMPANY</t>
  </si>
  <si>
    <t xml:space="preserve">	007814049</t>
  </si>
  <si>
    <t xml:space="preserve">	71088</t>
  </si>
  <si>
    <t>SOUTHERN NATURAL #2 (TO TE) - KOSCIUSKO,MS (FROM TE 70028)</t>
  </si>
  <si>
    <t xml:space="preserve">	20170504</t>
  </si>
  <si>
    <t>20170504 13:20:16</t>
  </si>
  <si>
    <t>SOUTHERN NATURAL GAS COMPANY</t>
  </si>
  <si>
    <t xml:space="preserve">	006900518</t>
  </si>
  <si>
    <t>C000021</t>
  </si>
  <si>
    <t xml:space="preserve">	600800</t>
  </si>
  <si>
    <t>TEXAS EASTERN/SNG</t>
  </si>
  <si>
    <t xml:space="preserve">	71141</t>
  </si>
  <si>
    <t>ASSOC NATURAL GAS - BERNIE, MO</t>
  </si>
  <si>
    <t xml:space="preserve">	19630830</t>
  </si>
  <si>
    <t>BERNIE</t>
  </si>
  <si>
    <t xml:space="preserve">	71142</t>
  </si>
  <si>
    <t>VERNON FAULKNER-SAN SALVADOR FIELD - HIDALGO CO., TX  (REC)</t>
  </si>
  <si>
    <t>HIDALGO</t>
  </si>
  <si>
    <t xml:space="preserve">	19870427</t>
  </si>
  <si>
    <t>VERNON E. FAULCONER, INC.</t>
  </si>
  <si>
    <t xml:space="preserve">	139549646</t>
  </si>
  <si>
    <t xml:space="preserve">	71143</t>
  </si>
  <si>
    <t>UGI CENTRAL - INTERBORO GAS - BELLVILLE, PA</t>
  </si>
  <si>
    <t xml:space="preserve">	19630919</t>
  </si>
  <si>
    <t>INTERBORO GAS - BELLVILLE</t>
  </si>
  <si>
    <t xml:space="preserve">	71144</t>
  </si>
  <si>
    <t>UGI CENTRAL - TWIN GAS - BEDFORD, PA</t>
  </si>
  <si>
    <t>BEDFORD</t>
  </si>
  <si>
    <t xml:space="preserve">	19630604</t>
  </si>
  <si>
    <t>TWIN GAS - BEDFORD</t>
  </si>
  <si>
    <t xml:space="preserve">	71170</t>
  </si>
  <si>
    <t>MIDWEST NAT. GAS - MEDORA, IN</t>
  </si>
  <si>
    <t xml:space="preserve">	19630904</t>
  </si>
  <si>
    <t xml:space="preserve">	71189</t>
  </si>
  <si>
    <t>UGI CENTRAL - VALLEY GAS - MARTINSBURG, PA</t>
  </si>
  <si>
    <t xml:space="preserve">	19631209</t>
  </si>
  <si>
    <t>20190717 06:47:40</t>
  </si>
  <si>
    <t>VALLEY GAS- MARTINSBURG</t>
  </si>
  <si>
    <t xml:space="preserve">	71190</t>
  </si>
  <si>
    <t>POSEYVILLE, IN</t>
  </si>
  <si>
    <t xml:space="preserve">	19640812</t>
  </si>
  <si>
    <t>POSEYVILLE TOWN OF</t>
  </si>
  <si>
    <t xml:space="preserve">	048055628</t>
  </si>
  <si>
    <t xml:space="preserve">	71196</t>
  </si>
  <si>
    <t>PUBLIC SERVICE - BOUND BROOK, NJ</t>
  </si>
  <si>
    <t xml:space="preserve">	19640318</t>
  </si>
  <si>
    <t xml:space="preserve">	71200</t>
  </si>
  <si>
    <t>CHEVRON - VENICE, LA</t>
  </si>
  <si>
    <t>PLAQUEMINES</t>
  </si>
  <si>
    <t xml:space="preserve">	19641008</t>
  </si>
  <si>
    <t>20190717 06:47:02</t>
  </si>
  <si>
    <t>VGS PIPELINE COMPANY</t>
  </si>
  <si>
    <t xml:space="preserve">	0000006719</t>
  </si>
  <si>
    <t xml:space="preserve">	71207</t>
  </si>
  <si>
    <t>PUBLIC SERVICE - BASKING RIDGE, NJ (THRU 71078)- BERNARDS</t>
  </si>
  <si>
    <t xml:space="preserve">	19641101</t>
  </si>
  <si>
    <t xml:space="preserve">	71208</t>
  </si>
  <si>
    <t>PUBLIC SERVICE - MORRISTOWN, NJ (THRU 71078)</t>
  </si>
  <si>
    <t xml:space="preserve">	19641105</t>
  </si>
  <si>
    <t xml:space="preserve">	71209</t>
  </si>
  <si>
    <t>PUBLIC SERVICE - WANAQUE, NJ</t>
  </si>
  <si>
    <t>PASSAIC</t>
  </si>
  <si>
    <t xml:space="preserve">	71210</t>
  </si>
  <si>
    <t>AGT-WANAQUE INTERCONNECT. (PASSAIC,NJ)</t>
  </si>
  <si>
    <t xml:space="preserve">	20071102</t>
  </si>
  <si>
    <t xml:space="preserve">	00208</t>
  </si>
  <si>
    <t>AGT-WANAQUE INTERCONNECT (PASSAIC,NJ)</t>
  </si>
  <si>
    <t xml:space="preserve">	71217</t>
  </si>
  <si>
    <t>TE - LBI INSTRUMENT GAS - GREENSBURG, PA</t>
  </si>
  <si>
    <t xml:space="preserve">	19640901</t>
  </si>
  <si>
    <t xml:space="preserve">	71219</t>
  </si>
  <si>
    <t>COLUMBIA GAS OF PA. - YORK CO. PA.</t>
  </si>
  <si>
    <t>YORK</t>
  </si>
  <si>
    <t xml:space="preserve">	19641116</t>
  </si>
  <si>
    <t xml:space="preserve">	71220</t>
  </si>
  <si>
    <t>PECO ENERGY - E. GREENVILLE, PA</t>
  </si>
  <si>
    <t xml:space="preserve">	71221</t>
  </si>
  <si>
    <t>MISSISSIPPI GAS CORP. - REEVES, LA</t>
  </si>
  <si>
    <t>ALLEN</t>
  </si>
  <si>
    <t xml:space="preserve">	19650429</t>
  </si>
  <si>
    <t>MISSISSIPPI GAS CORPORATION FOR REEVES</t>
  </si>
  <si>
    <t xml:space="preserve">	0000005360</t>
  </si>
  <si>
    <t xml:space="preserve">	71240</t>
  </si>
  <si>
    <t>ENFIELD, IL</t>
  </si>
  <si>
    <t xml:space="preserve">	19661207</t>
  </si>
  <si>
    <t>20200316 15:21:29</t>
  </si>
  <si>
    <t>ENFIELD, ILLINOIS, VILLAGE OF</t>
  </si>
  <si>
    <t xml:space="preserve">	130061674</t>
  </si>
  <si>
    <t xml:space="preserve">	71241</t>
  </si>
  <si>
    <t>UTICA, MS</t>
  </si>
  <si>
    <t>COPIAH</t>
  </si>
  <si>
    <t xml:space="preserve">	19640930</t>
  </si>
  <si>
    <t>UTICA, MS, TOWN OF</t>
  </si>
  <si>
    <t xml:space="preserve">	031290746</t>
  </si>
  <si>
    <t xml:space="preserve">	71242</t>
  </si>
  <si>
    <t>CEN IL PUB SERV -GOREVILLE, IL</t>
  </si>
  <si>
    <t>JOHNSON</t>
  </si>
  <si>
    <t xml:space="preserve">	19650710</t>
  </si>
  <si>
    <t>AMEREN ILLINOIS COMPANY DBA AMEREN ILLINOIS</t>
  </si>
  <si>
    <t xml:space="preserve">	006936017</t>
  </si>
  <si>
    <t>C003986</t>
  </si>
  <si>
    <t xml:space="preserve">	71256</t>
  </si>
  <si>
    <t>LIBERTY, KY</t>
  </si>
  <si>
    <t xml:space="preserve">	19641208</t>
  </si>
  <si>
    <t>LIBERTY, KENTUCKY, CITY OF</t>
  </si>
  <si>
    <t xml:space="preserve">	040338501</t>
  </si>
  <si>
    <t xml:space="preserve">	71287</t>
  </si>
  <si>
    <t>GAS UTIL DIST #2 - LOTTIE, LA</t>
  </si>
  <si>
    <t>POINTE COUPEE</t>
  </si>
  <si>
    <t xml:space="preserve">	19651201</t>
  </si>
  <si>
    <t>GAS UTILITY DISTRICT OF POINTE COUPEE PARRISH</t>
  </si>
  <si>
    <t xml:space="preserve">	0000003320</t>
  </si>
  <si>
    <t xml:space="preserve">	71288</t>
  </si>
  <si>
    <t>GAS UTIL DIST #2 - NEW ROADS, LA</t>
  </si>
  <si>
    <t xml:space="preserve">	19651005</t>
  </si>
  <si>
    <t xml:space="preserve">	71290</t>
  </si>
  <si>
    <t>BRITANCO, LLC - LOMA ALTA HAGIST CP, DUVAL CO., TX</t>
  </si>
  <si>
    <t>DUVAL</t>
  </si>
  <si>
    <t xml:space="preserve">	71293</t>
  </si>
  <si>
    <t>LORETTO, TN</t>
  </si>
  <si>
    <t xml:space="preserve">	19660604</t>
  </si>
  <si>
    <t>20200316 14:50:28</t>
  </si>
  <si>
    <t>LORETTO, TENNESSEE, CITY OF</t>
  </si>
  <si>
    <t xml:space="preserve">	949540017</t>
  </si>
  <si>
    <t xml:space="preserve">	71297</t>
  </si>
  <si>
    <t>WEIR, CHOCTAW CO., MS</t>
  </si>
  <si>
    <t>CHOCTAW</t>
  </si>
  <si>
    <t xml:space="preserve">	19651130</t>
  </si>
  <si>
    <t>WEIR, MISSISSIPPI, TOWN OF</t>
  </si>
  <si>
    <t xml:space="preserve">	053380614</t>
  </si>
  <si>
    <t xml:space="preserve">	71298</t>
  </si>
  <si>
    <t>E.TENNESSEE GAS - MT. PLEASANT, GILES CO. TN -DEL (B/D 7629</t>
  </si>
  <si>
    <t>GILES</t>
  </si>
  <si>
    <t xml:space="preserve">	19920820</t>
  </si>
  <si>
    <t>EAST TENNESSEE NATURAL GAS, LLC</t>
  </si>
  <si>
    <t xml:space="preserve">	007921323</t>
  </si>
  <si>
    <t>C000085</t>
  </si>
  <si>
    <t xml:space="preserve">	59329</t>
  </si>
  <si>
    <t>TEXAS EASTERN - MT. PLEASANT, GILES CO., TN</t>
  </si>
  <si>
    <t xml:space="preserve">	71299</t>
  </si>
  <si>
    <t>EAST TENN GAS - HARTSVILLE, TN</t>
  </si>
  <si>
    <t xml:space="preserve">	19660130</t>
  </si>
  <si>
    <t xml:space="preserve">	59330</t>
  </si>
  <si>
    <t>TEXAS EASTERN - HARTSVILLE, TN</t>
  </si>
  <si>
    <t xml:space="preserve">	71331</t>
  </si>
  <si>
    <t>THEBES, IL</t>
  </si>
  <si>
    <t>ALEXANDER</t>
  </si>
  <si>
    <t xml:space="preserve">	19671121</t>
  </si>
  <si>
    <t>20200316 14:25:11</t>
  </si>
  <si>
    <t>THEBES, ILLINOIS,  VILLAGE OF</t>
  </si>
  <si>
    <t xml:space="preserve">	144165219</t>
  </si>
  <si>
    <t xml:space="preserve">	71353</t>
  </si>
  <si>
    <t>COL. GAS - EAST MIDDLETOWN, OH</t>
  </si>
  <si>
    <t xml:space="preserve">	19681011</t>
  </si>
  <si>
    <t xml:space="preserve">	C38</t>
  </si>
  <si>
    <t>EAST MIDDLETOWN-6</t>
  </si>
  <si>
    <t xml:space="preserve">	71362</t>
  </si>
  <si>
    <t>JONESBORO, IL</t>
  </si>
  <si>
    <t xml:space="preserve">	19670104</t>
  </si>
  <si>
    <t>JONESBORO, IL, CITY OF</t>
  </si>
  <si>
    <t xml:space="preserve">	065709438</t>
  </si>
  <si>
    <t xml:space="preserve">	71363</t>
  </si>
  <si>
    <t>COLUMBIA GAS OF  PA.  - PLEASANT GAP, PA</t>
  </si>
  <si>
    <t>CENTRE</t>
  </si>
  <si>
    <t xml:space="preserve">	19661206</t>
  </si>
  <si>
    <t xml:space="preserve">	71365</t>
  </si>
  <si>
    <t>COBDEN, IL (THRU 71362)</t>
  </si>
  <si>
    <t xml:space="preserve">	19670223</t>
  </si>
  <si>
    <t>20200316 14:31:21</t>
  </si>
  <si>
    <t>COBDEN, IL, VILLAGE OF</t>
  </si>
  <si>
    <t xml:space="preserve">	143479751</t>
  </si>
  <si>
    <t xml:space="preserve">	71366</t>
  </si>
  <si>
    <t>OSGOOD, IN</t>
  </si>
  <si>
    <t xml:space="preserve">	19670426</t>
  </si>
  <si>
    <t>OSGOOD, IN, TOWN OF</t>
  </si>
  <si>
    <t xml:space="preserve">	088653068</t>
  </si>
  <si>
    <t xml:space="preserve">	71401</t>
  </si>
  <si>
    <t>UNITED CITIES - GALATIA, IL</t>
  </si>
  <si>
    <t xml:space="preserve">	19680803</t>
  </si>
  <si>
    <t>GALATIA</t>
  </si>
  <si>
    <t xml:space="preserve">	71402</t>
  </si>
  <si>
    <t>CREAL SPRINGS, IL</t>
  </si>
  <si>
    <t xml:space="preserve">	19680909</t>
  </si>
  <si>
    <t>20200804 12:15:21</t>
  </si>
  <si>
    <t xml:space="preserve">	71423</t>
  </si>
  <si>
    <t>NEW JERSEY NATURAL - MONTVILLE, NJ</t>
  </si>
  <si>
    <t xml:space="preserve">	19671111</t>
  </si>
  <si>
    <t xml:space="preserve">	71424</t>
  </si>
  <si>
    <t>NEW ROADS, LA</t>
  </si>
  <si>
    <t xml:space="preserve">	19681007</t>
  </si>
  <si>
    <t>NEW ROADS, LOUISIANA TOWN OF</t>
  </si>
  <si>
    <t xml:space="preserve">	0000002968</t>
  </si>
  <si>
    <t xml:space="preserve">	71425</t>
  </si>
  <si>
    <t>MORGANZA, LA</t>
  </si>
  <si>
    <t xml:space="preserve">	19681010</t>
  </si>
  <si>
    <t>MORGANZA, LA, VILLAGE OF</t>
  </si>
  <si>
    <t xml:space="preserve">	170156731</t>
  </si>
  <si>
    <t xml:space="preserve">	71426</t>
  </si>
  <si>
    <t>MANTACHIE GAS DIST -FULTON, MS</t>
  </si>
  <si>
    <t xml:space="preserve">	19710722</t>
  </si>
  <si>
    <t>NORTHEAST MISSISSIPPI NATURALGAS DISTRICT</t>
  </si>
  <si>
    <t xml:space="preserve">	0000026313</t>
  </si>
  <si>
    <t xml:space="preserve">	71430</t>
  </si>
  <si>
    <t>UNITED CITIES -NOLENSVILLE, TN</t>
  </si>
  <si>
    <t xml:space="preserve">	19700114</t>
  </si>
  <si>
    <t>NOLENVILLE 71430</t>
  </si>
  <si>
    <t xml:space="preserve">	71435</t>
  </si>
  <si>
    <t>CLECO ENERGY - CHIRENO #1, TX  (DELIVERY)</t>
  </si>
  <si>
    <t>NACOGDOCHES</t>
  </si>
  <si>
    <t xml:space="preserve">	19701105</t>
  </si>
  <si>
    <t>CITY OF CHIRENO</t>
  </si>
  <si>
    <t xml:space="preserve">	0000005485</t>
  </si>
  <si>
    <t xml:space="preserve">	71436</t>
  </si>
  <si>
    <t>CLECO ENERGY - CHIRENO #2, TX  (DELIVERY)</t>
  </si>
  <si>
    <t xml:space="preserve">	19700413</t>
  </si>
  <si>
    <t xml:space="preserve">	71438</t>
  </si>
  <si>
    <t>UGI CENTRAL - DAUPHIN CO. GAS - ANNVILLE, PA</t>
  </si>
  <si>
    <t xml:space="preserve">	19691110</t>
  </si>
  <si>
    <t>DAUPHIN GAS CO - ANNVILLE</t>
  </si>
  <si>
    <t xml:space="preserve">	71439</t>
  </si>
  <si>
    <t>INDIANA GAS CO. - DUBOIS, IN</t>
  </si>
  <si>
    <t xml:space="preserve">	19680628</t>
  </si>
  <si>
    <t xml:space="preserve">	71455</t>
  </si>
  <si>
    <t>UGI CENTRAL - HUNTINGDON GAS - MAPLETON, PA</t>
  </si>
  <si>
    <t xml:space="preserve">	19681223</t>
  </si>
  <si>
    <t>HUNTINGDON GAS - MAPLETON</t>
  </si>
  <si>
    <t xml:space="preserve">	71461</t>
  </si>
  <si>
    <t>UGI UTIL (COLUMBIA GAS) - RICH HILL, PA</t>
  </si>
  <si>
    <t>BUCKS</t>
  </si>
  <si>
    <t xml:space="preserve">	19700424</t>
  </si>
  <si>
    <t xml:space="preserve">	71463</t>
  </si>
  <si>
    <t>TAMMS, IL</t>
  </si>
  <si>
    <t xml:space="preserve">	19710616</t>
  </si>
  <si>
    <t>20200316 14:28:44</t>
  </si>
  <si>
    <t>TAMMS, ILLINOIS, VILLAGE OF</t>
  </si>
  <si>
    <t xml:space="preserve">	027006352</t>
  </si>
  <si>
    <t xml:space="preserve">	71464</t>
  </si>
  <si>
    <t>PUBLIC SERVICE - HILLSBOROUGH, NJ</t>
  </si>
  <si>
    <t xml:space="preserve">	19691202</t>
  </si>
  <si>
    <t xml:space="preserve">	71467</t>
  </si>
  <si>
    <t>LLOG - BS 52, LA</t>
  </si>
  <si>
    <t>BRETON SOUND</t>
  </si>
  <si>
    <t xml:space="preserve">	20160503</t>
  </si>
  <si>
    <t>20190725 14:08:54</t>
  </si>
  <si>
    <t>CENTURY EXPLORATION NEW ORLEANS, LLC</t>
  </si>
  <si>
    <t xml:space="preserve">	0000029685</t>
  </si>
  <si>
    <t xml:space="preserve">	71469</t>
  </si>
  <si>
    <t>ATMOS ENERGY CORPORATION - QULIN, MO</t>
  </si>
  <si>
    <t xml:space="preserve">	19690603</t>
  </si>
  <si>
    <t>ATMOS QULIN</t>
  </si>
  <si>
    <t xml:space="preserve">	71473</t>
  </si>
  <si>
    <t>MISSISSIPPI GAS - LEBLANC, LA</t>
  </si>
  <si>
    <t xml:space="preserve">	19691013</t>
  </si>
  <si>
    <t>MISSISSIPPI GAS CORPORATION FOR LEBLANC, LA</t>
  </si>
  <si>
    <t xml:space="preserve">	0000005361</t>
  </si>
  <si>
    <t xml:space="preserve">	71485</t>
  </si>
  <si>
    <t>GULF SOUTH PIPELINE COMPANY - GILLIS, LA</t>
  </si>
  <si>
    <t>BEAUREGARD</t>
  </si>
  <si>
    <t xml:space="preserve">	19700311</t>
  </si>
  <si>
    <t xml:space="preserve">	3290</t>
  </si>
  <si>
    <t>GILLIS (FROM TEXAS EASTERN)</t>
  </si>
  <si>
    <t xml:space="preserve">	71486</t>
  </si>
  <si>
    <t>GULF SOUTH PIPELINE COMPANY - OPELOUSAS, LA</t>
  </si>
  <si>
    <t>ST LANDRY</t>
  </si>
  <si>
    <t xml:space="preserve">	19700218</t>
  </si>
  <si>
    <t xml:space="preserve">	3063</t>
  </si>
  <si>
    <t>OPELOUSAS (TO TET)</t>
  </si>
  <si>
    <t xml:space="preserve">	71497</t>
  </si>
  <si>
    <t>GULF SOUTH PIPELINE COMPANY, LP - CANTON, MS</t>
  </si>
  <si>
    <t>MADISON</t>
  </si>
  <si>
    <t xml:space="preserve">	19601116</t>
  </si>
  <si>
    <t xml:space="preserve">	2925</t>
  </si>
  <si>
    <t>CANTON (FROM TET)</t>
  </si>
  <si>
    <t xml:space="preserve">	71503</t>
  </si>
  <si>
    <t>HENDERSON PETROLEUM CORP.-SW LAKE BOEUF LAFOURCHE PSH.,LA</t>
  </si>
  <si>
    <t>LAFOURCHE</t>
  </si>
  <si>
    <t xml:space="preserve">	19700406</t>
  </si>
  <si>
    <t>DELTA ROYALTIES LLC</t>
  </si>
  <si>
    <t xml:space="preserve">	0000030955</t>
  </si>
  <si>
    <t xml:space="preserve">	71512</t>
  </si>
  <si>
    <t>CEN IL PUB SERV -BROUGHTON, IL</t>
  </si>
  <si>
    <t>HAMILTON</t>
  </si>
  <si>
    <t xml:space="preserve">	19711213</t>
  </si>
  <si>
    <t xml:space="preserve">	71528</t>
  </si>
  <si>
    <t>UGI UTIL (COLUMBIA GAS) - LANCASTER, PA</t>
  </si>
  <si>
    <t xml:space="preserve">	19840213</t>
  </si>
  <si>
    <t xml:space="preserve">	71579</t>
  </si>
  <si>
    <t>FIELDWOOD ENERGY</t>
  </si>
  <si>
    <t>OF</t>
  </si>
  <si>
    <t>VERMILLION</t>
  </si>
  <si>
    <t xml:space="preserve">	20190901</t>
  </si>
  <si>
    <t>20190905 09:20:27</t>
  </si>
  <si>
    <t>FIELDWOOD ENERGY LLC</t>
  </si>
  <si>
    <t xml:space="preserve">	068663836</t>
  </si>
  <si>
    <t xml:space="preserve">	71607</t>
  </si>
  <si>
    <t>VICTORIA OPERATING - ANNA BARRE FIELD, DEWITT CO., TX  (REC</t>
  </si>
  <si>
    <t>DE WITT</t>
  </si>
  <si>
    <t xml:space="preserve">	20191008</t>
  </si>
  <si>
    <t>20191008 13:20:30</t>
  </si>
  <si>
    <t>B D PRODUCTION COMPANY,INC.</t>
  </si>
  <si>
    <t xml:space="preserve">	0000028435</t>
  </si>
  <si>
    <t xml:space="preserve">	71616</t>
  </si>
  <si>
    <t>COL. GAS - FAIRFIELD CO., OH</t>
  </si>
  <si>
    <t xml:space="preserve">	19721206</t>
  </si>
  <si>
    <t xml:space="preserve">	C10</t>
  </si>
  <si>
    <t>PLESANT EXCHANGE</t>
  </si>
  <si>
    <t xml:space="preserve">	71655</t>
  </si>
  <si>
    <t>DOMINION ENERGY TRANSMISSION, INC - SOUTH OAKFORD - OAKFORD</t>
  </si>
  <si>
    <t>STR</t>
  </si>
  <si>
    <t xml:space="preserve">	19731009</t>
  </si>
  <si>
    <t>20190717 06:47:37</t>
  </si>
  <si>
    <t xml:space="preserve">	40208</t>
  </si>
  <si>
    <t>TET-OAKFORD</t>
  </si>
  <si>
    <t xml:space="preserve">	71671</t>
  </si>
  <si>
    <t>PEOPLES NAT - RAGER MOUNTAIN, PA</t>
  </si>
  <si>
    <t xml:space="preserve">	19750805</t>
  </si>
  <si>
    <t>20200521 12:31:54</t>
  </si>
  <si>
    <t>RAGER (TETCO)</t>
  </si>
  <si>
    <t xml:space="preserve">	71682</t>
  </si>
  <si>
    <t>PHILADELPHIA GAS WORKS PENROSE (EASTWICK)-PHILADELPHIA, PA</t>
  </si>
  <si>
    <t xml:space="preserve">	19760217</t>
  </si>
  <si>
    <t xml:space="preserve">	71704</t>
  </si>
  <si>
    <t>GULF SOUTH PIPELINE COMPANY, LP - DARNELL, LA  (DELIVERY)</t>
  </si>
  <si>
    <t>WEST CARROLL</t>
  </si>
  <si>
    <t xml:space="preserve">	19760331</t>
  </si>
  <si>
    <t xml:space="preserve">	4695</t>
  </si>
  <si>
    <t>WEST CARROLL (FROM TET)</t>
  </si>
  <si>
    <t xml:space="preserve">	71706</t>
  </si>
  <si>
    <t>NORAM - SHELBY CO., TX  (RECEIPT)</t>
  </si>
  <si>
    <t>SHELBY</t>
  </si>
  <si>
    <t xml:space="preserve">	19761007</t>
  </si>
  <si>
    <t xml:space="preserve">	71709</t>
  </si>
  <si>
    <t>NORAM - JEFFERSON #2, TX  (DELIVERY)</t>
  </si>
  <si>
    <t>MARION</t>
  </si>
  <si>
    <t>20200316 15:08:54</t>
  </si>
  <si>
    <t>ENABLE GAS TRANSMISSION, LLC</t>
  </si>
  <si>
    <t xml:space="preserve">	872670161</t>
  </si>
  <si>
    <t>C000544</t>
  </si>
  <si>
    <t xml:space="preserve">	2094</t>
  </si>
  <si>
    <t>TET @ JEFFERSON RECEIPT</t>
  </si>
  <si>
    <t xml:space="preserve">	71716</t>
  </si>
  <si>
    <t>TRUNKLINE - BEAUREGARD PSH., LA</t>
  </si>
  <si>
    <t xml:space="preserve">	19770415</t>
  </si>
  <si>
    <t>20200706 16:35:25</t>
  </si>
  <si>
    <t xml:space="preserve">	81717</t>
  </si>
  <si>
    <t>TETCO (BEAUREGARD PARISH)</t>
  </si>
  <si>
    <t xml:space="preserve">	71744</t>
  </si>
  <si>
    <t>DOMINION ENERGY TRANSMISSION, INC - PERULACK, PA</t>
  </si>
  <si>
    <t xml:space="preserve">	19780531</t>
  </si>
  <si>
    <t xml:space="preserve">	40209</t>
  </si>
  <si>
    <t>TET-PERULACK</t>
  </si>
  <si>
    <t xml:space="preserve">	71745</t>
  </si>
  <si>
    <t>DOMINION ENERGY TRANSMISSION, INC - CHAMBERSBURG, PA</t>
  </si>
  <si>
    <t xml:space="preserve">	19790212</t>
  </si>
  <si>
    <t xml:space="preserve">	40202</t>
  </si>
  <si>
    <t>TET-CHAMBERSBURG (PL1)</t>
  </si>
  <si>
    <t xml:space="preserve">	71747</t>
  </si>
  <si>
    <t>CONSOLIDATED GAS TRANSMISSION - UNIONTOWN, PA</t>
  </si>
  <si>
    <t xml:space="preserve">	19891101</t>
  </si>
  <si>
    <t xml:space="preserve">	40219</t>
  </si>
  <si>
    <t>TET-UNIONTOWN</t>
  </si>
  <si>
    <t xml:space="preserve">	71750</t>
  </si>
  <si>
    <t>COLUMBIA GULF - ST. LANDRY PSH., LA</t>
  </si>
  <si>
    <t xml:space="preserve">	19770927</t>
  </si>
  <si>
    <t>COLUMBIA GULF TRANSMISSION, LLC</t>
  </si>
  <si>
    <t xml:space="preserve">	007854581</t>
  </si>
  <si>
    <t>C000307</t>
  </si>
  <si>
    <t xml:space="preserve">	479 (INACTIVE)</t>
  </si>
  <si>
    <t>TETCO-ST LANDRY</t>
  </si>
  <si>
    <t xml:space="preserve">	71757</t>
  </si>
  <si>
    <t>CENTURY EXPLORATION NEW ORLEANS, INC. - BS 53, LA</t>
  </si>
  <si>
    <t xml:space="preserve">	20160404</t>
  </si>
  <si>
    <t>20190725 14:09:07</t>
  </si>
  <si>
    <t xml:space="preserve">	71773</t>
  </si>
  <si>
    <t>JAMES L. NELSON - JUNKER, DEWITT CO., TX</t>
  </si>
  <si>
    <t>JAMES L. NELSON</t>
  </si>
  <si>
    <t xml:space="preserve">	0000029125</t>
  </si>
  <si>
    <t xml:space="preserve">	71814</t>
  </si>
  <si>
    <t>ALCOA-LAVACA PIPELINE - CALHOUN, TX  (DELIVERY)</t>
  </si>
  <si>
    <t>CALHOUN</t>
  </si>
  <si>
    <t xml:space="preserve">	19850828</t>
  </si>
  <si>
    <t>LAVACA PIPE LINE COMPANY, INC.</t>
  </si>
  <si>
    <t xml:space="preserve">	615966132</t>
  </si>
  <si>
    <t xml:space="preserve">	71825</t>
  </si>
  <si>
    <t>ANR P/L CO. - FRENCH LICK, IN</t>
  </si>
  <si>
    <t xml:space="preserve">	19811203</t>
  </si>
  <si>
    <t>ANR PIPELINE COMPANY</t>
  </si>
  <si>
    <t xml:space="preserve">	006958581</t>
  </si>
  <si>
    <t>C000623</t>
  </si>
  <si>
    <t xml:space="preserve">	4421</t>
  </si>
  <si>
    <t>FRENCH LICK/TEXAS EASTERN</t>
  </si>
  <si>
    <t xml:space="preserve">	71841</t>
  </si>
  <si>
    <t>OHIO INTRASTATE ENERGY, LLC  (FORD) - BUTLER CO., OH</t>
  </si>
  <si>
    <t xml:space="preserve">	19800701</t>
  </si>
  <si>
    <t>20200805 12:25:16</t>
  </si>
  <si>
    <t>OHIO INTRASTATE ENERGY, LLC</t>
  </si>
  <si>
    <t xml:space="preserve">	0000028198</t>
  </si>
  <si>
    <t xml:space="preserve">	71862</t>
  </si>
  <si>
    <t>BRITANCO, LLC - #1D GOREE, BEE CO., TX</t>
  </si>
  <si>
    <t xml:space="preserve">	19790421</t>
  </si>
  <si>
    <t xml:space="preserve">	71887</t>
  </si>
  <si>
    <t>BRITLIND OIL, LLC. - #1 BROWN, ST.LANDRY PSH., LA</t>
  </si>
  <si>
    <t xml:space="preserve">	20200120</t>
  </si>
  <si>
    <t>20200120 10:35:14</t>
  </si>
  <si>
    <t>BRITLIND ENERGY, LLC</t>
  </si>
  <si>
    <t xml:space="preserve">	0000030499</t>
  </si>
  <si>
    <t xml:space="preserve">	71888</t>
  </si>
  <si>
    <t>HENRY MILLER #1-ACCIDENT, MD</t>
  </si>
  <si>
    <t>MD</t>
  </si>
  <si>
    <t>GARRETT</t>
  </si>
  <si>
    <t xml:space="preserve">	71889</t>
  </si>
  <si>
    <t>MAGNUM PRODUCING, LP - #1 KEAN, PT. COUPEE PSH., LA</t>
  </si>
  <si>
    <t xml:space="preserve">	20180129</t>
  </si>
  <si>
    <t>20190717 06:47:12</t>
  </si>
  <si>
    <t xml:space="preserve">	71963</t>
  </si>
  <si>
    <t>SCORPION OIL&amp;GAS, LLC-#1 FAULKNER - PONTOTOC, MS</t>
  </si>
  <si>
    <t>PONTOTOC</t>
  </si>
  <si>
    <t xml:space="preserve">	19830620</t>
  </si>
  <si>
    <t>SCORPION OIL &amp; GAS</t>
  </si>
  <si>
    <t xml:space="preserve">	0000030893</t>
  </si>
  <si>
    <t xml:space="preserve">	71964</t>
  </si>
  <si>
    <t>ENBRIDGE PIPELINES (EAST TEXAS) LP -LONGVIEW/GREGG CO., TX</t>
  </si>
  <si>
    <t>GREGG</t>
  </si>
  <si>
    <t xml:space="preserve">	19830216</t>
  </si>
  <si>
    <t>20200727 16:20:35</t>
  </si>
  <si>
    <t>MIDCOAST PIPELINES (EAST TEXAS) L.P.</t>
  </si>
  <si>
    <t xml:space="preserve">	0000030810</t>
  </si>
  <si>
    <t>C001125</t>
  </si>
  <si>
    <t xml:space="preserve">	1015464</t>
  </si>
  <si>
    <t>TET LONGVIEW</t>
  </si>
  <si>
    <t xml:space="preserve">	71987</t>
  </si>
  <si>
    <t>UGI UTIL - (GRANTVILLE) HERSHEY, PA</t>
  </si>
  <si>
    <t xml:space="preserve">	19931215</t>
  </si>
  <si>
    <t xml:space="preserve">	71993</t>
  </si>
  <si>
    <t>CIN GAS &amp; ELEC -BUTLER CO., OH</t>
  </si>
  <si>
    <t xml:space="preserve">	19810120</t>
  </si>
  <si>
    <t xml:space="preserve">	C31</t>
  </si>
  <si>
    <t>TRENTON-6</t>
  </si>
  <si>
    <t xml:space="preserve">	72004</t>
  </si>
  <si>
    <t>PECO ENERGY - PLANEBROOK CHESTER CO., PA</t>
  </si>
  <si>
    <t xml:space="preserve">	19811112</t>
  </si>
  <si>
    <t xml:space="preserve">	72026</t>
  </si>
  <si>
    <t>NGO (MILLER) - BUTLER CO., OH</t>
  </si>
  <si>
    <t xml:space="preserve">	72035</t>
  </si>
  <si>
    <t>#2 OAKLAND / CASS, TX  (RECEIPT)</t>
  </si>
  <si>
    <t>CASS</t>
  </si>
  <si>
    <t xml:space="preserve">	20171116</t>
  </si>
  <si>
    <t>PEGASI OPERATING INC.</t>
  </si>
  <si>
    <t xml:space="preserve">	0000030030</t>
  </si>
  <si>
    <t xml:space="preserve">	72080</t>
  </si>
  <si>
    <t>GREAT LAKES ENERGY PARTNERS.- #1 TEX. GULF-CENTRE CO., PA</t>
  </si>
  <si>
    <t xml:space="preserve">	19820112</t>
  </si>
  <si>
    <t>RANGE RESOURCES - APPALACHIA,  LLC</t>
  </si>
  <si>
    <t xml:space="preserve">	114534337</t>
  </si>
  <si>
    <t xml:space="preserve">	72103</t>
  </si>
  <si>
    <t>WELDER EXPLORATION&amp;PRODUCTION- #1 YOUNG, BEE CO., TX</t>
  </si>
  <si>
    <t>20190930 08:20:34</t>
  </si>
  <si>
    <t>WELDER EXPLORATION &amp; PRODUCTION, INC</t>
  </si>
  <si>
    <t xml:space="preserve">	0000012943</t>
  </si>
  <si>
    <t xml:space="preserve">	72131</t>
  </si>
  <si>
    <t>MARSHALL EXPLORATION - #1 RESCH / HARRISON CO., TX  (REC)</t>
  </si>
  <si>
    <t xml:space="preserve">	19820602</t>
  </si>
  <si>
    <t>20200706 16:35:24</t>
  </si>
  <si>
    <t>PATARA ANDOVER I LLC</t>
  </si>
  <si>
    <t xml:space="preserve">	0000030081</t>
  </si>
  <si>
    <t xml:space="preserve">	72135</t>
  </si>
  <si>
    <t>RENAISSANCE OFFSHORE</t>
  </si>
  <si>
    <t xml:space="preserve">	20190801</t>
  </si>
  <si>
    <t>20190814 09:20:17</t>
  </si>
  <si>
    <t>RENAISSANCE OFFSHORE LLC</t>
  </si>
  <si>
    <t xml:space="preserve">	0000030249</t>
  </si>
  <si>
    <t xml:space="preserve">	72137</t>
  </si>
  <si>
    <t>FIELDWOOD ENERGY - WD 86</t>
  </si>
  <si>
    <t>WEST DELTA</t>
  </si>
  <si>
    <t xml:space="preserve">	20190913</t>
  </si>
  <si>
    <t>20190913 10:20:18</t>
  </si>
  <si>
    <t>SPN RESOURCES, LLC</t>
  </si>
  <si>
    <t xml:space="preserve">	0000027616</t>
  </si>
  <si>
    <t xml:space="preserve">	72138</t>
  </si>
  <si>
    <t>FIELDWOOD ENERGY  SP 89-B</t>
  </si>
  <si>
    <t>OFFSHORE</t>
  </si>
  <si>
    <t xml:space="preserve">	19820709</t>
  </si>
  <si>
    <t>20200319 15:20:22</t>
  </si>
  <si>
    <t xml:space="preserve">	72158</t>
  </si>
  <si>
    <t>AVERY GAS - CHICKSAW CO., MS</t>
  </si>
  <si>
    <t xml:space="preserve">	19870410</t>
  </si>
  <si>
    <t>HOLLEMAN &amp; PARKS</t>
  </si>
  <si>
    <t xml:space="preserve">	0000005724</t>
  </si>
  <si>
    <t xml:space="preserve">	72172</t>
  </si>
  <si>
    <t>MAR. OIL -MURPHREE -MONROE, MS</t>
  </si>
  <si>
    <t xml:space="preserve">	19870413</t>
  </si>
  <si>
    <t>GIBRALTAR ENERGY CO</t>
  </si>
  <si>
    <t xml:space="preserve">	0000014712</t>
  </si>
  <si>
    <t xml:space="preserve">	72185</t>
  </si>
  <si>
    <t>DEWBRE PETROLEUM/ALLEN EAST A</t>
  </si>
  <si>
    <t xml:space="preserve">	19930226</t>
  </si>
  <si>
    <t>DEWBRE PETROLEUM CORP</t>
  </si>
  <si>
    <t xml:space="preserve">	0000022464</t>
  </si>
  <si>
    <t xml:space="preserve">	72187</t>
  </si>
  <si>
    <t>GULF SOUTH PIPELINE COMPANY, LP - RACELAND, LA</t>
  </si>
  <si>
    <t xml:space="preserve">	19870528</t>
  </si>
  <si>
    <t xml:space="preserve">	8455</t>
  </si>
  <si>
    <t>RACELAND (FROM TEXAS EASTERN)</t>
  </si>
  <si>
    <t xml:space="preserve">	72190</t>
  </si>
  <si>
    <t>KENNETT - DUNKLIN CO., MO</t>
  </si>
  <si>
    <t xml:space="preserve">	19841130</t>
  </si>
  <si>
    <t>20200316 14:53:42</t>
  </si>
  <si>
    <t>KENNETT, MISSOURI, CITY OF</t>
  </si>
  <si>
    <t xml:space="preserve">	020370920</t>
  </si>
  <si>
    <t xml:space="preserve">	72206</t>
  </si>
  <si>
    <t>CYPRESS GAS PIPELINE CO.- W. BATON ROUGE PSH., LA</t>
  </si>
  <si>
    <t>WEST BATON ROUGE</t>
  </si>
  <si>
    <t xml:space="preserve">	19830321</t>
  </si>
  <si>
    <t>ACADIAN GAS PIPELINE SYSTEM</t>
  </si>
  <si>
    <t xml:space="preserve">	0000000010</t>
  </si>
  <si>
    <t>C000932</t>
  </si>
  <si>
    <t xml:space="preserve">	C804</t>
  </si>
  <si>
    <t>TE - WEST BATON ROUGE</t>
  </si>
  <si>
    <t xml:space="preserve">	72210</t>
  </si>
  <si>
    <t>NEW JERSEY NATURAL - JAMESBURG, NJ</t>
  </si>
  <si>
    <t xml:space="preserve">	19830203</t>
  </si>
  <si>
    <t xml:space="preserve">	72222</t>
  </si>
  <si>
    <t>DEWBRE PETROLEUM-VALDERAS #1 /  HIDALGO COUNTY, TX  (REC)</t>
  </si>
  <si>
    <t>20190930 10:20:29</t>
  </si>
  <si>
    <t xml:space="preserve">	72248</t>
  </si>
  <si>
    <t>ENTERPRISE TEXAS PIPELINE LLC - LAVACA COUNTY, TX  (REC)</t>
  </si>
  <si>
    <t>LAVACA</t>
  </si>
  <si>
    <t xml:space="preserve">	19811221</t>
  </si>
  <si>
    <t>ENTERPRISE TEXAS PIPELINE LLC</t>
  </si>
  <si>
    <t xml:space="preserve">	0000028779</t>
  </si>
  <si>
    <t>C000924</t>
  </si>
  <si>
    <t xml:space="preserve">	554109</t>
  </si>
  <si>
    <t>TETCO PROVIDENCE CITY</t>
  </si>
  <si>
    <t xml:space="preserve">	72249</t>
  </si>
  <si>
    <t>TRI-UNION DEV. CORP.-#1 WRIGHT /  GOLIAD COUNTY, TX  (REC)</t>
  </si>
  <si>
    <t>GOLIAD</t>
  </si>
  <si>
    <t xml:space="preserve">	19820117</t>
  </si>
  <si>
    <t xml:space="preserve">	72252</t>
  </si>
  <si>
    <t>#1 DAVIS /  CASS COUNTY, TX  (REC)</t>
  </si>
  <si>
    <t xml:space="preserve">	20170412</t>
  </si>
  <si>
    <t>20190717 06:47:11</t>
  </si>
  <si>
    <t xml:space="preserve">	72263</t>
  </si>
  <si>
    <t>PUBLIC SERVICE - WOODBRIDGE,NJ</t>
  </si>
  <si>
    <t xml:space="preserve">	19840816</t>
  </si>
  <si>
    <t xml:space="preserve">	72266</t>
  </si>
  <si>
    <t>GULF COAST PIPELINE COMPANY - #1 MINARCIK/ COLORADO CO., TX</t>
  </si>
  <si>
    <t xml:space="preserve">	19830709</t>
  </si>
  <si>
    <t>GULF COAST PIPELINE COMPANY</t>
  </si>
  <si>
    <t xml:space="preserve">	0000028252</t>
  </si>
  <si>
    <t xml:space="preserve">	72295</t>
  </si>
  <si>
    <t>VERNON E. FAULCONER, INC.- #1 STEWART, KENEDY CO., TX (REC)</t>
  </si>
  <si>
    <t>KENEDY</t>
  </si>
  <si>
    <t xml:space="preserve">	19831222</t>
  </si>
  <si>
    <t xml:space="preserve">	72307</t>
  </si>
  <si>
    <t>JEEMS BAYOU - #1 CALHOUN /  DESOTO PSH., LA</t>
  </si>
  <si>
    <t>DE SOTO</t>
  </si>
  <si>
    <t xml:space="preserve">	19840326</t>
  </si>
  <si>
    <t>TEXLA ENERGY MANAGEMENT, INC.</t>
  </si>
  <si>
    <t xml:space="preserve">	884961244</t>
  </si>
  <si>
    <t xml:space="preserve">	72309</t>
  </si>
  <si>
    <t>CHAPARRAL ENERGY, L.L.C. -   #1 HESTER, GOLIAD CO., TX</t>
  </si>
  <si>
    <t>20191008 13:20:31</t>
  </si>
  <si>
    <t>RAM ENERGY LLC</t>
  </si>
  <si>
    <t xml:space="preserve">	0000030250</t>
  </si>
  <si>
    <t xml:space="preserve">	72319</t>
  </si>
  <si>
    <t>ENERGY XXI GOM, LLC-SP 93</t>
  </si>
  <si>
    <t>SOUTH PASS</t>
  </si>
  <si>
    <t xml:space="preserve">	19840608</t>
  </si>
  <si>
    <t>20190731 09:35:20</t>
  </si>
  <si>
    <t>ENERGY XXI GOM, LLC</t>
  </si>
  <si>
    <t xml:space="preserve">	0000029387</t>
  </si>
  <si>
    <t xml:space="preserve">	72337</t>
  </si>
  <si>
    <t>SCORPION OIL&amp;GAS, LLC</t>
  </si>
  <si>
    <t xml:space="preserve">	19840401</t>
  </si>
  <si>
    <t xml:space="preserve">	72367</t>
  </si>
  <si>
    <t>MISS. VALLEY GAS - HINDS CO., MS</t>
  </si>
  <si>
    <t xml:space="preserve">	19851115</t>
  </si>
  <si>
    <t>HINDS CO. #1</t>
  </si>
  <si>
    <t xml:space="preserve">	72377</t>
  </si>
  <si>
    <t>SENECA RESOURCES - #1 GARZA, HIDALGO CO., TX</t>
  </si>
  <si>
    <t xml:space="preserve">	19841031</t>
  </si>
  <si>
    <t>MAGNUM ENGINEERING COMPANY</t>
  </si>
  <si>
    <t xml:space="preserve">	0000008298</t>
  </si>
  <si>
    <t xml:space="preserve">	72382</t>
  </si>
  <si>
    <t>HOUSTON PIPE LINE CO.-ENERFIN LYONDELL SYS./ HARRIS CO., TX</t>
  </si>
  <si>
    <t xml:space="preserve">	19820610</t>
  </si>
  <si>
    <t>HOUSTON PIPE LINE COMPANY LP</t>
  </si>
  <si>
    <t xml:space="preserve">	770025609</t>
  </si>
  <si>
    <t>C001003</t>
  </si>
  <si>
    <t xml:space="preserve">	0984039</t>
  </si>
  <si>
    <t>TETCO/HPL ENERFIN</t>
  </si>
  <si>
    <t xml:space="preserve">	72395</t>
  </si>
  <si>
    <t>ENTERGY SABINE POWER STATION - ORANGE CO., TX</t>
  </si>
  <si>
    <t xml:space="preserve">	19850116</t>
  </si>
  <si>
    <t>ENTERGY TEXAS, INC.</t>
  </si>
  <si>
    <t xml:space="preserve">	801261053</t>
  </si>
  <si>
    <t xml:space="preserve">	72405</t>
  </si>
  <si>
    <t>PECO ENERGY - HATFIELD, PA</t>
  </si>
  <si>
    <t xml:space="preserve">	19870123</t>
  </si>
  <si>
    <t xml:space="preserve">	72428</t>
  </si>
  <si>
    <t xml:space="preserve">	19850626</t>
  </si>
  <si>
    <t xml:space="preserve">	72451</t>
  </si>
  <si>
    <t>WILMAR PIPELINE, INC.  - #1 DUNCAN SLOUGH, MATAGORDA CO., T</t>
  </si>
  <si>
    <t>MATAGORDA</t>
  </si>
  <si>
    <t xml:space="preserve">	19850510</t>
  </si>
  <si>
    <t>WILMAR PIPELINES INC</t>
  </si>
  <si>
    <t xml:space="preserve">	150431013</t>
  </si>
  <si>
    <t xml:space="preserve">	72457</t>
  </si>
  <si>
    <t>GMT GAS MARKETING - #1 VAL HOLTZ, DEWITT CO., TX (REC)</t>
  </si>
  <si>
    <t xml:space="preserve">	20160623</t>
  </si>
  <si>
    <t>20190717 06:46:53</t>
  </si>
  <si>
    <t>GMT, INC.</t>
  </si>
  <si>
    <t xml:space="preserve">	0000006834</t>
  </si>
  <si>
    <t xml:space="preserve">	72458</t>
  </si>
  <si>
    <t>TRACY PRODUCTION CO. - #1 FULTON FULLER, NACOGDOCHES CO., T</t>
  </si>
  <si>
    <t xml:space="preserve">	19850917</t>
  </si>
  <si>
    <t>AETHON ENERGY OPERATING LLC</t>
  </si>
  <si>
    <t xml:space="preserve">	0000030483</t>
  </si>
  <si>
    <t xml:space="preserve">	72476</t>
  </si>
  <si>
    <t>BOWLES PROPERTIES - #1 CHERRY /  RUSK COUNTY, TX</t>
  </si>
  <si>
    <t>RUSK</t>
  </si>
  <si>
    <t xml:space="preserve">	20181130</t>
  </si>
  <si>
    <t>20190717 06:47:07</t>
  </si>
  <si>
    <t>BOWLES PROPERTIES</t>
  </si>
  <si>
    <t xml:space="preserve">	0000027124</t>
  </si>
  <si>
    <t xml:space="preserve">	72499</t>
  </si>
  <si>
    <t>NORAM - BALD KNOB - WHITE, AR</t>
  </si>
  <si>
    <t xml:space="preserve">	19860619</t>
  </si>
  <si>
    <t xml:space="preserve">	803955</t>
  </si>
  <si>
    <t>TET@BALD KNOB DISP VP</t>
  </si>
  <si>
    <t xml:space="preserve">	72514</t>
  </si>
  <si>
    <t>GIBRALTAR ENERGY COMPANY - CLAY CO., MS</t>
  </si>
  <si>
    <t xml:space="preserve">	19860502</t>
  </si>
  <si>
    <t>FLETCHER PETROLEUM CORP.</t>
  </si>
  <si>
    <t xml:space="preserve">	0000030151</t>
  </si>
  <si>
    <t xml:space="preserve">	72525</t>
  </si>
  <si>
    <t>HOWELL OIL &amp; GAS, INC. - GOOCH-GANT FIELDS CP, HARRISON CO.</t>
  </si>
  <si>
    <t xml:space="preserve">	19851123</t>
  </si>
  <si>
    <t>NFR ENERGY LLC</t>
  </si>
  <si>
    <t xml:space="preserve">	0000028899</t>
  </si>
  <si>
    <t xml:space="preserve">	72533</t>
  </si>
  <si>
    <t>T &amp; F EXPLORATION, LP., MM - SOMERSET CO., PA</t>
  </si>
  <si>
    <t xml:space="preserve">	19860701</t>
  </si>
  <si>
    <t>20200521 11:42:51</t>
  </si>
  <si>
    <t>T&amp;F EXPLORATION, LP</t>
  </si>
  <si>
    <t xml:space="preserve">	035421606</t>
  </si>
  <si>
    <t xml:space="preserve">	72536</t>
  </si>
  <si>
    <t>KENTUCKY ENERGY - METCALFE, KY</t>
  </si>
  <si>
    <t xml:space="preserve">	19860627</t>
  </si>
  <si>
    <t>BURKESVILLE GAS CO</t>
  </si>
  <si>
    <t xml:space="preserve">	0000014784</t>
  </si>
  <si>
    <t xml:space="preserve">	72554</t>
  </si>
  <si>
    <t>BG PARTNERS,LLC - #1 SANNER, SOMERSET CO., PA</t>
  </si>
  <si>
    <t xml:space="preserve">	20170621</t>
  </si>
  <si>
    <t>20180403 14:20:25</t>
  </si>
  <si>
    <t>CONSOL GAS COMPANY</t>
  </si>
  <si>
    <t xml:space="preserve">	0000029291</t>
  </si>
  <si>
    <t xml:space="preserve">	72566</t>
  </si>
  <si>
    <t>AMERICAN MIDSTREAM -TENN INTRASTATE  COLBERT CO., AL</t>
  </si>
  <si>
    <t>COLBERT</t>
  </si>
  <si>
    <t xml:space="preserve">	19861110</t>
  </si>
  <si>
    <t>20200316 13:41:56</t>
  </si>
  <si>
    <t>BBT ALATENN, LLC</t>
  </si>
  <si>
    <t xml:space="preserve">	0000030950</t>
  </si>
  <si>
    <t>C001023</t>
  </si>
  <si>
    <t xml:space="preserve">	10139</t>
  </si>
  <si>
    <t>TETCO TO ALATENN</t>
  </si>
  <si>
    <t xml:space="preserve">	72568</t>
  </si>
  <si>
    <t>ENABLE GAS TRANSMISSION  WEST MONROE, LA</t>
  </si>
  <si>
    <t xml:space="preserve">	19870506</t>
  </si>
  <si>
    <t xml:space="preserve">	805225</t>
  </si>
  <si>
    <t>TETCO W MONROE CORE REC</t>
  </si>
  <si>
    <t xml:space="preserve">	72571</t>
  </si>
  <si>
    <t>UGI UTIL (COLUMBIA GAS) - BALLY, PA</t>
  </si>
  <si>
    <t xml:space="preserve">	19871021</t>
  </si>
  <si>
    <t xml:space="preserve">	72580</t>
  </si>
  <si>
    <t>SOUTHCROSS MISSISSIPPI PIPELINE, LP- HINDS, MS - DEL (B/D 7</t>
  </si>
  <si>
    <t xml:space="preserve">	19870904</t>
  </si>
  <si>
    <t>THIRD COAST MISSISSIPPI LLC</t>
  </si>
  <si>
    <t xml:space="preserve">	117360182</t>
  </si>
  <si>
    <t>C001029</t>
  </si>
  <si>
    <t xml:space="preserve">	012247</t>
  </si>
  <si>
    <t>TEXAS EASTERN 10 MM PURCHASE/CUSTOD</t>
  </si>
  <si>
    <t xml:space="preserve">	72584</t>
  </si>
  <si>
    <t>WOODWARD MARKETING - SAN JACINTO COUNTY, TX</t>
  </si>
  <si>
    <t xml:space="preserve">	20180319</t>
  </si>
  <si>
    <t>SALT CREEK PRODUCTION, INC.</t>
  </si>
  <si>
    <t xml:space="preserve">	0000030475</t>
  </si>
  <si>
    <t xml:space="preserve">	72587</t>
  </si>
  <si>
    <t>NRG - BIG CAJUN ELECTRIC, COUPEE PSH., LA</t>
  </si>
  <si>
    <t xml:space="preserve">	19870330</t>
  </si>
  <si>
    <t>CLECO CAJUN LLC</t>
  </si>
  <si>
    <t xml:space="preserve">	081124848</t>
  </si>
  <si>
    <t xml:space="preserve">	72594</t>
  </si>
  <si>
    <t>MHT -ENERGY MKTG. -MONROE, MS</t>
  </si>
  <si>
    <t xml:space="preserve">	19870520</t>
  </si>
  <si>
    <t>MOON-HINES-TIGRETT OPER CO INC</t>
  </si>
  <si>
    <t xml:space="preserve">	0000005788</t>
  </si>
  <si>
    <t xml:space="preserve">	72597</t>
  </si>
  <si>
    <t>ARKLA -MCRAE JUNCT. -WHITE, AR</t>
  </si>
  <si>
    <t xml:space="preserve">	19871001</t>
  </si>
  <si>
    <t>CENTERPOINT ENERGY RESOURCES CORP DBA CENTERPOINT ENERGY ARKANSAS GAS</t>
  </si>
  <si>
    <t xml:space="preserve">	006948210</t>
  </si>
  <si>
    <t xml:space="preserve">	72601</t>
  </si>
  <si>
    <t>ENTERPRISE TEXAS PIPELINE LLC - MATAGORDA COUNTY, TX  (REC)</t>
  </si>
  <si>
    <t xml:space="preserve">	19870824</t>
  </si>
  <si>
    <t xml:space="preserve">	14929</t>
  </si>
  <si>
    <t>SSS TO TX EASTERN</t>
  </si>
  <si>
    <t xml:space="preserve">	72603</t>
  </si>
  <si>
    <t>KINDER MORGAN TEJAS (FROM TE) UPRIVER RD., NUECES CO</t>
  </si>
  <si>
    <t>NUECES</t>
  </si>
  <si>
    <t xml:space="preserve">	19870812</t>
  </si>
  <si>
    <t>KINDER MORGAN TEJAS PIPELINE LLC</t>
  </si>
  <si>
    <t xml:space="preserve">	879826576</t>
  </si>
  <si>
    <t>C000434</t>
  </si>
  <si>
    <t xml:space="preserve">	30-2161-24</t>
  </si>
  <si>
    <t>GOLDSTON ROAD CHECK #1</t>
  </si>
  <si>
    <t xml:space="preserve">	72604</t>
  </si>
  <si>
    <t>ENTERGY LOUISIANA,LLC BEAUREGARD PSH., LA</t>
  </si>
  <si>
    <t xml:space="preserve">	19880715</t>
  </si>
  <si>
    <t>ENTERGY LOUISIANA, LLC</t>
  </si>
  <si>
    <t xml:space="preserve">	080021872</t>
  </si>
  <si>
    <t xml:space="preserve">	72614</t>
  </si>
  <si>
    <t>TRANSOK - OUACHITA PSH., LA</t>
  </si>
  <si>
    <t xml:space="preserve">	19880121</t>
  </si>
  <si>
    <t>PELICO PIPELINE, LLC</t>
  </si>
  <si>
    <t xml:space="preserve">	808668128</t>
  </si>
  <si>
    <t>C000109</t>
  </si>
  <si>
    <t xml:space="preserve">	46-492002</t>
  </si>
  <si>
    <t>TEXAS EASTERN #2614A</t>
  </si>
  <si>
    <t xml:space="preserve">	72616</t>
  </si>
  <si>
    <t>CANTIUM, LLC - MP 30</t>
  </si>
  <si>
    <t>MAIN PASS</t>
  </si>
  <si>
    <t xml:space="preserve">	19871211</t>
  </si>
  <si>
    <t>20200804 17:21:39</t>
  </si>
  <si>
    <t>CANTIUM, LLC</t>
  </si>
  <si>
    <t xml:space="preserve">	0000030672</t>
  </si>
  <si>
    <t xml:space="preserve">	72621</t>
  </si>
  <si>
    <t>WILLIAMS FIELD SERVICES  - DUVAL CO., TX</t>
  </si>
  <si>
    <t xml:space="preserve">	19880423</t>
  </si>
  <si>
    <t>WEBB DUVAL GATHERERS</t>
  </si>
  <si>
    <t xml:space="preserve">	0000005643</t>
  </si>
  <si>
    <t xml:space="preserve">	72626</t>
  </si>
  <si>
    <t>WING CORP - C.P., DEWITT COUNTY, TX (REC)</t>
  </si>
  <si>
    <t xml:space="preserve">	20200106</t>
  </si>
  <si>
    <t>20200106 13:35:19</t>
  </si>
  <si>
    <t>FOUNDATION ENERGY MANAGEMENT LLC</t>
  </si>
  <si>
    <t xml:space="preserve">	791378586</t>
  </si>
  <si>
    <t xml:space="preserve">	72636</t>
  </si>
  <si>
    <t>PECO ENERGY - MONTGOMERY CO., PA</t>
  </si>
  <si>
    <t xml:space="preserve">	19890205</t>
  </si>
  <si>
    <t xml:space="preserve">	72637</t>
  </si>
  <si>
    <t>COLUMBIA GAS - PICKAWAY CO. OH</t>
  </si>
  <si>
    <t>PICKAWAY</t>
  </si>
  <si>
    <t xml:space="preserve">	19890630</t>
  </si>
  <si>
    <t>COLUMBIA GAS OF OHIO, INC.</t>
  </si>
  <si>
    <t xml:space="preserve">	004773586</t>
  </si>
  <si>
    <t>C003905</t>
  </si>
  <si>
    <t xml:space="preserve">	72648</t>
  </si>
  <si>
    <t>SO. IND. GAS &amp; EL. -POSEY, IN</t>
  </si>
  <si>
    <t>POSEY</t>
  </si>
  <si>
    <t xml:space="preserve">	19881018</t>
  </si>
  <si>
    <t xml:space="preserve">	72649</t>
  </si>
  <si>
    <t>SUN R&amp;M - PHILADELPHIA CO., PA</t>
  </si>
  <si>
    <t xml:space="preserve">	19930501</t>
  </si>
  <si>
    <t>20200316 14:34:56</t>
  </si>
  <si>
    <t>PHILADELPHIA ENERGY SOLUTIONS R&amp;M LLC</t>
  </si>
  <si>
    <t xml:space="preserve">	078625328</t>
  </si>
  <si>
    <t xml:space="preserve">	72654</t>
  </si>
  <si>
    <t>BLUESTONE NATURAL RESOURCES, LLC- BONNE TERRE FIELD, MCMULL</t>
  </si>
  <si>
    <t>MC MULLEN</t>
  </si>
  <si>
    <t xml:space="preserve">	19880122</t>
  </si>
  <si>
    <t>COLUMBUS ENERGY LLC</t>
  </si>
  <si>
    <t xml:space="preserve">	0000030116</t>
  </si>
  <si>
    <t xml:space="preserve">	72655</t>
  </si>
  <si>
    <t>ENTERPRISE TEXAS PIPELINE LLC - CALHOUN COUNTY, TX  (REC)</t>
  </si>
  <si>
    <t>20191008 11:20:31</t>
  </si>
  <si>
    <t xml:space="preserve">	14935</t>
  </si>
  <si>
    <t>TOMCAT TO TX EASTERN</t>
  </si>
  <si>
    <t xml:space="preserve">	72664</t>
  </si>
  <si>
    <t>ITAWAMBA GAS -ITAWAMBA CO., MS</t>
  </si>
  <si>
    <t xml:space="preserve">	19890731</t>
  </si>
  <si>
    <t>ITAWAMBA INDUSTRIAL GAS COMPANY</t>
  </si>
  <si>
    <t xml:space="preserve">	101806578</t>
  </si>
  <si>
    <t xml:space="preserve">	72668</t>
  </si>
  <si>
    <t>UNITED GAS &amp; MINERALS - #1 GOFF, WHARTON COUNTY, TX</t>
  </si>
  <si>
    <t>WHARTON</t>
  </si>
  <si>
    <t xml:space="preserve">	19890309</t>
  </si>
  <si>
    <t>GULFSTAR PROPERTIES, INC.</t>
  </si>
  <si>
    <t xml:space="preserve">	0000027170</t>
  </si>
  <si>
    <t xml:space="preserve">	72672</t>
  </si>
  <si>
    <t>LEBANON #2 - WILSON CO., TN</t>
  </si>
  <si>
    <t>WILSON</t>
  </si>
  <si>
    <t xml:space="preserve">	19891221</t>
  </si>
  <si>
    <t>20200316 14:51:19</t>
  </si>
  <si>
    <t>LEBANON, CITY OF</t>
  </si>
  <si>
    <t xml:space="preserve">	069092351</t>
  </si>
  <si>
    <t xml:space="preserve">	72692</t>
  </si>
  <si>
    <t>ASSOCIATED NATURAL GAS INC. - WILKINSON CO., MS</t>
  </si>
  <si>
    <t>WILKINSON</t>
  </si>
  <si>
    <t xml:space="preserve">	19890222</t>
  </si>
  <si>
    <t xml:space="preserve">	72694</t>
  </si>
  <si>
    <t>NCL NATURAL RESOURCES, LLC (EASTERN STATES EXPL)- CENTRE C</t>
  </si>
  <si>
    <t xml:space="preserve">	19901027</t>
  </si>
  <si>
    <t>CAPITAL OIL &amp; GAS INC</t>
  </si>
  <si>
    <t xml:space="preserve">	0000030574</t>
  </si>
  <si>
    <t xml:space="preserve">	72697</t>
  </si>
  <si>
    <t>ODEGARD ENERGY - CHICKASAW, MS</t>
  </si>
  <si>
    <t xml:space="preserve">	19891212</t>
  </si>
  <si>
    <t xml:space="preserve">	72716</t>
  </si>
  <si>
    <t>ENTERPRISE TEXAS PIPELINE LLC HILDALGO COUNTY, TX (REC)</t>
  </si>
  <si>
    <t>20190930 09:35:15</t>
  </si>
  <si>
    <t xml:space="preserve">	811001</t>
  </si>
  <si>
    <t>TETCO HARGILL 12IN</t>
  </si>
  <si>
    <t xml:space="preserve">	72718</t>
  </si>
  <si>
    <t>SMITH OPER. (HARVEY BROYLE M.P. 0.00) - BIENVILLE PSH. LA</t>
  </si>
  <si>
    <t xml:space="preserve">	19891118</t>
  </si>
  <si>
    <t>MINERAL VENTURES, INC.</t>
  </si>
  <si>
    <t xml:space="preserve">	0000030442</t>
  </si>
  <si>
    <t xml:space="preserve">	72723</t>
  </si>
  <si>
    <t>ABRAXAS PETROLEUM CORP.- TIPTON LEASE / GOLIAD CO., TX (REC</t>
  </si>
  <si>
    <t xml:space="preserve">	72744</t>
  </si>
  <si>
    <t>RIO GRANDE ROYALTY CO., INC. - RIO GRANDE #1/HIDALGO CO., T</t>
  </si>
  <si>
    <t xml:space="preserve">	19900714</t>
  </si>
  <si>
    <t>RIO GRANDE ROYALTY COMPANY, INC.</t>
  </si>
  <si>
    <t xml:space="preserve">	0000026711</t>
  </si>
  <si>
    <t xml:space="preserve">	72745</t>
  </si>
  <si>
    <t>PECO ENERGY - COLLEGEVILLE, PA.</t>
  </si>
  <si>
    <t xml:space="preserve">	19921104</t>
  </si>
  <si>
    <t xml:space="preserve">	72764</t>
  </si>
  <si>
    <t>NGPL SWEET LAKE - CAMERON PSH., LA</t>
  </si>
  <si>
    <t>CAMERON</t>
  </si>
  <si>
    <t xml:space="preserve">	19900804</t>
  </si>
  <si>
    <t>NATURAL GAS PIPELINE COMPANY OF AMERICA  LLC</t>
  </si>
  <si>
    <t xml:space="preserve">	006931794</t>
  </si>
  <si>
    <t>C002096</t>
  </si>
  <si>
    <t xml:space="preserve">	3825</t>
  </si>
  <si>
    <t>TET/NGPL SWEETLAKE CAMERON</t>
  </si>
  <si>
    <t xml:space="preserve">	72770</t>
  </si>
  <si>
    <t>PEPL/TETCO (LEBANON LATERAL-TETCO CAPACITY)</t>
  </si>
  <si>
    <t xml:space="preserve">	72798</t>
  </si>
  <si>
    <t>HAMILTON, OH</t>
  </si>
  <si>
    <t xml:space="preserve">	19911121</t>
  </si>
  <si>
    <t>20200521 12:36:22</t>
  </si>
  <si>
    <t>HAMILTON, OHIO CITY OF</t>
  </si>
  <si>
    <t xml:space="preserve">	074679531</t>
  </si>
  <si>
    <t xml:space="preserve">	72803</t>
  </si>
  <si>
    <t>DOMINION EXPLORATION &amp; PRODUCTION, INC.</t>
  </si>
  <si>
    <t xml:space="preserve">	20160422</t>
  </si>
  <si>
    <t xml:space="preserve">	72808</t>
  </si>
  <si>
    <t>COMSTOCK RESOURCES -  #1 DESOTO - DESOTO PSH., LA</t>
  </si>
  <si>
    <t xml:space="preserve">	19910508</t>
  </si>
  <si>
    <t>COMSTOCK NATURAL GAS INC</t>
  </si>
  <si>
    <t xml:space="preserve">	0000017193</t>
  </si>
  <si>
    <t xml:space="preserve">	72824</t>
  </si>
  <si>
    <t>MID LOUISIANA - W. FELECIANA PSH., LA</t>
  </si>
  <si>
    <t>WEST FELICIANA</t>
  </si>
  <si>
    <t xml:space="preserve">	19910910</t>
  </si>
  <si>
    <t>MID-LOUISIANA GAS CO (LA)</t>
  </si>
  <si>
    <t xml:space="preserve">	057111270</t>
  </si>
  <si>
    <t xml:space="preserve">	72827</t>
  </si>
  <si>
    <t>CITY OF FULTON - ITAWAMBA CO., MS</t>
  </si>
  <si>
    <t xml:space="preserve">	19930121</t>
  </si>
  <si>
    <t xml:space="preserve">	72828</t>
  </si>
  <si>
    <t>RBS GAS UTIL. - MACON CO., TN</t>
  </si>
  <si>
    <t xml:space="preserve">	19910901</t>
  </si>
  <si>
    <t>RBS GAS UTILITY, INC.</t>
  </si>
  <si>
    <t xml:space="preserve">	832397715</t>
  </si>
  <si>
    <t xml:space="preserve">	72831</t>
  </si>
  <si>
    <t>NORTHSTAR OFFSHORE- SOUTH PASS 86</t>
  </si>
  <si>
    <t xml:space="preserve">	19920529</t>
  </si>
  <si>
    <t>NORTHSTAR OFFSHORE VENTURES LLC</t>
  </si>
  <si>
    <t xml:space="preserve">	0000030624</t>
  </si>
  <si>
    <t xml:space="preserve">	72834</t>
  </si>
  <si>
    <t>TALON ENERGY LLC-PAUL T RAY - LAFOURCHE PSH., LA</t>
  </si>
  <si>
    <t xml:space="preserve">	19911202</t>
  </si>
  <si>
    <t>TALON ENERGY, LLC</t>
  </si>
  <si>
    <t xml:space="preserve">	0000028920</t>
  </si>
  <si>
    <t xml:space="preserve">	72837</t>
  </si>
  <si>
    <t>MONUMENT PIPELINE, LP - HARRIS COUNTY, TX</t>
  </si>
  <si>
    <t>20190930 08:35:21</t>
  </si>
  <si>
    <t>MONUMENT PIPELINE, LP</t>
  </si>
  <si>
    <t xml:space="preserve">	0000028419</t>
  </si>
  <si>
    <t xml:space="preserve">	72848</t>
  </si>
  <si>
    <t>OZARK GAS - GREENE CO., AR</t>
  </si>
  <si>
    <t xml:space="preserve">	19920929</t>
  </si>
  <si>
    <t>20200316 15:29:59</t>
  </si>
  <si>
    <t>OZARK GAS TRANSMISSION, L.L.C.</t>
  </si>
  <si>
    <t xml:space="preserve">	618091672</t>
  </si>
  <si>
    <t>C000090</t>
  </si>
  <si>
    <t xml:space="preserve">	21024</t>
  </si>
  <si>
    <t>TETCO NORAK OMV(185503455)</t>
  </si>
  <si>
    <t xml:space="preserve">	72849</t>
  </si>
  <si>
    <t>ENI PETROLEUM US LLC - 365 MC, LA</t>
  </si>
  <si>
    <t xml:space="preserve">	19920401</t>
  </si>
  <si>
    <t>20200603 17:24:46</t>
  </si>
  <si>
    <t>ENI PETROLEUM US LLC</t>
  </si>
  <si>
    <t xml:space="preserve">	605981682</t>
  </si>
  <si>
    <t xml:space="preserve">	72855</t>
  </si>
  <si>
    <t>N.J. NATURAL - HEATER FUEL, JAMESBURG, NJ</t>
  </si>
  <si>
    <t xml:space="preserve">	19920827</t>
  </si>
  <si>
    <t xml:space="preserve">	72856</t>
  </si>
  <si>
    <t>ONALASKA WATER &amp; GAS CORPORATION - POLK COUNTY, TX</t>
  </si>
  <si>
    <t>POLK</t>
  </si>
  <si>
    <t xml:space="preserve">	19920925</t>
  </si>
  <si>
    <t>ONALASKA WATER SUPPLY</t>
  </si>
  <si>
    <t xml:space="preserve">	0000027935</t>
  </si>
  <si>
    <t xml:space="preserve">	72857</t>
  </si>
  <si>
    <t>EXCHANGE OIL &amp; GAS - WILKINSON CO., MS</t>
  </si>
  <si>
    <t xml:space="preserve">	19920509</t>
  </si>
  <si>
    <t>MARK L. SHIDLER,INC.</t>
  </si>
  <si>
    <t xml:space="preserve">	0000027484</t>
  </si>
  <si>
    <t xml:space="preserve">	72858</t>
  </si>
  <si>
    <t>COPANO PIPELINE - MONTGOMEREY CO., TX- DEL (B/D/76858)</t>
  </si>
  <si>
    <t xml:space="preserve">	20191023</t>
  </si>
  <si>
    <t>20191023 07:20:31</t>
  </si>
  <si>
    <t>COPANO PIPELINES/UPPER GULF COAST LP</t>
  </si>
  <si>
    <t xml:space="preserve">	0000024799</t>
  </si>
  <si>
    <t xml:space="preserve">	72863</t>
  </si>
  <si>
    <t>DELMARVA POWER &amp; LIGHT - NEW CASTLE, DE (ULTRA SONIC MTRS)</t>
  </si>
  <si>
    <t>DE</t>
  </si>
  <si>
    <t>NEW CASTLE</t>
  </si>
  <si>
    <t xml:space="preserve">	19920623</t>
  </si>
  <si>
    <t>DELMARVA POWER &amp; LIGHT COMPANY</t>
  </si>
  <si>
    <t xml:space="preserve">	006918882</t>
  </si>
  <si>
    <t xml:space="preserve">	72870</t>
  </si>
  <si>
    <t>TANA EXPLORATION COMPANY LLC -MP 175-RUN 1</t>
  </si>
  <si>
    <t>20190725 14:09:20</t>
  </si>
  <si>
    <t>TANA EXPLORATION COMPANY LLC</t>
  </si>
  <si>
    <t xml:space="preserve">	118250393</t>
  </si>
  <si>
    <t xml:space="preserve">	72871</t>
  </si>
  <si>
    <t>NORAM -  BODCAW, AR</t>
  </si>
  <si>
    <t>NEVADA</t>
  </si>
  <si>
    <t xml:space="preserve">	19921214</t>
  </si>
  <si>
    <t>20200316 14:25:12</t>
  </si>
  <si>
    <t>CENTERPOINT ENERGY RESOURCES CORP.</t>
  </si>
  <si>
    <t xml:space="preserve">	046700779</t>
  </si>
  <si>
    <t xml:space="preserve">	72874</t>
  </si>
  <si>
    <t>ST. JOSEPH - LAWRENCE CO., TN</t>
  </si>
  <si>
    <t xml:space="preserve">	19940826</t>
  </si>
  <si>
    <t>CITY OF ST. JOSEPH, TENNESSEE</t>
  </si>
  <si>
    <t xml:space="preserve">	0000008451</t>
  </si>
  <si>
    <t xml:space="preserve">	72877</t>
  </si>
  <si>
    <t>DENBURY ONSHORE, LLC</t>
  </si>
  <si>
    <t>BRAZORIA</t>
  </si>
  <si>
    <t xml:space="preserve">	19921006</t>
  </si>
  <si>
    <t>DENBURY ONSHORE,LLC.</t>
  </si>
  <si>
    <t xml:space="preserve">	141939244</t>
  </si>
  <si>
    <t xml:space="preserve">	72890</t>
  </si>
  <si>
    <t>LOUISIANA INTRASTATE GAS - IBERVILLE PSH., LA (DEL)</t>
  </si>
  <si>
    <t>IBERVILLE</t>
  </si>
  <si>
    <t xml:space="preserve">	19930101</t>
  </si>
  <si>
    <t>ENLINK LIG, LLC</t>
  </si>
  <si>
    <t xml:space="preserve">	0000030276</t>
  </si>
  <si>
    <t>C001142</t>
  </si>
  <si>
    <t xml:space="preserve">	9120</t>
  </si>
  <si>
    <t>TETCO WHITE CASTLE</t>
  </si>
  <si>
    <t xml:space="preserve">	72892</t>
  </si>
  <si>
    <t>ENTERPRISE TEXAS PIPELINE, LLC - PANOLA COUNTY, TX (REC)</t>
  </si>
  <si>
    <t>PANOLA</t>
  </si>
  <si>
    <t xml:space="preserve">	19930327</t>
  </si>
  <si>
    <t xml:space="preserve">	321711</t>
  </si>
  <si>
    <t>TETCO BECKVILLE</t>
  </si>
  <si>
    <t xml:space="preserve">	72897</t>
  </si>
  <si>
    <t>DESCO OIL COMPANY - CAMERON PSH., LA</t>
  </si>
  <si>
    <t>20190909 15:20:22</t>
  </si>
  <si>
    <t>DESCO OIL COMPANY</t>
  </si>
  <si>
    <t xml:space="preserve">	092486018</t>
  </si>
  <si>
    <t xml:space="preserve">	72903</t>
  </si>
  <si>
    <t>ANR - GLEN KARN - (72903)</t>
  </si>
  <si>
    <t>DARKE</t>
  </si>
  <si>
    <t xml:space="preserve">	19921201</t>
  </si>
  <si>
    <t xml:space="preserve">	174721</t>
  </si>
  <si>
    <t>LEBANON/GLEN KARN-TETCO</t>
  </si>
  <si>
    <t xml:space="preserve">	72904</t>
  </si>
  <si>
    <t>VECTREN OHIO - GLEN KARN, OH (PEPL 02831)</t>
  </si>
  <si>
    <t xml:space="preserve">	19940802</t>
  </si>
  <si>
    <t>VECTREN ENERGY DELIVERY OF OHIO, INC.</t>
  </si>
  <si>
    <t xml:space="preserve">	0000028086</t>
  </si>
  <si>
    <t xml:space="preserve">	72906</t>
  </si>
  <si>
    <t>DAYTON PWR. &amp; LT. -CASTINE, OH</t>
  </si>
  <si>
    <t xml:space="preserve">	72908</t>
  </si>
  <si>
    <t>DUKE ENERGY OHIO INC. SPRINGBORO, FRANKLIN, OH</t>
  </si>
  <si>
    <t xml:space="preserve">	19930318</t>
  </si>
  <si>
    <t>SPRINGBORO</t>
  </si>
  <si>
    <t xml:space="preserve">	72909</t>
  </si>
  <si>
    <t>DAYTON PWR &amp; LT - RED LION, OH</t>
  </si>
  <si>
    <t xml:space="preserve">	72910</t>
  </si>
  <si>
    <t>GAS CHROM @ CW-DTI (I-O) &amp; LEBANON, OH - (72910)</t>
  </si>
  <si>
    <t xml:space="preserve">	40501</t>
  </si>
  <si>
    <t>TET-LEBANON LATERAL</t>
  </si>
  <si>
    <t xml:space="preserve">	72911</t>
  </si>
  <si>
    <t>COL. GAS (I-O) &amp; LEBANON, OH</t>
  </si>
  <si>
    <t xml:space="preserve">	A4</t>
  </si>
  <si>
    <t>PEP LEBANON LAT-6</t>
  </si>
  <si>
    <t xml:space="preserve">	72921</t>
  </si>
  <si>
    <t>TALOS - VK 203</t>
  </si>
  <si>
    <t>VIOSCA KNOLL</t>
  </si>
  <si>
    <t xml:space="preserve">	20190325</t>
  </si>
  <si>
    <t>TALOS ERT LLC</t>
  </si>
  <si>
    <t xml:space="preserve">	0000030750</t>
  </si>
  <si>
    <t xml:space="preserve">	72926</t>
  </si>
  <si>
    <t>KENT. UTIL. - GARRARD CO., KY</t>
  </si>
  <si>
    <t>GARRARD</t>
  </si>
  <si>
    <t xml:space="preserve">	19941201</t>
  </si>
  <si>
    <t>20200316 14:52:26</t>
  </si>
  <si>
    <t>KENTUCKY UTILITIES COMPANY</t>
  </si>
  <si>
    <t xml:space="preserve">	006944938</t>
  </si>
  <si>
    <t xml:space="preserve">	72930</t>
  </si>
  <si>
    <t>PECO ENERGY - EDDYSTONE, DELAWARE CO., PA</t>
  </si>
  <si>
    <t xml:space="preserve">	19940520</t>
  </si>
  <si>
    <t xml:space="preserve">	72936</t>
  </si>
  <si>
    <t>CHANDELEUR PIPE LINE CO. (CANTIUM, LLC) - MP 41L</t>
  </si>
  <si>
    <t xml:space="preserve">	19931217</t>
  </si>
  <si>
    <t>20200316 14:27:05</t>
  </si>
  <si>
    <t>CHANDELEUR PIPELINE CO</t>
  </si>
  <si>
    <t xml:space="preserve">	832468243</t>
  </si>
  <si>
    <t>C000827</t>
  </si>
  <si>
    <t xml:space="preserve">	124998</t>
  </si>
  <si>
    <t>MP41L_TETCO</t>
  </si>
  <si>
    <t xml:space="preserve">	72942</t>
  </si>
  <si>
    <t>COLUMBIA GAS (N.W.L. CORP.) - FAYETTE CO., PA</t>
  </si>
  <si>
    <t xml:space="preserve">	19940328</t>
  </si>
  <si>
    <t xml:space="preserve">	72944</t>
  </si>
  <si>
    <t>PUBLIC SERVICE - JAMESBURG - MIDDLESEX CO., NJ</t>
  </si>
  <si>
    <t xml:space="preserve">	19950105</t>
  </si>
  <si>
    <t xml:space="preserve">	72950</t>
  </si>
  <si>
    <t>APTIAN GAS CORP., K.W. SCHREINER #1 - LIVE OAK CO., TX</t>
  </si>
  <si>
    <t xml:space="preserve">	19940308</t>
  </si>
  <si>
    <t>APTIAN GAS CORPORATION</t>
  </si>
  <si>
    <t xml:space="preserve">	0000015595</t>
  </si>
  <si>
    <t xml:space="preserve">	72951</t>
  </si>
  <si>
    <t>APTIAN GAS CORP., SCHREINER RANCH - LIVE OAK CO., TX</t>
  </si>
  <si>
    <t xml:space="preserve">	20190108</t>
  </si>
  <si>
    <t>20200406 07:20:47</t>
  </si>
  <si>
    <t xml:space="preserve">	72956</t>
  </si>
  <si>
    <t>MID TN GAS DIST - WILSON, TN</t>
  </si>
  <si>
    <t xml:space="preserve">	19950119</t>
  </si>
  <si>
    <t>MIDDLE TENNESSEE NATURAL GAS UTILITY DISTRICT</t>
  </si>
  <si>
    <t xml:space="preserve">	042938647</t>
  </si>
  <si>
    <t xml:space="preserve">	72963</t>
  </si>
  <si>
    <t>AUBURN ENTERPRISES - KERLICK #1, DEWITT, TX</t>
  </si>
  <si>
    <t xml:space="preserve">	19940506</t>
  </si>
  <si>
    <t>AUBERN ENTERPRISES</t>
  </si>
  <si>
    <t xml:space="preserve">	0000015868</t>
  </si>
  <si>
    <t xml:space="preserve">	72964</t>
  </si>
  <si>
    <t>ELLIOT OIL &amp; GAS, BROWDER #C-1, SAN JACINTO CO., TX (REC)</t>
  </si>
  <si>
    <t xml:space="preserve">	19940512</t>
  </si>
  <si>
    <t>ELLIOTT OIL &amp; GAS CO</t>
  </si>
  <si>
    <t xml:space="preserve">	617375605</t>
  </si>
  <si>
    <t xml:space="preserve">	72965</t>
  </si>
  <si>
    <t>M.E.OPERATING &amp; SERVICES- WRIGHT #1 - COLORADO CO., TX</t>
  </si>
  <si>
    <t xml:space="preserve">	19940603</t>
  </si>
  <si>
    <t>M. E. OPERATING AND SERVICES, INC.</t>
  </si>
  <si>
    <t xml:space="preserve">	0000030530</t>
  </si>
  <si>
    <t xml:space="preserve">	72967</t>
  </si>
  <si>
    <t>ATMOS ENERGY -MONROE, MS</t>
  </si>
  <si>
    <t xml:space="preserve">	19960425</t>
  </si>
  <si>
    <t xml:space="preserve">	72972</t>
  </si>
  <si>
    <t>WALTER OIL &amp; GAS - WD 106</t>
  </si>
  <si>
    <t xml:space="preserve">	19950202</t>
  </si>
  <si>
    <t>20190802 11:20:29</t>
  </si>
  <si>
    <t>WALTER OIL &amp; GAS CORPORATION</t>
  </si>
  <si>
    <t xml:space="preserve">	058996364</t>
  </si>
  <si>
    <t xml:space="preserve">	72979</t>
  </si>
  <si>
    <t>PECO - DOYLESTOWN, BUCKS CO., PA</t>
  </si>
  <si>
    <t xml:space="preserve">	19951215</t>
  </si>
  <si>
    <t xml:space="preserve">	72990</t>
  </si>
  <si>
    <t>MVG - MADISON CO., MS</t>
  </si>
  <si>
    <t xml:space="preserve">	19951115</t>
  </si>
  <si>
    <t xml:space="preserve">	72996</t>
  </si>
  <si>
    <t>EDMONTON #2 - METCALFE CO., KY</t>
  </si>
  <si>
    <t xml:space="preserve">	19941228</t>
  </si>
  <si>
    <t xml:space="preserve">	72998</t>
  </si>
  <si>
    <t>ROVIG MINERAL-SWLB FIELD,LAFOURCHE PARISH, LA, LAFOURCHE, L</t>
  </si>
  <si>
    <t xml:space="preserve">	19941130</t>
  </si>
  <si>
    <t>ROVIG MINERALS, INC.</t>
  </si>
  <si>
    <t xml:space="preserve">	0000030691</t>
  </si>
  <si>
    <t xml:space="preserve">	72999</t>
  </si>
  <si>
    <t>AMERICAN EXPLORER - SHORE OIL #1 - LAFOURCHE PSH., LA</t>
  </si>
  <si>
    <t xml:space="preserve">	19941209</t>
  </si>
  <si>
    <t>TCHEFUNCTE NATURAL RESOURCES LLC</t>
  </si>
  <si>
    <t xml:space="preserve">	0000029679</t>
  </si>
  <si>
    <t xml:space="preserve">	73023</t>
  </si>
  <si>
    <t>UGI UTIL - MT. PLEASANT, BERKS CO. , PA</t>
  </si>
  <si>
    <t xml:space="preserve">	19960206</t>
  </si>
  <si>
    <t xml:space="preserve">	73025</t>
  </si>
  <si>
    <t>ATMOS ENERGY, TN (B/D 76025)</t>
  </si>
  <si>
    <t xml:space="preserve">	19941230</t>
  </si>
  <si>
    <t>TRIUNE TX EAST 73025</t>
  </si>
  <si>
    <t xml:space="preserve">	73027</t>
  </si>
  <si>
    <t>FIELDWOOD ENERGY - SP 87-D</t>
  </si>
  <si>
    <t xml:space="preserve">	19950512</t>
  </si>
  <si>
    <t xml:space="preserve">	73037</t>
  </si>
  <si>
    <t>MISSISSIPPI VALLEY - CLAY CO., MS</t>
  </si>
  <si>
    <t xml:space="preserve">	19951003</t>
  </si>
  <si>
    <t>CLAY CO.</t>
  </si>
  <si>
    <t xml:space="preserve">	73041</t>
  </si>
  <si>
    <t>FOUR SQUARE GAS CO., INC. (CHIRENO #3) -  SHELBY CO., TX</t>
  </si>
  <si>
    <t xml:space="preserve">	19961114</t>
  </si>
  <si>
    <t xml:space="preserve">	73060</t>
  </si>
  <si>
    <t>PGW - HARKNESS POINT - PHILADELPHIA, PA</t>
  </si>
  <si>
    <t xml:space="preserve">	19970819</t>
  </si>
  <si>
    <t xml:space="preserve">	73062</t>
  </si>
  <si>
    <t>ELIZABETHTOWN GAS COMPANY - UNION CO., NJ</t>
  </si>
  <si>
    <t xml:space="preserve">	19971223</t>
  </si>
  <si>
    <t xml:space="preserve">	73068</t>
  </si>
  <si>
    <t>BRAMMER ENGINEERING, INC. -GREEN GAS UNIT #1 - HARRISON CO.</t>
  </si>
  <si>
    <t>20190930 11:20:25</t>
  </si>
  <si>
    <t>INDIGO MINERALS, LLC</t>
  </si>
  <si>
    <t xml:space="preserve">	795602866</t>
  </si>
  <si>
    <t xml:space="preserve">	73070</t>
  </si>
  <si>
    <t>CENTANA GATHERING CO. MP 225,LA</t>
  </si>
  <si>
    <t xml:space="preserve">	19960322</t>
  </si>
  <si>
    <t>CENTANA GATHERING, LLC</t>
  </si>
  <si>
    <t xml:space="preserve">	0000027633</t>
  </si>
  <si>
    <t xml:space="preserve">	73071</t>
  </si>
  <si>
    <t>NOBLE - VK 826</t>
  </si>
  <si>
    <t xml:space="preserve">	19961227</t>
  </si>
  <si>
    <t xml:space="preserve">	73072</t>
  </si>
  <si>
    <t>W &amp; T OFFSHORE,INC. BLK 279 VERM. LAO</t>
  </si>
  <si>
    <t>20190924 10:25:02</t>
  </si>
  <si>
    <t>TALOS ENERGY OFFSHORE LLC</t>
  </si>
  <si>
    <t xml:space="preserve">	0000030741</t>
  </si>
  <si>
    <t xml:space="preserve">	73073</t>
  </si>
  <si>
    <t>SHELL OFFSHORE , WD 143, - LAO</t>
  </si>
  <si>
    <t xml:space="preserve">	19960804</t>
  </si>
  <si>
    <t>SHELL OFFSHORE, INC.</t>
  </si>
  <si>
    <t xml:space="preserve">	082812637</t>
  </si>
  <si>
    <t xml:space="preserve">	73076</t>
  </si>
  <si>
    <t>ATMOS ENERGY - COLUMBIA, TN</t>
  </si>
  <si>
    <t>MAURY</t>
  </si>
  <si>
    <t xml:space="preserve">	19960109</t>
  </si>
  <si>
    <t>COLUMBIA TX EAST 73076</t>
  </si>
  <si>
    <t xml:space="preserve">	73078</t>
  </si>
  <si>
    <t>EAGLE NATURAL GAS -LAKE BOEUF, LAFOURCHE PSH., LA - TEST</t>
  </si>
  <si>
    <t xml:space="preserve">	20190611</t>
  </si>
  <si>
    <t>PROVEN FUEL - HOUMA, LLC</t>
  </si>
  <si>
    <t xml:space="preserve">	0000030589</t>
  </si>
  <si>
    <t xml:space="preserve">	73079</t>
  </si>
  <si>
    <t>SMYRNA #3 - RUTHERFORD CO., TN</t>
  </si>
  <si>
    <t xml:space="preserve">	19961218</t>
  </si>
  <si>
    <t xml:space="preserve">	73090</t>
  </si>
  <si>
    <t>VENICE-DELIVERY INTO PLANT</t>
  </si>
  <si>
    <t xml:space="preserve">	20041212</t>
  </si>
  <si>
    <t xml:space="preserve">	73096</t>
  </si>
  <si>
    <t>INTERSTATE ENERGY COMPANY (I.E.C.) - BUCKS CO., PA</t>
  </si>
  <si>
    <t xml:space="preserve">	19960913</t>
  </si>
  <si>
    <t>20200701 10:56:42</t>
  </si>
  <si>
    <t>ADELPHIA GATEWAY, LLC</t>
  </si>
  <si>
    <t xml:space="preserve">	081273189</t>
  </si>
  <si>
    <t>C010476</t>
  </si>
  <si>
    <t xml:space="preserve">	M73096</t>
  </si>
  <si>
    <t>QUAKERTOWN</t>
  </si>
  <si>
    <t xml:space="preserve">	73104</t>
  </si>
  <si>
    <t>VERADO ENERGY, INC. - YOUNG #3 - RUSK COUNTY, TX</t>
  </si>
  <si>
    <t xml:space="preserve">	19960801</t>
  </si>
  <si>
    <t>PHOENIX GAS PIPELINE COMPANY</t>
  </si>
  <si>
    <t xml:space="preserve">	611558511</t>
  </si>
  <si>
    <t xml:space="preserve">	73105</t>
  </si>
  <si>
    <t>DAYTON PWR &amp; LT - CLINTON, OH</t>
  </si>
  <si>
    <t xml:space="preserve">	19970111</t>
  </si>
  <si>
    <t xml:space="preserve">	73106</t>
  </si>
  <si>
    <t>FEDERAL BUREAU OF PRISON - YAZOO CO. MS</t>
  </si>
  <si>
    <t>YAZOO</t>
  </si>
  <si>
    <t xml:space="preserve">	19961101</t>
  </si>
  <si>
    <t>PS ENERGY GROUP, INC.</t>
  </si>
  <si>
    <t xml:space="preserve">	151015831</t>
  </si>
  <si>
    <t xml:space="preserve">	73107</t>
  </si>
  <si>
    <t>HORTON HWY DIST #2 - MAURY, TN</t>
  </si>
  <si>
    <t xml:space="preserve">	19970421</t>
  </si>
  <si>
    <t>20190909 15:20:33</t>
  </si>
  <si>
    <t xml:space="preserve">	73109</t>
  </si>
  <si>
    <t>RED BAY #2, FRANKLIN CO. AL.</t>
  </si>
  <si>
    <t xml:space="preserve">	19990929</t>
  </si>
  <si>
    <t xml:space="preserve">	73110</t>
  </si>
  <si>
    <t>GREAT LAKE ENERGY - FAYETTE CO. ,PA</t>
  </si>
  <si>
    <t xml:space="preserve">	20200325</t>
  </si>
  <si>
    <t>20200325 12:20:25</t>
  </si>
  <si>
    <t xml:space="preserve">	73113</t>
  </si>
  <si>
    <t>ENTERPRISE TEXAS PIPELINE LLC - HIDALGO COUNTY, TX</t>
  </si>
  <si>
    <t xml:space="preserve">	19970101</t>
  </si>
  <si>
    <t xml:space="preserve">	834760</t>
  </si>
  <si>
    <t>TETCO SAN SALVADOR</t>
  </si>
  <si>
    <t xml:space="preserve">	73116</t>
  </si>
  <si>
    <t>DOUGLAS OIL &amp; GAS - FAYETTE CO., PA</t>
  </si>
  <si>
    <t xml:space="preserve">	20180118</t>
  </si>
  <si>
    <t>DOUGLAS OIL &amp; GAS INC</t>
  </si>
  <si>
    <t xml:space="preserve">	172958969</t>
  </si>
  <si>
    <t xml:space="preserve">	73117</t>
  </si>
  <si>
    <t>SHELL GULF OF MEXICO- HIDALGO CO., TX</t>
  </si>
  <si>
    <t xml:space="preserve">	20180312</t>
  </si>
  <si>
    <t>20190717 06:46:49</t>
  </si>
  <si>
    <t>OXY USA INC.</t>
  </si>
  <si>
    <t xml:space="preserve">	115102402</t>
  </si>
  <si>
    <t xml:space="preserve">	73127</t>
  </si>
  <si>
    <t>PAULSBORO REFINERY</t>
  </si>
  <si>
    <t xml:space="preserve">	19980320</t>
  </si>
  <si>
    <t>20200316 14:36:09</t>
  </si>
  <si>
    <t>PAULSBORO REFINING COMPANY LLC</t>
  </si>
  <si>
    <t xml:space="preserve">	0000029345</t>
  </si>
  <si>
    <t xml:space="preserve">	73131</t>
  </si>
  <si>
    <t>DELTA NAT GAS - MADISON CO, KY</t>
  </si>
  <si>
    <t xml:space="preserve">	19970523</t>
  </si>
  <si>
    <t>DELTA NATURAL GAS CO INC</t>
  </si>
  <si>
    <t xml:space="preserve">	007779408</t>
  </si>
  <si>
    <t xml:space="preserve">	73134</t>
  </si>
  <si>
    <t>PANENERGY FIELD SERVICES - LINCOLN PARISH, LA</t>
  </si>
  <si>
    <t>LINCOLN</t>
  </si>
  <si>
    <t>20200316 14:55:02</t>
  </si>
  <si>
    <t xml:space="preserve">	46-492001</t>
  </si>
  <si>
    <t>TEXAS EASTERN #2614B</t>
  </si>
  <si>
    <t xml:space="preserve">	73136</t>
  </si>
  <si>
    <t>PECO ENERGY - MONTGOMERY CO., PA (CENTER POINT)</t>
  </si>
  <si>
    <t xml:space="preserve">	19970116</t>
  </si>
  <si>
    <t xml:space="preserve">	73139</t>
  </si>
  <si>
    <t>DCP MIDSTREAM, LP- #1 DIEBEL, GOLIAD CO., TX</t>
  </si>
  <si>
    <t xml:space="preserve">	19970716</t>
  </si>
  <si>
    <t>DCP OPERATING COMPANY, LP</t>
  </si>
  <si>
    <t xml:space="preserve">	0000030747</t>
  </si>
  <si>
    <t xml:space="preserve">	73141</t>
  </si>
  <si>
    <t>MISSISSIPPI CHEMICAL - YAZOO CITY, MS</t>
  </si>
  <si>
    <t xml:space="preserve">	19980421</t>
  </si>
  <si>
    <t>CC92A INDUSTRIES INC.</t>
  </si>
  <si>
    <t xml:space="preserve">	101123578</t>
  </si>
  <si>
    <t xml:space="preserve">	73147</t>
  </si>
  <si>
    <t>CENTANA INTRASTATE PIPELINE CO. - ORANGE CO., TX</t>
  </si>
  <si>
    <t xml:space="preserve">	19971031</t>
  </si>
  <si>
    <t>CENTANA INTRASTATE PIPELINE, LLC</t>
  </si>
  <si>
    <t xml:space="preserve">	557107638</t>
  </si>
  <si>
    <t>C000113</t>
  </si>
  <si>
    <t xml:space="preserve">	77554</t>
  </si>
  <si>
    <t>WLA VIDOR</t>
  </si>
  <si>
    <t xml:space="preserve">	73148</t>
  </si>
  <si>
    <t>DEEP ROCK RESOURCES - FLOWERS / MATAGORDA CO., TX - RUN 01</t>
  </si>
  <si>
    <t xml:space="preserve">	19970901</t>
  </si>
  <si>
    <t>DOMINION GAS VENTURES INC</t>
  </si>
  <si>
    <t xml:space="preserve">	0000014931</t>
  </si>
  <si>
    <t xml:space="preserve">	73150</t>
  </si>
  <si>
    <t>ARKLA - PULASKI CO. AR.</t>
  </si>
  <si>
    <t>PULASKI</t>
  </si>
  <si>
    <t xml:space="preserve">	19980403</t>
  </si>
  <si>
    <t>20190717 06:47:14</t>
  </si>
  <si>
    <t xml:space="preserve">	73152</t>
  </si>
  <si>
    <t>COL GAS-WAYNESBURG - (73152)</t>
  </si>
  <si>
    <t xml:space="preserve">	19971101</t>
  </si>
  <si>
    <t xml:space="preserve">	C14</t>
  </si>
  <si>
    <t>WAYNESBURG</t>
  </si>
  <si>
    <t xml:space="preserve">	73153</t>
  </si>
  <si>
    <t>PECO -- BROOKHAVEN, PA</t>
  </si>
  <si>
    <t xml:space="preserve">	19980415</t>
  </si>
  <si>
    <t xml:space="preserve">	73154</t>
  </si>
  <si>
    <t>PECO ENERGY COMPANY - HERSHEY MILLS, CHESTER CO., PA</t>
  </si>
  <si>
    <t xml:space="preserve">	19971201</t>
  </si>
  <si>
    <t xml:space="preserve">	73157</t>
  </si>
  <si>
    <t>UGI CENTRAL - PENN FUEL - MCCONNELLSBURG, FULTON CO., PA</t>
  </si>
  <si>
    <t>FULTON</t>
  </si>
  <si>
    <t xml:space="preserve">	19971212</t>
  </si>
  <si>
    <t>PENN FUEL - MCCONNELSBURG</t>
  </si>
  <si>
    <t xml:space="preserve">	73159</t>
  </si>
  <si>
    <t>LAFAYETTE #2 - MACON CO., TN</t>
  </si>
  <si>
    <t xml:space="preserve">	19981014</t>
  </si>
  <si>
    <t xml:space="preserve">	73161</t>
  </si>
  <si>
    <t>CLAY GAS UTIL. - MONROE CO, KY</t>
  </si>
  <si>
    <t xml:space="preserve">	19981020</t>
  </si>
  <si>
    <t>CLAY GAS UTILITY DISTRICT</t>
  </si>
  <si>
    <t xml:space="preserve">	056779564</t>
  </si>
  <si>
    <t xml:space="preserve">	73164</t>
  </si>
  <si>
    <t>DCP MIDSTREAM, LP - GOLIAD CO., TX</t>
  </si>
  <si>
    <t xml:space="preserve">	19980129</t>
  </si>
  <si>
    <t xml:space="preserve">	73165</t>
  </si>
  <si>
    <t>SANCHEZ O'BRIEN-BODDEN FROST, LIVE OAK CO., TX</t>
  </si>
  <si>
    <t xml:space="preserve">	19971226</t>
  </si>
  <si>
    <t>VANGUARD OPERATING, LLC</t>
  </si>
  <si>
    <t xml:space="preserve">	079563814</t>
  </si>
  <si>
    <t xml:space="preserve">	73168</t>
  </si>
  <si>
    <t>WILLAMETTE INDUSTRIES -  BIENVILLE PARISH, LA</t>
  </si>
  <si>
    <t xml:space="preserve">	19990624</t>
  </si>
  <si>
    <t>20200713 14:57:33</t>
  </si>
  <si>
    <t>WEYERHAEUSER COMPANY</t>
  </si>
  <si>
    <t xml:space="preserve">	001306992</t>
  </si>
  <si>
    <t xml:space="preserve">	73170</t>
  </si>
  <si>
    <t>AK STEEL - WARREN CO., OH</t>
  </si>
  <si>
    <t xml:space="preserve">	19981208</t>
  </si>
  <si>
    <t>AK STEEL CORPORATION</t>
  </si>
  <si>
    <t xml:space="preserve">	606072130</t>
  </si>
  <si>
    <t xml:space="preserve">	73171</t>
  </si>
  <si>
    <t>EAST CAPE GIRARDEAU, IL</t>
  </si>
  <si>
    <t xml:space="preserve">	19981024</t>
  </si>
  <si>
    <t>CAIRO PUC E C GIRARDEAU ILL DIV., AN INSTRUMENTALITY OF CITY OF CAIRO</t>
  </si>
  <si>
    <t xml:space="preserve">	0000027181</t>
  </si>
  <si>
    <t xml:space="preserve">	73180</t>
  </si>
  <si>
    <t>BLUESTONE - HIDALGO CO., TX</t>
  </si>
  <si>
    <t xml:space="preserve">	19980501</t>
  </si>
  <si>
    <t>BLUESTONE NATURAL RESOURCES, LLC</t>
  </si>
  <si>
    <t xml:space="preserve">	0000028823</t>
  </si>
  <si>
    <t xml:space="preserve">	73187</t>
  </si>
  <si>
    <t>ELIZABETHTOWN GAS COMPANY - LINDEN, NJ</t>
  </si>
  <si>
    <t xml:space="preserve">	19980922</t>
  </si>
  <si>
    <t xml:space="preserve">	73191</t>
  </si>
  <si>
    <t>ST FRANCIS PWR PLT -DUNKIN, MO</t>
  </si>
  <si>
    <t xml:space="preserve">	19981101</t>
  </si>
  <si>
    <t>ASSOCIATED ELECTRIC COOPERATIVE, INC.</t>
  </si>
  <si>
    <t xml:space="preserve">	054077672</t>
  </si>
  <si>
    <t xml:space="preserve">	73193</t>
  </si>
  <si>
    <t>MISS RIV TRANS - STODDARD, MO</t>
  </si>
  <si>
    <t xml:space="preserve">	19980929</t>
  </si>
  <si>
    <t xml:space="preserve">	12818</t>
  </si>
  <si>
    <t>TEXAS EASTERN @SIKESTON</t>
  </si>
  <si>
    <t xml:space="preserve">	73195</t>
  </si>
  <si>
    <t>COL. GAS - MONTGOMERY CO., KY</t>
  </si>
  <si>
    <t xml:space="preserve">	19981201</t>
  </si>
  <si>
    <t xml:space="preserve">	C41</t>
  </si>
  <si>
    <t>TEXAS EASTERN TETCON</t>
  </si>
  <si>
    <t xml:space="preserve">	73196</t>
  </si>
  <si>
    <t>DELTA NAT GAS -MADISON CO., KY</t>
  </si>
  <si>
    <t xml:space="preserve">	19990201</t>
  </si>
  <si>
    <t xml:space="preserve">	73198</t>
  </si>
  <si>
    <t>TENN. GAS P/L - CASEY CO., KY</t>
  </si>
  <si>
    <t xml:space="preserve">	19981120</t>
  </si>
  <si>
    <t>TENNESSEE GAS PIPELINE COMPANY,  L.L.C.</t>
  </si>
  <si>
    <t xml:space="preserve">	001939164</t>
  </si>
  <si>
    <t>C000020</t>
  </si>
  <si>
    <t xml:space="preserve">	420886</t>
  </si>
  <si>
    <t>TET/TGP DRY CREEK SALES CASEY</t>
  </si>
  <si>
    <t xml:space="preserve">	73199</t>
  </si>
  <si>
    <t>DCP MIDSTREAM, LP - BEE CO., TX</t>
  </si>
  <si>
    <t xml:space="preserve">	19981204</t>
  </si>
  <si>
    <t xml:space="preserve">	73200</t>
  </si>
  <si>
    <t>COLUMBIA GAS - FRANKLIN CO. PA (DELIVERY)</t>
  </si>
  <si>
    <t xml:space="preserve">	19991001</t>
  </si>
  <si>
    <t xml:space="preserve">	73205</t>
  </si>
  <si>
    <t>MIDDLE TN NAT GAS -WILSON, TN</t>
  </si>
  <si>
    <t xml:space="preserve">	19991101</t>
  </si>
  <si>
    <t xml:space="preserve">	73207</t>
  </si>
  <si>
    <t>AECI PLANT STO - ESSEX PWR PLT -STODDARD CO, MO</t>
  </si>
  <si>
    <t xml:space="preserve">	19990501</t>
  </si>
  <si>
    <t xml:space="preserve">	73209</t>
  </si>
  <si>
    <t>NORAM FIELD SERVICES - SHELBY CO., TX (REC)</t>
  </si>
  <si>
    <t xml:space="preserve">	19990323</t>
  </si>
  <si>
    <t xml:space="preserve">	73210</t>
  </si>
  <si>
    <t>GAS CHROMATOGRAPH @ 73210 GREAT LAKE ENERGY - FAYETTE CO.,</t>
  </si>
  <si>
    <t xml:space="preserve">	19990816</t>
  </si>
  <si>
    <t xml:space="preserve">	73211</t>
  </si>
  <si>
    <t>WEIR (NEEL-SCHAFFER) - CHOCTAW CO., MS.</t>
  </si>
  <si>
    <t xml:space="preserve">	20000628</t>
  </si>
  <si>
    <t xml:space="preserve">	73212</t>
  </si>
  <si>
    <t>PECO - EAGLE, CHESTER CO., PA. (DEL)</t>
  </si>
  <si>
    <t xml:space="preserve">	19991122</t>
  </si>
  <si>
    <t xml:space="preserve">	73214</t>
  </si>
  <si>
    <t>DEFS - PETTUS, BEE CO., TX</t>
  </si>
  <si>
    <t xml:space="preserve">	19990518</t>
  </si>
  <si>
    <t xml:space="preserve">	73216</t>
  </si>
  <si>
    <t>TOWN OF SHANNON - MONROE CO., MS</t>
  </si>
  <si>
    <t xml:space="preserve">	20010201</t>
  </si>
  <si>
    <t>SHANNON, TOWN OF</t>
  </si>
  <si>
    <t xml:space="preserve">	0000025337</t>
  </si>
  <si>
    <t xml:space="preserve">	73219</t>
  </si>
  <si>
    <t>FINA - GEORGIA PACIFIC #1, OKTIBBEHA CO., MS</t>
  </si>
  <si>
    <t>OKTIBBEHA</t>
  </si>
  <si>
    <t xml:space="preserve">	19990619</t>
  </si>
  <si>
    <t>CROSS TIMBERS ENERGY, LLC</t>
  </si>
  <si>
    <t xml:space="preserve">	0000030144</t>
  </si>
  <si>
    <t xml:space="preserve">	73223</t>
  </si>
  <si>
    <t>DEFS - EDINBURG POWER PLANT - HIDALGO CO., TX</t>
  </si>
  <si>
    <t xml:space="preserve">	73225</t>
  </si>
  <si>
    <t>NAT'L GAS  -PERRY CO., OH</t>
  </si>
  <si>
    <t xml:space="preserve">	19991229</t>
  </si>
  <si>
    <t xml:space="preserve">	73226</t>
  </si>
  <si>
    <t>JONESBORO CITY, WATER &amp; LIGHT - GREENE, AR</t>
  </si>
  <si>
    <t xml:space="preserve">	20000101</t>
  </si>
  <si>
    <t>20200316 15:27:18</t>
  </si>
  <si>
    <t>CITY WATER &amp; LIGHT OF JONESBORO, ARKANSAS</t>
  </si>
  <si>
    <t xml:space="preserve">	073531774</t>
  </si>
  <si>
    <t xml:space="preserve">	73232</t>
  </si>
  <si>
    <t>DEFS - GOLIAD COUNTY, TX</t>
  </si>
  <si>
    <t xml:space="preserve">	20170724</t>
  </si>
  <si>
    <t>20190717 06:46:52</t>
  </si>
  <si>
    <t xml:space="preserve">	73233</t>
  </si>
  <si>
    <t>DUKE ENERGY INDIANA</t>
  </si>
  <si>
    <t xml:space="preserve">	20000316</t>
  </si>
  <si>
    <t>DUKE ENERGY INDIANA, INC</t>
  </si>
  <si>
    <t xml:space="preserve">	006939540</t>
  </si>
  <si>
    <t xml:space="preserve">	73235</t>
  </si>
  <si>
    <t>NATIONAL ENERGY &amp; TRAD. - W. FELICIANA PSH, LA.</t>
  </si>
  <si>
    <t xml:space="preserve">	19991218</t>
  </si>
  <si>
    <t>NATIONAL ENERGY &amp; TRADE, LP</t>
  </si>
  <si>
    <t xml:space="preserve">	036411387</t>
  </si>
  <si>
    <t xml:space="preserve">	73236</t>
  </si>
  <si>
    <t>DEFS (LN. #23-BYPASS: NEW PLANT FUEL GAS 2) - PROV. CITY, T</t>
  </si>
  <si>
    <t>STA</t>
  </si>
  <si>
    <t xml:space="preserve">	19990715</t>
  </si>
  <si>
    <t xml:space="preserve">	73238</t>
  </si>
  <si>
    <t>MISS VALLEY GAS #2 - HINDS CO., MS.</t>
  </si>
  <si>
    <t xml:space="preserve">	20000501</t>
  </si>
  <si>
    <t xml:space="preserve">	72368</t>
  </si>
  <si>
    <t>HINDS CO. #2</t>
  </si>
  <si>
    <t xml:space="preserve">	73239</t>
  </si>
  <si>
    <t>TALEN ENERGY MARKETING, LLC - (IRONWOOD) LEBANON CO., PA.</t>
  </si>
  <si>
    <t xml:space="preserve">	20000915</t>
  </si>
  <si>
    <t>20200713 14:58:25</t>
  </si>
  <si>
    <t>HELIX IRONWOOD, LLC</t>
  </si>
  <si>
    <t xml:space="preserve">	0000030615</t>
  </si>
  <si>
    <t xml:space="preserve">	73241</t>
  </si>
  <si>
    <t>TRANSCOASTAL CORP. - DILLARD #1 /  SHELBY CO., TX</t>
  </si>
  <si>
    <t xml:space="preserve">	20000226</t>
  </si>
  <si>
    <t>CORETERRA OPERATING, LLC</t>
  </si>
  <si>
    <t xml:space="preserve">	0000029744</t>
  </si>
  <si>
    <t xml:space="preserve">	73242</t>
  </si>
  <si>
    <t>COASTAL OIL &amp; GAS - PAWLIK #1, LIVE OAK CO., TX</t>
  </si>
  <si>
    <t xml:space="preserve">	20000201</t>
  </si>
  <si>
    <t xml:space="preserve">	73244</t>
  </si>
  <si>
    <t>WINN EXPLORATION/KERLICK #1 - DEWITT COUNTY, TX (REC)</t>
  </si>
  <si>
    <t xml:space="preserve">	20200520</t>
  </si>
  <si>
    <t>20200520 15:20:26</t>
  </si>
  <si>
    <t xml:space="preserve">	73247</t>
  </si>
  <si>
    <t>COLUMBIA UTILITIES - ADAIR CO., KY</t>
  </si>
  <si>
    <t xml:space="preserve">	20051026</t>
  </si>
  <si>
    <t xml:space="preserve">	73249</t>
  </si>
  <si>
    <t>ENTERGY - LEWIS CREEK / MONTGOMERY COUNTY, TX</t>
  </si>
  <si>
    <t xml:space="preserve">	20000830</t>
  </si>
  <si>
    <t xml:space="preserve">	73251</t>
  </si>
  <si>
    <t>ATTALA GENERATING COMPANY  LLC (DEL)</t>
  </si>
  <si>
    <t xml:space="preserve">	20010228</t>
  </si>
  <si>
    <t>ENTERGY MISSISSIPPI, LLC</t>
  </si>
  <si>
    <t xml:space="preserve">	006964381</t>
  </si>
  <si>
    <t xml:space="preserve">	73252</t>
  </si>
  <si>
    <t>HINDS POWER PLANT</t>
  </si>
  <si>
    <t xml:space="preserve">	20001212</t>
  </si>
  <si>
    <t xml:space="preserve">	73253</t>
  </si>
  <si>
    <t>ETC TEXAS PIPELINE, LTD-HENDERSON #1 / NACOGDOCHES CO., TX</t>
  </si>
  <si>
    <t xml:space="preserve">	20000801</t>
  </si>
  <si>
    <t>ETC TEXAS PIPELINE, LTD.</t>
  </si>
  <si>
    <t xml:space="preserve">	148978856</t>
  </si>
  <si>
    <t xml:space="preserve">	73255</t>
  </si>
  <si>
    <t>HIGH POINT GAS GATHERING, L.P.-IBERVILLE PARISH, LA</t>
  </si>
  <si>
    <t xml:space="preserve">	20171009</t>
  </si>
  <si>
    <t>DRY TRAILS MIDSTREAM ENERGY, LLC</t>
  </si>
  <si>
    <t xml:space="preserve">	0000030012</t>
  </si>
  <si>
    <t xml:space="preserve">	73256</t>
  </si>
  <si>
    <t>FINA - LOVE HILL GATHERING - OKTIBBEHA CO., MS</t>
  </si>
  <si>
    <t>20200804 13:20:40</t>
  </si>
  <si>
    <t xml:space="preserve">	73257</t>
  </si>
  <si>
    <t>KNOX ENERGY COOPERATIVE ASSOCIATION, INC.</t>
  </si>
  <si>
    <t>PREBLE</t>
  </si>
  <si>
    <t xml:space="preserve">	20010501</t>
  </si>
  <si>
    <t>20200521 12:38:10</t>
  </si>
  <si>
    <t xml:space="preserve">	0000026402</t>
  </si>
  <si>
    <t xml:space="preserve">	73263</t>
  </si>
  <si>
    <t>DUKE ENERGY VERMILLION II, LLC</t>
  </si>
  <si>
    <t xml:space="preserve">	20000522</t>
  </si>
  <si>
    <t>20190723 15:41:09</t>
  </si>
  <si>
    <t>MIDWESTERN GAS TRANSMISSION COMPANY</t>
  </si>
  <si>
    <t xml:space="preserve">	006792451</t>
  </si>
  <si>
    <t>C000582</t>
  </si>
  <si>
    <t xml:space="preserve">	283552</t>
  </si>
  <si>
    <t>VERMILLION - DUKE</t>
  </si>
  <si>
    <t xml:space="preserve">	73269</t>
  </si>
  <si>
    <t>FARMERSVILLE-DERBY DELIVERY - (73269)</t>
  </si>
  <si>
    <t xml:space="preserve">	20001031</t>
  </si>
  <si>
    <t xml:space="preserve">	73270</t>
  </si>
  <si>
    <t>FARMERSVILLE-TAIT - (73270)</t>
  </si>
  <si>
    <t>20200224 14:20:25</t>
  </si>
  <si>
    <t>TAIT ELECTRIC GENERATING STATION, LLC</t>
  </si>
  <si>
    <t xml:space="preserve">	999999999</t>
  </si>
  <si>
    <t xml:space="preserve">	73275</t>
  </si>
  <si>
    <t>SONERRA RESOURCES - MELROSE GATHERING (KENDRICK #1-H) (REC)</t>
  </si>
  <si>
    <t>SONERRA RESOURCES CORPORATION</t>
  </si>
  <si>
    <t xml:space="preserve">	0000026885</t>
  </si>
  <si>
    <t xml:space="preserve">	73276</t>
  </si>
  <si>
    <t>HURD ENTERPRISES - LUKER #2, GOLIAD CO., TX (REC)</t>
  </si>
  <si>
    <t xml:space="preserve">	20010209</t>
  </si>
  <si>
    <t>HURD ENTERPRISES LTD</t>
  </si>
  <si>
    <t xml:space="preserve">	062367693</t>
  </si>
  <si>
    <t xml:space="preserve">	73277</t>
  </si>
  <si>
    <t>HURD ENTERPRISES-APPLING FARMS-LAVACA CO., TX (REC)</t>
  </si>
  <si>
    <t xml:space="preserve">	20200316</t>
  </si>
  <si>
    <t>20200316 13:35:25</t>
  </si>
  <si>
    <t xml:space="preserve">	73280</t>
  </si>
  <si>
    <t>DUKE ENERGY KENTUCKY</t>
  </si>
  <si>
    <t xml:space="preserve">	20010401</t>
  </si>
  <si>
    <t>DUKE ENERGY KENTUCKY, INC.</t>
  </si>
  <si>
    <t xml:space="preserve">	006944672</t>
  </si>
  <si>
    <t>C001753</t>
  </si>
  <si>
    <t>WOODSDALE</t>
  </si>
  <si>
    <t xml:space="preserve">	73282</t>
  </si>
  <si>
    <t>SONERRA RESOURCES - MOUNTAIN WEST, NACOG. CO., TX (REC)</t>
  </si>
  <si>
    <t xml:space="preserve">	20010323</t>
  </si>
  <si>
    <t xml:space="preserve">	73283</t>
  </si>
  <si>
    <t>UNION PETROLEUM, LTD (LINE 16LL) - BRAZORIA CO., TX</t>
  </si>
  <si>
    <t>SAN PATRICIO</t>
  </si>
  <si>
    <t xml:space="preserve">	20010301</t>
  </si>
  <si>
    <t>TIMBERWOLF ENERGY,  INC.</t>
  </si>
  <si>
    <t xml:space="preserve">	0000029995</t>
  </si>
  <si>
    <t xml:space="preserve">	73285</t>
  </si>
  <si>
    <t>ONYX P/L - NUECES CO., TX (LAT. 16-K)</t>
  </si>
  <si>
    <t xml:space="preserve">	20161003</t>
  </si>
  <si>
    <t>20190717 06:46:51</t>
  </si>
  <si>
    <t>ONYX PIPELINE CO</t>
  </si>
  <si>
    <t xml:space="preserve">	835896184</t>
  </si>
  <si>
    <t xml:space="preserve">	73294</t>
  </si>
  <si>
    <t>DYNEGY- ONTELAUNEE, PA</t>
  </si>
  <si>
    <t xml:space="preserve">	20020401</t>
  </si>
  <si>
    <t>20200603 17:07:04</t>
  </si>
  <si>
    <t>ONTELAUNEE POWER OPERATING COMPANY,LLC</t>
  </si>
  <si>
    <t xml:space="preserve">	0000028003</t>
  </si>
  <si>
    <t xml:space="preserve">	73295</t>
  </si>
  <si>
    <t>HEC PETROLEUM-FULTON FULLER #1, NACOG. CO., TX (REC)</t>
  </si>
  <si>
    <t xml:space="preserve">	20010623</t>
  </si>
  <si>
    <t xml:space="preserve">	73297</t>
  </si>
  <si>
    <t>DYNEGY WASHINGTON II, LLC</t>
  </si>
  <si>
    <t>WASHINGTON</t>
  </si>
  <si>
    <t xml:space="preserve">	20020124</t>
  </si>
  <si>
    <t>20190717 06:47:29</t>
  </si>
  <si>
    <t xml:space="preserve">	113938448</t>
  </si>
  <si>
    <t xml:space="preserve">	73298</t>
  </si>
  <si>
    <t>COTTONWOOD ENERGY COMPANY, LP - NEWTON CO., TX</t>
  </si>
  <si>
    <t>NEWTON</t>
  </si>
  <si>
    <t xml:space="preserve">	20020603</t>
  </si>
  <si>
    <t>NRG POWER MARKETING LLC</t>
  </si>
  <si>
    <t xml:space="preserve">	028255979</t>
  </si>
  <si>
    <t xml:space="preserve">	73304</t>
  </si>
  <si>
    <t>ALLEGHNEY ENERGY, CHAMBERSBURG-FRANKLIN CO., PA (DEL)</t>
  </si>
  <si>
    <t xml:space="preserve">	20011123</t>
  </si>
  <si>
    <t>CHAMBERSBURG ENERGY LLC</t>
  </si>
  <si>
    <t xml:space="preserve">	079498050</t>
  </si>
  <si>
    <t xml:space="preserve">	73306</t>
  </si>
  <si>
    <t>RELIANT PWR PLT - PA - (73306)</t>
  </si>
  <si>
    <t>ADAMS</t>
  </si>
  <si>
    <t>KESTREL ACQUISITION, LLC</t>
  </si>
  <si>
    <t xml:space="preserve">	0000030718</t>
  </si>
  <si>
    <t xml:space="preserve">	73310</t>
  </si>
  <si>
    <t>SOUTH SHORE P/L (NE&amp;T), NUECES CO., TX</t>
  </si>
  <si>
    <t>SOUTH SHORE PIPELINE CO LLC</t>
  </si>
  <si>
    <t xml:space="preserve">	0000027003</t>
  </si>
  <si>
    <t xml:space="preserve">	73311</t>
  </si>
  <si>
    <t>MME DESOTO PIPELINE, L.P. - AUSTIN CO. -- SEALY, TX (REC) -</t>
  </si>
  <si>
    <t xml:space="preserve">	20011019</t>
  </si>
  <si>
    <t xml:space="preserve">	8153218</t>
  </si>
  <si>
    <t>SPECTRUM PETERS DELIVERY</t>
  </si>
  <si>
    <t xml:space="preserve">	73313</t>
  </si>
  <si>
    <t>DEFS-GEODOMINION - BONORDEN #1 - LAVACA CO., TX</t>
  </si>
  <si>
    <t xml:space="preserve">	20200108</t>
  </si>
  <si>
    <t>20200108 07:20:28</t>
  </si>
  <si>
    <t xml:space="preserve">	73316</t>
  </si>
  <si>
    <t>HEADINGTON OIL-HUTCHINS PEARSON #1-WHARTON CO., TX   (REC)</t>
  </si>
  <si>
    <t xml:space="preserve">	20010910</t>
  </si>
  <si>
    <t>LAYTON ENERGY INC</t>
  </si>
  <si>
    <t xml:space="preserve">	0000029353</t>
  </si>
  <si>
    <t xml:space="preserve">	73318</t>
  </si>
  <si>
    <t>LIBERTY ELEC-DEL.PA. - (73318)</t>
  </si>
  <si>
    <t xml:space="preserve">	20011212</t>
  </si>
  <si>
    <t>LIBERTY ELECTRIC POWER, LLC</t>
  </si>
  <si>
    <t xml:space="preserve">	0000026271</t>
  </si>
  <si>
    <t xml:space="preserve">	73322</t>
  </si>
  <si>
    <t>ARCADIA OPERATING - BEAUREGARD PSH., LA</t>
  </si>
  <si>
    <t xml:space="preserve">	20190114</t>
  </si>
  <si>
    <t>20190717 06:47:05</t>
  </si>
  <si>
    <t>ARCADIA OPERATING LLC</t>
  </si>
  <si>
    <t xml:space="preserve">	0000030160</t>
  </si>
  <si>
    <t xml:space="preserve">	73323</t>
  </si>
  <si>
    <t>VENCO TAP - CONOCO</t>
  </si>
  <si>
    <t>WV</t>
  </si>
  <si>
    <t>MARSHALL</t>
  </si>
  <si>
    <t xml:space="preserve">	20180103</t>
  </si>
  <si>
    <t>20190725 14:24:04</t>
  </si>
  <si>
    <t>RAIN CII CARBON LLC</t>
  </si>
  <si>
    <t xml:space="preserve">	0000029410</t>
  </si>
  <si>
    <t xml:space="preserve">	73324</t>
  </si>
  <si>
    <t>ASPECT ENERGY, LLC / #1 GRIGGS - BEAUREGARD PSH., LA</t>
  </si>
  <si>
    <t>COASTAL PLAINS EXPLORATION, LLC</t>
  </si>
  <si>
    <t xml:space="preserve">	0000030163</t>
  </si>
  <si>
    <t xml:space="preserve">	73325</t>
  </si>
  <si>
    <t>ROLLING HILLS GENERATING LLC - (73325)</t>
  </si>
  <si>
    <t>VINTON</t>
  </si>
  <si>
    <t xml:space="preserve">	20021218</t>
  </si>
  <si>
    <t>ROLLING HILLS GENERATING, LLC</t>
  </si>
  <si>
    <t xml:space="preserve">	064579779</t>
  </si>
  <si>
    <t xml:space="preserve">	73328</t>
  </si>
  <si>
    <t>PETROCHEM OPERATING / LOTT #1 - BOSSIER PARISH, LA (REC)</t>
  </si>
  <si>
    <t xml:space="preserve">	20011105</t>
  </si>
  <si>
    <t>PETROCHEM OPERATING CO.</t>
  </si>
  <si>
    <t xml:space="preserve">	878520212</t>
  </si>
  <si>
    <t xml:space="preserve">	73329</t>
  </si>
  <si>
    <t>CGT/NISOURCE-KY - CLARK CO., KY</t>
  </si>
  <si>
    <t>CLARK</t>
  </si>
  <si>
    <t xml:space="preserve">	20020101</t>
  </si>
  <si>
    <t xml:space="preserve">	C42</t>
  </si>
  <si>
    <t>TETCON-RT89</t>
  </si>
  <si>
    <t xml:space="preserve">	73334</t>
  </si>
  <si>
    <t>WATERFORD PLANT - WASHINGTON CO., OH</t>
  </si>
  <si>
    <t xml:space="preserve">	20020301</t>
  </si>
  <si>
    <t>20200804 17:06:09</t>
  </si>
  <si>
    <t>WATERFORD POWER, LLC</t>
  </si>
  <si>
    <t xml:space="preserve">	080451579</t>
  </si>
  <si>
    <t xml:space="preserve">	73337</t>
  </si>
  <si>
    <t>TANOS EXPLORATION II,LLC.-RC HILL #1-NAC. CO/., TX.</t>
  </si>
  <si>
    <t xml:space="preserve">	20180629</t>
  </si>
  <si>
    <t>20190717 06:47:04</t>
  </si>
  <si>
    <t>TANOS EXPLORATION II, LLC</t>
  </si>
  <si>
    <t xml:space="preserve">	0000030340</t>
  </si>
  <si>
    <t xml:space="preserve">	73338</t>
  </si>
  <si>
    <t>SANTOSUSA CORP</t>
  </si>
  <si>
    <t>GAITHER PETROLEUM CORP</t>
  </si>
  <si>
    <t xml:space="preserve">	0000023013</t>
  </si>
  <si>
    <t xml:space="preserve">	73339</t>
  </si>
  <si>
    <t>ENTERGY MISSISSIPPI, LLC-CHOCTAW CO., MS</t>
  </si>
  <si>
    <t xml:space="preserve">	20021201</t>
  </si>
  <si>
    <t xml:space="preserve">	73341</t>
  </si>
  <si>
    <t>CIMA ENERGY LTD - GATH. SYSTEM / DEWITT CO., TX  (REC)</t>
  </si>
  <si>
    <t xml:space="preserve">	20020304</t>
  </si>
  <si>
    <t>CIMA ENERGY, LP</t>
  </si>
  <si>
    <t xml:space="preserve">	945601599</t>
  </si>
  <si>
    <t xml:space="preserve">	73345</t>
  </si>
  <si>
    <t>DEFS/SANTA FE RANCH GATHERING - KLEBERG CO., TX (REC)</t>
  </si>
  <si>
    <t>20191023 07:35:16</t>
  </si>
  <si>
    <t xml:space="preserve">	73346</t>
  </si>
  <si>
    <t>DYNEGY FAYETTE LL, LLC  (DYNEGY FAYE)</t>
  </si>
  <si>
    <t>20190717 06:47:34</t>
  </si>
  <si>
    <t>DYNEGY FAYETTE II, LLC</t>
  </si>
  <si>
    <t xml:space="preserve">	118028500</t>
  </si>
  <si>
    <t xml:space="preserve">	73348</t>
  </si>
  <si>
    <t>TREMONT DELIVERY, ITAWAMBA CO., MS</t>
  </si>
  <si>
    <t xml:space="preserve">	20020901</t>
  </si>
  <si>
    <t>TREMONT NATURAL GAS SYSTEM</t>
  </si>
  <si>
    <t xml:space="preserve">	0000027238</t>
  </si>
  <si>
    <t xml:space="preserve">	73349</t>
  </si>
  <si>
    <t>DYNEGY HANGING ROCK II, LLC</t>
  </si>
  <si>
    <t>SCIOTO</t>
  </si>
  <si>
    <t>20200623 09:20:31</t>
  </si>
  <si>
    <t xml:space="preserve">	118028039</t>
  </si>
  <si>
    <t xml:space="preserve">	73350</t>
  </si>
  <si>
    <t>CANTON MUNICIPAL UTILITIES</t>
  </si>
  <si>
    <t xml:space="preserve">	20030301</t>
  </si>
  <si>
    <t xml:space="preserve">	0000027292</t>
  </si>
  <si>
    <t xml:space="preserve">	73355</t>
  </si>
  <si>
    <t>GRAYSON HILL FARMS-METHANE POWER-SALINE CO., IL</t>
  </si>
  <si>
    <t xml:space="preserve">	20030401</t>
  </si>
  <si>
    <t>GRAYSON HILL ENERGY,LLC</t>
  </si>
  <si>
    <t xml:space="preserve">	0000027412</t>
  </si>
  <si>
    <t xml:space="preserve">	73362</t>
  </si>
  <si>
    <t>SUEMAUR E&amp;P-PEDRAZA #1 - HIDALGO CO., TX (REC)</t>
  </si>
  <si>
    <t xml:space="preserve">	20030212</t>
  </si>
  <si>
    <t>20200804 17:22:37</t>
  </si>
  <si>
    <t>MARWELL PETROLEUM LIMITED PARTNERSHIP</t>
  </si>
  <si>
    <t xml:space="preserve">	0000030185</t>
  </si>
  <si>
    <t xml:space="preserve">	73364</t>
  </si>
  <si>
    <t>BRAMMER-BROWDER GATHERING-SAN JACINTO CO., TX (REC)</t>
  </si>
  <si>
    <t>BRAMMER ENGINEERING, INC.</t>
  </si>
  <si>
    <t xml:space="preserve">	069736239</t>
  </si>
  <si>
    <t xml:space="preserve">	73379</t>
  </si>
  <si>
    <t>EAST KENTUCKY POWER CO-OP-CLARK CO., KY</t>
  </si>
  <si>
    <t xml:space="preserve">	20030902</t>
  </si>
  <si>
    <t>20200608 08:42:25</t>
  </si>
  <si>
    <t>EAST KENTUCKY POWER COOPERATIVE,INC.</t>
  </si>
  <si>
    <t xml:space="preserve">	0000023250</t>
  </si>
  <si>
    <t xml:space="preserve">	73385</t>
  </si>
  <si>
    <t>SUEMAUR E &amp; P - GOLDSBERRY GATHERING / HIDALGO CO., TX (REC</t>
  </si>
  <si>
    <t>20200316 15:24:43</t>
  </si>
  <si>
    <t>UPSTREAM ENERGY SERVICES LLC</t>
  </si>
  <si>
    <t xml:space="preserve">	945765386</t>
  </si>
  <si>
    <t xml:space="preserve">	73388</t>
  </si>
  <si>
    <t>MONTGOMERY GAS TRANSMISSION, INC. - MONTGOMERY CO., TX (DEL</t>
  </si>
  <si>
    <t xml:space="preserve">	20030901</t>
  </si>
  <si>
    <t>MONTGOMERY GAS TRANSMISSION,INC.</t>
  </si>
  <si>
    <t xml:space="preserve">	0000027446</t>
  </si>
  <si>
    <t xml:space="preserve">	73391</t>
  </si>
  <si>
    <t>ARCADIA OPERATING,LLC- GOLDEN MINER #1 / SAN JACINTO CO., T</t>
  </si>
  <si>
    <t xml:space="preserve">	73393</t>
  </si>
  <si>
    <t>FIELDWOOD ENERGY - SP 89-B BUYBACK</t>
  </si>
  <si>
    <t xml:space="preserve">	20050520</t>
  </si>
  <si>
    <t xml:space="preserve">	73399</t>
  </si>
  <si>
    <t>FFA PETROLEUM-KRAMER GATHERING, JACKSON CO., TX</t>
  </si>
  <si>
    <t xml:space="preserve">	20031201</t>
  </si>
  <si>
    <t>FFA PETROLEUM</t>
  </si>
  <si>
    <t xml:space="preserve">	0000007876</t>
  </si>
  <si>
    <t xml:space="preserve">	73402</t>
  </si>
  <si>
    <t>GREAT LAKES(VOYTEK) ENERGY INTERCONNECT-FAYETTE CO., PA</t>
  </si>
  <si>
    <t xml:space="preserve">	20040121</t>
  </si>
  <si>
    <t xml:space="preserve">	73407</t>
  </si>
  <si>
    <t>CHESAPEAKE OPERATING INC-ANKENMEN GATHERING, BRAZORIA CO.,</t>
  </si>
  <si>
    <t>HILCORP ENERGY COMPANY</t>
  </si>
  <si>
    <t xml:space="preserve">	0000025026</t>
  </si>
  <si>
    <t xml:space="preserve">	73409</t>
  </si>
  <si>
    <t>FOSSIL RESOURCES - BROWN #1H / NACOGDOCHES CO., TX</t>
  </si>
  <si>
    <t xml:space="preserve">	20031231</t>
  </si>
  <si>
    <t xml:space="preserve">	73410</t>
  </si>
  <si>
    <t>CENTERPOINT ENERGY-GATHERING SYSTEM, SHELBY CO., TX (REC)</t>
  </si>
  <si>
    <t xml:space="preserve">	20040109</t>
  </si>
  <si>
    <t xml:space="preserve">	73411</t>
  </si>
  <si>
    <t>DISCOVERY/TRANSCO DELIVERY, LAFOURCHE PARISH, LA</t>
  </si>
  <si>
    <t xml:space="preserve">	20050428</t>
  </si>
  <si>
    <t>20200804 16:58:41</t>
  </si>
  <si>
    <t>DISCOVERY GAS TRANSMISSION LLC</t>
  </si>
  <si>
    <t xml:space="preserve">	0000025649</t>
  </si>
  <si>
    <t>C001031</t>
  </si>
  <si>
    <t xml:space="preserve">	40003</t>
  </si>
  <si>
    <t>TECO RECEIPTS</t>
  </si>
  <si>
    <t xml:space="preserve">	73412</t>
  </si>
  <si>
    <t>BUCKEYE RANCH GATHERING - MATAGORDA CO., TX</t>
  </si>
  <si>
    <t>20190930 09:20:26</t>
  </si>
  <si>
    <t xml:space="preserve">	73413</t>
  </si>
  <si>
    <t>TENNESSEE GAS P/L - HANGING ROCK LATERAL</t>
  </si>
  <si>
    <t xml:space="preserve">	20040324</t>
  </si>
  <si>
    <t xml:space="preserve">	421018</t>
  </si>
  <si>
    <t>DYNEGY/TGP HANGING ROCK</t>
  </si>
  <si>
    <t xml:space="preserve">	73414</t>
  </si>
  <si>
    <t>HESCO - DENALI GATHERING / HIDALGO CO., TX (REC)</t>
  </si>
  <si>
    <t xml:space="preserve">	20040416</t>
  </si>
  <si>
    <t xml:space="preserve">	73417</t>
  </si>
  <si>
    <t>COPANO PROCESSING - HOUSTON CENTRAL / COLORADO CO., TX (REC</t>
  </si>
  <si>
    <t xml:space="preserve">	20040601</t>
  </si>
  <si>
    <t>COPANO PROCESSING, L.P.</t>
  </si>
  <si>
    <t xml:space="preserve">	066080651</t>
  </si>
  <si>
    <t xml:space="preserve">	73422</t>
  </si>
  <si>
    <t>WOODWARD PIPELINE-APPLE SPRINGS / ANGELINA CO., TX (REC)</t>
  </si>
  <si>
    <t>ANGELINA</t>
  </si>
  <si>
    <t>20190717 06:47:00</t>
  </si>
  <si>
    <t>WOODWARD PIPELINE INC.</t>
  </si>
  <si>
    <t xml:space="preserve">	093967388</t>
  </si>
  <si>
    <t xml:space="preserve">	73423</t>
  </si>
  <si>
    <t>PIEDMONT NATURAL GAS - RUTHERFORD</t>
  </si>
  <si>
    <t xml:space="preserve">	20041001</t>
  </si>
  <si>
    <t xml:space="preserve">	73424</t>
  </si>
  <si>
    <t>GREAT LAKES ENERGY - LAYMAN GATHERING/WESTMORELAND, PA.</t>
  </si>
  <si>
    <t xml:space="preserve">	20041122</t>
  </si>
  <si>
    <t xml:space="preserve">	73425</t>
  </si>
  <si>
    <t>WILLIAMS PIPELINE/LACY CROSSOVER - HIDALGO CO., TX (REC)</t>
  </si>
  <si>
    <t xml:space="preserve">	20200204</t>
  </si>
  <si>
    <t>20200204 13:20:22</t>
  </si>
  <si>
    <t xml:space="preserve">	73432</t>
  </si>
  <si>
    <t>HOUSTON PIPELINE VIDOR</t>
  </si>
  <si>
    <t xml:space="preserve">	20050127</t>
  </si>
  <si>
    <t xml:space="preserve">	0980478</t>
  </si>
  <si>
    <t>HPL/TETCO VIDOR</t>
  </si>
  <si>
    <t xml:space="preserve">	73445</t>
  </si>
  <si>
    <t>VESSELS COAL - GATHERING SYSTEM - SALINE CO., IL (REC)</t>
  </si>
  <si>
    <t xml:space="preserve">	20050107</t>
  </si>
  <si>
    <t>VESSELS COAL GAS, INC.</t>
  </si>
  <si>
    <t xml:space="preserve">	0000030059</t>
  </si>
  <si>
    <t xml:space="preserve">	73449</t>
  </si>
  <si>
    <t>ATLAS AMERICA-FAYETTE, CO., PA - (73449)</t>
  </si>
  <si>
    <t xml:space="preserve">	20080708</t>
  </si>
  <si>
    <t>20200316 14:51:39</t>
  </si>
  <si>
    <t>LAUREL MOUNTAIN MIDSTREAM OPERATING, LLC</t>
  </si>
  <si>
    <t xml:space="preserve">	0000029340</t>
  </si>
  <si>
    <t xml:space="preserve">	73452</t>
  </si>
  <si>
    <t>DEFS/SOUTHERN RESOURCES GATH. - BEE CO., TX (REC)</t>
  </si>
  <si>
    <t xml:space="preserve">	20050415</t>
  </si>
  <si>
    <t xml:space="preserve">	73454</t>
  </si>
  <si>
    <t>KALER ENERGY-CARPENTER #1/BEE CO., TX (REC)</t>
  </si>
  <si>
    <t xml:space="preserve">	20050429</t>
  </si>
  <si>
    <t>B P PRODUCTION INC.</t>
  </si>
  <si>
    <t xml:space="preserve">	121472588</t>
  </si>
  <si>
    <t xml:space="preserve">	73455</t>
  </si>
  <si>
    <t>MCBEE OPERATING COMPANY, LLC-RIPPY #1 NACOG. CO., TX (REC)</t>
  </si>
  <si>
    <t xml:space="preserve">	20040820</t>
  </si>
  <si>
    <t>RIPPY OIL COMPANY</t>
  </si>
  <si>
    <t xml:space="preserve">	0000028939</t>
  </si>
  <si>
    <t xml:space="preserve">	73456</t>
  </si>
  <si>
    <t>XTO ENERGY - ANICO #4 - POLK CO., TX (REC)</t>
  </si>
  <si>
    <t xml:space="preserve">	20050608</t>
  </si>
  <si>
    <t>XTO ENERGY INC.</t>
  </si>
  <si>
    <t xml:space="preserve">	804712347</t>
  </si>
  <si>
    <t xml:space="preserve">	73461</t>
  </si>
  <si>
    <t>UNIVERSAL NATURAL GAS/INTERCONNECT - MONTGOMERY CO., TX (DE</t>
  </si>
  <si>
    <t xml:space="preserve">	20060303</t>
  </si>
  <si>
    <t>UNIVERSAL NATURAL GAS, INC.</t>
  </si>
  <si>
    <t xml:space="preserve">	809623713</t>
  </si>
  <si>
    <t xml:space="preserve">	73465</t>
  </si>
  <si>
    <t>GREYLOCK PIPELINE, LLC, JEFFERSON IC  PA</t>
  </si>
  <si>
    <t xml:space="preserve">	20050908</t>
  </si>
  <si>
    <t>20191106 14:35:14</t>
  </si>
  <si>
    <t>GREYLOCK PIPELINE, LLC</t>
  </si>
  <si>
    <t xml:space="preserve">	0000030754</t>
  </si>
  <si>
    <t>C003355</t>
  </si>
  <si>
    <t>HENDERSON</t>
  </si>
  <si>
    <t xml:space="preserve">	73466</t>
  </si>
  <si>
    <t>ALLIANCE PETROLEUM CORP - NICHOLSON FIELD INTERCONNECT-PA.</t>
  </si>
  <si>
    <t xml:space="preserve">	20050912</t>
  </si>
  <si>
    <t>DIVERSIFIED PRODUCTION LLC</t>
  </si>
  <si>
    <t xml:space="preserve">	0000030919</t>
  </si>
  <si>
    <t xml:space="preserve">	73469</t>
  </si>
  <si>
    <t>DISCOVERY-LAROSE STATION INTERCONNECT, LAFOURCHE PSH., LA</t>
  </si>
  <si>
    <t xml:space="preserve">	20051207</t>
  </si>
  <si>
    <t xml:space="preserve">	43016</t>
  </si>
  <si>
    <t>TETCO TO DGT LAROSE</t>
  </si>
  <si>
    <t xml:space="preserve">	73475</t>
  </si>
  <si>
    <t>SAMSON LONESTAR - HERRERA #2 GATHERING, NACOGDOCHES CO., TX</t>
  </si>
  <si>
    <t xml:space="preserve">	20051227</t>
  </si>
  <si>
    <t>SAMSON LONE STAR, LLC</t>
  </si>
  <si>
    <t xml:space="preserve">	0000029214</t>
  </si>
  <si>
    <t xml:space="preserve">	73476</t>
  </si>
  <si>
    <t>XTO ENERGY - O BRIEN INTERCONNECT - (73476)</t>
  </si>
  <si>
    <t>PHILLIPS EXPLORATION, INC.</t>
  </si>
  <si>
    <t xml:space="preserve">	106316920</t>
  </si>
  <si>
    <t xml:space="preserve">	73477</t>
  </si>
  <si>
    <t>PRIME OPERATING COMPANY - MONEY WORT #1 - WALKER CO., TX (R</t>
  </si>
  <si>
    <t>WALKER</t>
  </si>
  <si>
    <t xml:space="preserve">	20191218</t>
  </si>
  <si>
    <t>20191218 15:20:17</t>
  </si>
  <si>
    <t>PRIME OPERATING COMPANY</t>
  </si>
  <si>
    <t xml:space="preserve">	0000014583</t>
  </si>
  <si>
    <t xml:space="preserve">	73481</t>
  </si>
  <si>
    <t>ASPECT ENERGY - BINTLIFF GATHERING - BRAZORIA CO., TX</t>
  </si>
  <si>
    <t xml:space="preserve">	20160805</t>
  </si>
  <si>
    <t>20190717 06:46:56</t>
  </si>
  <si>
    <t>ASPECT ENERGY, LLC</t>
  </si>
  <si>
    <t xml:space="preserve">	867733735</t>
  </si>
  <si>
    <t xml:space="preserve">	73482</t>
  </si>
  <si>
    <t>MAGNUM LP - CHICOLETE CREEK - LAVACA CO., TX (REC)</t>
  </si>
  <si>
    <t xml:space="preserve">	20060412</t>
  </si>
  <si>
    <t xml:space="preserve">	73484</t>
  </si>
  <si>
    <t>SAMSON RESOURCES - CHEROKEE OAK HILL - RUSK CO. TX. (REC)</t>
  </si>
  <si>
    <t xml:space="preserve">	20060524</t>
  </si>
  <si>
    <t xml:space="preserve">	73490</t>
  </si>
  <si>
    <t>DOMINION E&amp;P - BROWN GATHERING-ORANGE CO., TX</t>
  </si>
  <si>
    <t xml:space="preserve">	20060824</t>
  </si>
  <si>
    <t>GULF COAST WORKING PARTNERS, LLC</t>
  </si>
  <si>
    <t xml:space="preserve">	0000030638</t>
  </si>
  <si>
    <t xml:space="preserve">	73491</t>
  </si>
  <si>
    <t>ROVIG MINERAL-LAKE BOEUF FIELD,LAFOURCHE PARISH, LA</t>
  </si>
  <si>
    <t xml:space="preserve">	20050513</t>
  </si>
  <si>
    <t xml:space="preserve">	73502</t>
  </si>
  <si>
    <t>BUFFCO PRODUCTION, INC - OAK HILL COTTON VALLEY</t>
  </si>
  <si>
    <t xml:space="preserve">	20060928</t>
  </si>
  <si>
    <t>BUFFCO PRODUCTION, INC.</t>
  </si>
  <si>
    <t xml:space="preserve">	155895386</t>
  </si>
  <si>
    <t xml:space="preserve">	73503</t>
  </si>
  <si>
    <t>WINDRUSH OPERATOR/HUFF -KLEBERG CO., TX</t>
  </si>
  <si>
    <t xml:space="preserve">	20200113</t>
  </si>
  <si>
    <t>20200113 09:20:21</t>
  </si>
  <si>
    <t>WINDRUSH OPERATING CO., LLC</t>
  </si>
  <si>
    <t xml:space="preserve">	0000029375</t>
  </si>
  <si>
    <t xml:space="preserve">	73504</t>
  </si>
  <si>
    <t>WALTER OIL &amp; GAS-KASMAN GATHERING -  MATAGORDA CO., TX</t>
  </si>
  <si>
    <t xml:space="preserve">	20061027</t>
  </si>
  <si>
    <t xml:space="preserve">	73505</t>
  </si>
  <si>
    <t>DESF-ANGEL CITY GATHERING-GOLIAD CO. TX</t>
  </si>
  <si>
    <t xml:space="preserve">	20061221</t>
  </si>
  <si>
    <t xml:space="preserve">	73507</t>
  </si>
  <si>
    <t>PECO - SKIPPACK DELIVERY - MONTGOMERY, PA.</t>
  </si>
  <si>
    <t xml:space="preserve">	20061031</t>
  </si>
  <si>
    <t xml:space="preserve">	73508</t>
  </si>
  <si>
    <t>ATMOS ENERGY/ROXIE-FAYETTE DELIVERY-FRANKLIN CO., MS</t>
  </si>
  <si>
    <t xml:space="preserve">	20070518</t>
  </si>
  <si>
    <t>DENBURY/ROXIE-FAYETTE DELIVERY-FRANKLIN CO., MS</t>
  </si>
  <si>
    <t xml:space="preserve">	73512</t>
  </si>
  <si>
    <t>CNX GAS CO. LLC - GREEN HILL FIELD - GREENE C0., PA</t>
  </si>
  <si>
    <t xml:space="preserve">	20070522</t>
  </si>
  <si>
    <t>20190717 06:47:32</t>
  </si>
  <si>
    <t>CNX GAS COMPANY LLC</t>
  </si>
  <si>
    <t xml:space="preserve">	088111906</t>
  </si>
  <si>
    <t xml:space="preserve">	73515</t>
  </si>
  <si>
    <t>PALMER PETROLEUM INC.-LUMBER GATHERING - ANGELINA CO., TX</t>
  </si>
  <si>
    <t xml:space="preserve">	20061204</t>
  </si>
  <si>
    <t>PALMER PETROLEUM INC</t>
  </si>
  <si>
    <t xml:space="preserve">	0000018828</t>
  </si>
  <si>
    <t xml:space="preserve">	73517</t>
  </si>
  <si>
    <t>ENCANA O&amp;G INC. - GREEN GATHERING - NACOGDOCHES CO.,TX</t>
  </si>
  <si>
    <t xml:space="preserve">	20061219</t>
  </si>
  <si>
    <t>ETOCO, L.P.</t>
  </si>
  <si>
    <t xml:space="preserve">	0000029136</t>
  </si>
  <si>
    <t xml:space="preserve">	73519</t>
  </si>
  <si>
    <t>FOSSIL RESOURCES-CARDINAL GATHERING-NACOGDOCHES CO., TX</t>
  </si>
  <si>
    <t xml:space="preserve">	20070103</t>
  </si>
  <si>
    <t xml:space="preserve">	73521</t>
  </si>
  <si>
    <t>PALMER PETROLEUM-ANGELINA #2-ANGELINA CO., TX</t>
  </si>
  <si>
    <t xml:space="preserve">	20170216</t>
  </si>
  <si>
    <t>20190717 06:47:01</t>
  </si>
  <si>
    <t xml:space="preserve">	73523</t>
  </si>
  <si>
    <t>ENTERPRISE GATHERING LLC/BETHANY-DESOTO PARISH, LA-RUN 1</t>
  </si>
  <si>
    <t>20190717 06:47:06</t>
  </si>
  <si>
    <t>ENTERPRISE GATHERING LLC</t>
  </si>
  <si>
    <t xml:space="preserve">	0000029341</t>
  </si>
  <si>
    <t xml:space="preserve">	73526</t>
  </si>
  <si>
    <t>PUBLIC SERVICE - BOUND BROOK - HEATER FUEL</t>
  </si>
  <si>
    <t xml:space="preserve">	20060401</t>
  </si>
  <si>
    <t>PSEG ENERGY RESOURCES &amp; TRADE LLC</t>
  </si>
  <si>
    <t xml:space="preserve">	848784257</t>
  </si>
  <si>
    <t xml:space="preserve">	73538</t>
  </si>
  <si>
    <t>ASPECT ENERGY - BINTLIFF #3 BUY BACK-BRAZORIA CO., TX</t>
  </si>
  <si>
    <t>20190717 06:46:57</t>
  </si>
  <si>
    <t xml:space="preserve">	73539</t>
  </si>
  <si>
    <t>NET LP - MONUMENT PIPELINE - HARRIS COUNTY, TX</t>
  </si>
  <si>
    <t xml:space="preserve">	20070419</t>
  </si>
  <si>
    <t xml:space="preserve">	73542</t>
  </si>
  <si>
    <t>BLACKHAWK ENERGY, LLC -  ENTRIKEN INTERCONNECT, PA</t>
  </si>
  <si>
    <t xml:space="preserve">	20070607</t>
  </si>
  <si>
    <t>20200602 08:21:11</t>
  </si>
  <si>
    <t>BLACKHAWK ENERGY LLC</t>
  </si>
  <si>
    <t xml:space="preserve">	0000030958</t>
  </si>
  <si>
    <t xml:space="preserve">	73543</t>
  </si>
  <si>
    <t>ALLIANCE PETROLEUM CORP - EAST WHEATFIELD INTERCONNECT - CA</t>
  </si>
  <si>
    <t xml:space="preserve">	20070808</t>
  </si>
  <si>
    <t>20190717 06:47:39</t>
  </si>
  <si>
    <t xml:space="preserve">	73546</t>
  </si>
  <si>
    <t>SHERIDAN HOLDING COMPANY III,LLC-SHELBY GATHERING-SHELBY CO</t>
  </si>
  <si>
    <t xml:space="preserve">	20070514</t>
  </si>
  <si>
    <t>20200804 17:23:06</t>
  </si>
  <si>
    <t>SHERIDAN PRODUCTION LLC</t>
  </si>
  <si>
    <t xml:space="preserve">	800210283</t>
  </si>
  <si>
    <t xml:space="preserve">	73549</t>
  </si>
  <si>
    <t>NOBLE ENERGY-OLIVER CREEK-SHELBY CO., TX</t>
  </si>
  <si>
    <t xml:space="preserve">	20070913</t>
  </si>
  <si>
    <t xml:space="preserve">	73556</t>
  </si>
  <si>
    <t>GOLDEN PASS PIPELINE - CALCASIEU PARISH,  LA</t>
  </si>
  <si>
    <t xml:space="preserve">	20101220</t>
  </si>
  <si>
    <t>20200706 16:35:26</t>
  </si>
  <si>
    <t>GOLDEN PASS PIPELINE LLC</t>
  </si>
  <si>
    <t xml:space="preserve">	809259778</t>
  </si>
  <si>
    <t>C001447</t>
  </si>
  <si>
    <t xml:space="preserve">	805462</t>
  </si>
  <si>
    <t>TEXAS EASTERN</t>
  </si>
  <si>
    <t xml:space="preserve">	73560</t>
  </si>
  <si>
    <t>GULF SOUTH HINDS/RAYMOND</t>
  </si>
  <si>
    <t xml:space="preserve">	20080122</t>
  </si>
  <si>
    <t xml:space="preserve">	22113</t>
  </si>
  <si>
    <t>SOUTH RAYMOND - EXPANSION (TO TET)</t>
  </si>
  <si>
    <t xml:space="preserve">	73561</t>
  </si>
  <si>
    <t>COMPRESSED ENERGY SYSTEMS LLC  - SALINE CO., IL</t>
  </si>
  <si>
    <t xml:space="preserve">	20070420</t>
  </si>
  <si>
    <t>20200331 16:28:22</t>
  </si>
  <si>
    <t>COMPRESSED ENERGY SYSTEMS, LLC</t>
  </si>
  <si>
    <t xml:space="preserve">	0000028673</t>
  </si>
  <si>
    <t xml:space="preserve">	73564</t>
  </si>
  <si>
    <t>TANOS EXPLORATION II,LLC/PARMER GATHERING</t>
  </si>
  <si>
    <t xml:space="preserve">	20070620</t>
  </si>
  <si>
    <t xml:space="preserve">	73568</t>
  </si>
  <si>
    <t>KINDER MORGAN LNG</t>
  </si>
  <si>
    <t>EVANGELINE</t>
  </si>
  <si>
    <t>LNG</t>
  </si>
  <si>
    <t xml:space="preserve">	20090703</t>
  </si>
  <si>
    <t>KINDER MORGAN LOUISIANA PIPELINE LLC</t>
  </si>
  <si>
    <t xml:space="preserve">	0000029083</t>
  </si>
  <si>
    <t>C000231</t>
  </si>
  <si>
    <t xml:space="preserve">	44396</t>
  </si>
  <si>
    <t>TET/KMLP  EVANGELINE</t>
  </si>
  <si>
    <t xml:space="preserve">	73569</t>
  </si>
  <si>
    <t>MIDCONTINENT EXPRESS</t>
  </si>
  <si>
    <t xml:space="preserve">	20090814</t>
  </si>
  <si>
    <t>MIDCONTINENT EXPRESS PIPELINE LLC</t>
  </si>
  <si>
    <t xml:space="preserve">	808150895</t>
  </si>
  <si>
    <t>C000235</t>
  </si>
  <si>
    <t xml:space="preserve">	44448</t>
  </si>
  <si>
    <t>TET/MEP  HINDS</t>
  </si>
  <si>
    <t xml:space="preserve">	73570</t>
  </si>
  <si>
    <t>MILLENNIUM/SOUTHLAND</t>
  </si>
  <si>
    <t xml:space="preserve">	20180822</t>
  </si>
  <si>
    <t>REGENCY DESOTO-HESCO SERVICES LLC</t>
  </si>
  <si>
    <t xml:space="preserve">	968410246</t>
  </si>
  <si>
    <t xml:space="preserve">	73571</t>
  </si>
  <si>
    <t xml:space="preserve">	73573</t>
  </si>
  <si>
    <t>GIBRALTER ENERGY COMPANY/BLACK WARRIOR</t>
  </si>
  <si>
    <t xml:space="preserve">	20080529</t>
  </si>
  <si>
    <t xml:space="preserve">	73575</t>
  </si>
  <si>
    <t>DCP/SARITA GATHERING-KENEDY CO., TX</t>
  </si>
  <si>
    <t>20190717 06:46:50</t>
  </si>
  <si>
    <t xml:space="preserve">	73576</t>
  </si>
  <si>
    <t>TEXAS GAS- KOSCIUSKO, MS</t>
  </si>
  <si>
    <t xml:space="preserve">	20090319</t>
  </si>
  <si>
    <t xml:space="preserve">	9560</t>
  </si>
  <si>
    <t>TETCO - KOSCICUSKO</t>
  </si>
  <si>
    <t xml:space="preserve">	73577</t>
  </si>
  <si>
    <t>TEXAS GAS/FAYETVILLE, AR.</t>
  </si>
  <si>
    <t xml:space="preserve">	20081223</t>
  </si>
  <si>
    <t>20200316 15:00:36</t>
  </si>
  <si>
    <t xml:space="preserve">	9533</t>
  </si>
  <si>
    <t>TETCO - BALD KNOB</t>
  </si>
  <si>
    <t xml:space="preserve">	73580</t>
  </si>
  <si>
    <t>REX CLARINGTON, MONROE CO., OH</t>
  </si>
  <si>
    <t xml:space="preserve">	20091101</t>
  </si>
  <si>
    <t>20190801 09:20:34</t>
  </si>
  <si>
    <t>ROCKIES EXPRESS PIPELINE LLC</t>
  </si>
  <si>
    <t xml:space="preserve">	784256161</t>
  </si>
  <si>
    <t>C000594</t>
  </si>
  <si>
    <t xml:space="preserve">	44425</t>
  </si>
  <si>
    <t>TET/REX CLAR MONROE</t>
  </si>
  <si>
    <t xml:space="preserve">	73581</t>
  </si>
  <si>
    <t>REX LEBANON (REC), WARREN CO., OH</t>
  </si>
  <si>
    <t xml:space="preserve">	20090629</t>
  </si>
  <si>
    <t xml:space="preserve">	44419</t>
  </si>
  <si>
    <t>TET/REX LEB WARREN</t>
  </si>
  <si>
    <t xml:space="preserve">	73582</t>
  </si>
  <si>
    <t>SAMSON LONESTAR - HERRERA #3, NACOGDOCHES CO., TX</t>
  </si>
  <si>
    <t xml:space="preserve">	20080714</t>
  </si>
  <si>
    <t xml:space="preserve">	73590</t>
  </si>
  <si>
    <t>NRG - CEDAR BAYOU</t>
  </si>
  <si>
    <t>CHAMBERS</t>
  </si>
  <si>
    <t xml:space="preserve">	20080502</t>
  </si>
  <si>
    <t xml:space="preserve">	73594</t>
  </si>
  <si>
    <t>ENERGY XXI - MP 107</t>
  </si>
  <si>
    <t>M21K, LLC</t>
  </si>
  <si>
    <t xml:space="preserve">	078535557</t>
  </si>
  <si>
    <t xml:space="preserve">	73597</t>
  </si>
  <si>
    <t>FOSSIL RESOURCES/CARDINAL II GATHERING-NACOGDOCHES CO., TX</t>
  </si>
  <si>
    <t xml:space="preserve">	20081021</t>
  </si>
  <si>
    <t xml:space="preserve">	73600</t>
  </si>
  <si>
    <t>FORTUNE RESOURCES LLC/TARANTULA GATHERING</t>
  </si>
  <si>
    <t xml:space="preserve">	20080806</t>
  </si>
  <si>
    <t>FORTUNE RESOURCES LLC</t>
  </si>
  <si>
    <t xml:space="preserve">	610874526</t>
  </si>
  <si>
    <t xml:space="preserve">	73601</t>
  </si>
  <si>
    <t>TARGA LOUISIANA FIELD SERVICES, LLC-CALCASIEU, LA</t>
  </si>
  <si>
    <t xml:space="preserve">	20090501</t>
  </si>
  <si>
    <t>TARGA MIDSTREAM SERVICES LLC</t>
  </si>
  <si>
    <t xml:space="preserve">	801475463</t>
  </si>
  <si>
    <t xml:space="preserve">	73603</t>
  </si>
  <si>
    <t>NFR ENERGY/GATLIN GATHERING, HARRISON CO. TX</t>
  </si>
  <si>
    <t>20190930 08:20:35</t>
  </si>
  <si>
    <t xml:space="preserve">	73604</t>
  </si>
  <si>
    <t>FLINT INTERESTS, LLC/WRIGHT MATERIALS-GOLIAD CO., TX</t>
  </si>
  <si>
    <t xml:space="preserve">	20081114</t>
  </si>
  <si>
    <t>FLINT INTERESTS, LLC</t>
  </si>
  <si>
    <t xml:space="preserve">	0000030878</t>
  </si>
  <si>
    <t xml:space="preserve">	73608</t>
  </si>
  <si>
    <t>TGG PIPELINE - CENTRAL DELIVERY POINT</t>
  </si>
  <si>
    <t>SAN AUGUSTINE</t>
  </si>
  <si>
    <t xml:space="preserve">	20090529</t>
  </si>
  <si>
    <t>TGG PIPELINE, LTD</t>
  </si>
  <si>
    <t xml:space="preserve">	0000029305</t>
  </si>
  <si>
    <t xml:space="preserve">	73609</t>
  </si>
  <si>
    <t>WILLIAMS - LMM DAVIS (VALLEY VIEW RD INTERCONNECT)  GREENE</t>
  </si>
  <si>
    <t xml:space="preserve">	20081031</t>
  </si>
  <si>
    <t xml:space="preserve">	73610</t>
  </si>
  <si>
    <t>CNX GAS CO. LLC - MCQUAY, LOCUST HILL I, GREENE CO., PA</t>
  </si>
  <si>
    <t xml:space="preserve">	20090403</t>
  </si>
  <si>
    <t xml:space="preserve">	73612</t>
  </si>
  <si>
    <t>BUFFCO PROD./JO ALLISON #1-HARRISON CO., TX</t>
  </si>
  <si>
    <t xml:space="preserve">	20081119</t>
  </si>
  <si>
    <t xml:space="preserve">	73613</t>
  </si>
  <si>
    <t>BUFFCO PROD./SOUTHERN EGG RANCH-SHELBY CO., TX</t>
  </si>
  <si>
    <t xml:space="preserve">	20081029</t>
  </si>
  <si>
    <t xml:space="preserve">	73617</t>
  </si>
  <si>
    <t>KINDER MORGAN TEJAS- NUECES BAY</t>
  </si>
  <si>
    <t xml:space="preserve">	20091014</t>
  </si>
  <si>
    <t xml:space="preserve">	32-5001-24</t>
  </si>
  <si>
    <t>SOUTHCROSS TO TOPAZ NUECES</t>
  </si>
  <si>
    <t xml:space="preserve">	73618</t>
  </si>
  <si>
    <t>KINDER MORGAN TEJAS- BARNEY DAVIS</t>
  </si>
  <si>
    <t xml:space="preserve">	20100301</t>
  </si>
  <si>
    <t xml:space="preserve">	32-5021-24/32-5026-24/32-5027-24/32-5028-24</t>
  </si>
  <si>
    <t>SOUTHCROSS TO TOPAZ BARNEY/TOPAZ POWER TO #1 BARNEY/TOPAZ POWER TO #2 BARNEY/TOPAZ POWER TO #3 BARNEY</t>
  </si>
  <si>
    <t xml:space="preserve">	73620</t>
  </si>
  <si>
    <t>WILLIAMS - LMM CLARK RD.,  PA.</t>
  </si>
  <si>
    <t xml:space="preserve">	20100505</t>
  </si>
  <si>
    <t xml:space="preserve">	73621</t>
  </si>
  <si>
    <t>WILLIAMS MID-PENN MIDSTREAM- CLYDE- HORSE THIEF RD., INDIAN</t>
  </si>
  <si>
    <t>INDIANA</t>
  </si>
  <si>
    <t xml:space="preserve">	20100802</t>
  </si>
  <si>
    <t xml:space="preserve">	73626</t>
  </si>
  <si>
    <t>DAVIS SOUTHERN/BINTLIFF #1</t>
  </si>
  <si>
    <t>20190930 10:20:30</t>
  </si>
  <si>
    <t>DAVIS SOUTHERN OPERATING COMPANY</t>
  </si>
  <si>
    <t xml:space="preserve">	0000029028</t>
  </si>
  <si>
    <t xml:space="preserve">	73628</t>
  </si>
  <si>
    <t>ACADIAN/FALSE RIVER - BATON ROUGE, LA</t>
  </si>
  <si>
    <t xml:space="preserve">	20100407</t>
  </si>
  <si>
    <t xml:space="preserve">	A3238</t>
  </si>
  <si>
    <t>TE - FALLS RIVER</t>
  </si>
  <si>
    <t xml:space="preserve">	73632</t>
  </si>
  <si>
    <t>EAST CAMERON</t>
  </si>
  <si>
    <t xml:space="preserve">	73633</t>
  </si>
  <si>
    <t>SAWTOOTH OIL AND GAS/BIGGS GATHERING RECEIPT</t>
  </si>
  <si>
    <t xml:space="preserve">	20090402</t>
  </si>
  <si>
    <t>SAWTOOTH OPERATING COMPANY, INC.</t>
  </si>
  <si>
    <t xml:space="preserve">	0000030895</t>
  </si>
  <si>
    <t xml:space="preserve">	73636</t>
  </si>
  <si>
    <t>SANCHEZ OIL AND GAS/PATMAN GATHERING, JACKSON CO., TX</t>
  </si>
  <si>
    <t>SANCHEZ OIL AND GAS CORP.</t>
  </si>
  <si>
    <t xml:space="preserve">	0000025624</t>
  </si>
  <si>
    <t xml:space="preserve">	73639</t>
  </si>
  <si>
    <t>SOUTHWESTERN ENERGY/JEBEL GATHERING</t>
  </si>
  <si>
    <t xml:space="preserve">	20090521</t>
  </si>
  <si>
    <t>LIME ROCK RESOURCES III-A, L.P.</t>
  </si>
  <si>
    <t xml:space="preserve">	0000030355</t>
  </si>
  <si>
    <t xml:space="preserve">	73640</t>
  </si>
  <si>
    <t>XTO ENERGY/BARFIELD WARD GATHERING</t>
  </si>
  <si>
    <t xml:space="preserve">	20090626</t>
  </si>
  <si>
    <t xml:space="preserve">	73641</t>
  </si>
  <si>
    <t>NOBLE ENERGY-HARRIS YATES-SHELBY CO., TX</t>
  </si>
  <si>
    <t xml:space="preserve">	20090903</t>
  </si>
  <si>
    <t xml:space="preserve">	73642</t>
  </si>
  <si>
    <t>ENI MC 365 BUY BACK METER</t>
  </si>
  <si>
    <t xml:space="preserve">	20150312</t>
  </si>
  <si>
    <t>20200331 15:54:16</t>
  </si>
  <si>
    <t xml:space="preserve">	73646</t>
  </si>
  <si>
    <t>ARENA OFFSHORE, LP -EC 328</t>
  </si>
  <si>
    <t>20190816 09:20:24</t>
  </si>
  <si>
    <t>ARENA OFFSHORE, LP</t>
  </si>
  <si>
    <t xml:space="preserve">	131086030</t>
  </si>
  <si>
    <t xml:space="preserve">	73649</t>
  </si>
  <si>
    <t>ACCESS MIDSTREAM/CARZENAVA GATHERING</t>
  </si>
  <si>
    <t xml:space="preserve">	20091008</t>
  </si>
  <si>
    <t>ACCESS MIDSTREAM OPERATING, L.L.C.</t>
  </si>
  <si>
    <t xml:space="preserve">	0000030199</t>
  </si>
  <si>
    <t xml:space="preserve">	73650</t>
  </si>
  <si>
    <t>XTO ENERGY - MILL RUN / STEWARTON RAOD, FAYETTE, PA.</t>
  </si>
  <si>
    <t xml:space="preserve">	20120417</t>
  </si>
  <si>
    <t xml:space="preserve">	73651</t>
  </si>
  <si>
    <t>SAMSON MENHORNE, SOMERSET CO., PA</t>
  </si>
  <si>
    <t xml:space="preserve">	20091208</t>
  </si>
  <si>
    <t>ONSHORE ROYALTIES, LLC</t>
  </si>
  <si>
    <t xml:space="preserve">	0000030428</t>
  </si>
  <si>
    <t xml:space="preserve">	73652</t>
  </si>
  <si>
    <t>SHERIDAN HOLDING COMPANY III,LLC-WARR GATHERING</t>
  </si>
  <si>
    <t xml:space="preserve">	20100215</t>
  </si>
  <si>
    <t>20200804 17:23:35</t>
  </si>
  <si>
    <t xml:space="preserve">	73653</t>
  </si>
  <si>
    <t>TEPPCO/BEAUMONT VAPOR RECOVERY</t>
  </si>
  <si>
    <t>JEFFERSON</t>
  </si>
  <si>
    <t xml:space="preserve">	20100525</t>
  </si>
  <si>
    <t>ENTERPRISE PRODUCTS OPERATING LLC</t>
  </si>
  <si>
    <t xml:space="preserve">	841528859</t>
  </si>
  <si>
    <t xml:space="preserve">	73654</t>
  </si>
  <si>
    <t>FIELDWOOD ENERGY - CA 43</t>
  </si>
  <si>
    <t>CHANDELEUR SOUND</t>
  </si>
  <si>
    <t xml:space="preserve">	20100619</t>
  </si>
  <si>
    <t>20190731 09:35:19</t>
  </si>
  <si>
    <t xml:space="preserve">	73656</t>
  </si>
  <si>
    <t>WILLIAMS OHIO VALLEY MIDSTREAM LLC.-GOSNEY HILL ROAD, MARSH</t>
  </si>
  <si>
    <t xml:space="preserve">	20100302</t>
  </si>
  <si>
    <t>20200124 15:20:32</t>
  </si>
  <si>
    <t>WILLIAMS OHIO VALLEY MIDSTREAM LLC</t>
  </si>
  <si>
    <t xml:space="preserve">	078470696</t>
  </si>
  <si>
    <t xml:space="preserve">	73659</t>
  </si>
  <si>
    <t>ANADARKO-MARSH CREEK TRAIL - CENTRE, PA</t>
  </si>
  <si>
    <t xml:space="preserve">	20100521</t>
  </si>
  <si>
    <t>ALTA MARCELLUS MIDSTREAM, LLC</t>
  </si>
  <si>
    <t xml:space="preserve">	080649111</t>
  </si>
  <si>
    <t xml:space="preserve">	73664</t>
  </si>
  <si>
    <t>SAMSON CHARLTON/HILLEGASS, SOMERSET CO., PA</t>
  </si>
  <si>
    <t xml:space="preserve">	20100403</t>
  </si>
  <si>
    <t xml:space="preserve">	73667</t>
  </si>
  <si>
    <t>HOT SPRING POWER PLANT, HOT SPRING CO, AR</t>
  </si>
  <si>
    <t>HOT SPRING</t>
  </si>
  <si>
    <t xml:space="preserve">	20110616</t>
  </si>
  <si>
    <t>20190717 06:47:13</t>
  </si>
  <si>
    <t>ENTERGY ARKANSAS, LLC</t>
  </si>
  <si>
    <t xml:space="preserve">	006903298</t>
  </si>
  <si>
    <t xml:space="preserve">	73669</t>
  </si>
  <si>
    <t>TEXANA OPERATING/MASSEY FERGUSON GATHERING, SAN JACINTO CO.</t>
  </si>
  <si>
    <t xml:space="preserve">	20111017</t>
  </si>
  <si>
    <t>TEXANA OPERATING COMPANY</t>
  </si>
  <si>
    <t xml:space="preserve">	0000030813</t>
  </si>
  <si>
    <t xml:space="preserve">	73670</t>
  </si>
  <si>
    <t>SHERIDAN HOLDING COMPANY III,LLC/KING WILLIAMS, SHELBY CO.,</t>
  </si>
  <si>
    <t xml:space="preserve">	20100520</t>
  </si>
  <si>
    <t>20200804 17:24:02</t>
  </si>
  <si>
    <t xml:space="preserve">	73671</t>
  </si>
  <si>
    <t>CNX GAS CO. LLC - MCQUAY, LOCUST HILL LL, GREENE CO., PA</t>
  </si>
  <si>
    <t xml:space="preserve">	20110826</t>
  </si>
  <si>
    <t xml:space="preserve">	73672</t>
  </si>
  <si>
    <t>ENERGY TRANSFER/TIGER PIPELINE BIENVILLE, LA</t>
  </si>
  <si>
    <t xml:space="preserve">	20101201</t>
  </si>
  <si>
    <t>ETC TIGER PIPELINE, LLC</t>
  </si>
  <si>
    <t xml:space="preserve">	0000029284</t>
  </si>
  <si>
    <t>C001013</t>
  </si>
  <si>
    <t xml:space="preserve">	78536</t>
  </si>
  <si>
    <t xml:space="preserve">	73673</t>
  </si>
  <si>
    <t>WILLIAMS/SHAMROCK N. SALEM RD, FAYETTE CO., PA.</t>
  </si>
  <si>
    <t xml:space="preserve">	20110317</t>
  </si>
  <si>
    <t xml:space="preserve">	73674</t>
  </si>
  <si>
    <t>TARPON, WC 487, LAO</t>
  </si>
  <si>
    <t>WEST CAMERON</t>
  </si>
  <si>
    <t xml:space="preserve">	20170403</t>
  </si>
  <si>
    <t>TARPON OFFSHORE VENTURES, LP</t>
  </si>
  <si>
    <t xml:space="preserve">	0000028835</t>
  </si>
  <si>
    <t xml:space="preserve">	73677</t>
  </si>
  <si>
    <t>EASTERN SHORE NATURAL GAS HONEYBROOK - LANCASTER COUNTY, PA</t>
  </si>
  <si>
    <t xml:space="preserve">	20101130</t>
  </si>
  <si>
    <t>EASTERN SHORE NATURAL GAS</t>
  </si>
  <si>
    <t xml:space="preserve">	002595932</t>
  </si>
  <si>
    <t>C001275</t>
  </si>
  <si>
    <t xml:space="preserve">	99999</t>
  </si>
  <si>
    <t>EASTERN SHORE - TETCO / 99999</t>
  </si>
  <si>
    <t xml:space="preserve">	73678</t>
  </si>
  <si>
    <t>DOMINION ENERGY TRANSMISSION, INC - CROOKED RUN, WESTMORELA</t>
  </si>
  <si>
    <t xml:space="preserve">	20101029</t>
  </si>
  <si>
    <t>20190717 06:47:38</t>
  </si>
  <si>
    <t xml:space="preserve">	40223</t>
  </si>
  <si>
    <t>TET - CROOKED RUN (DELMONT)</t>
  </si>
  <si>
    <t xml:space="preserve">	73679</t>
  </si>
  <si>
    <t>XTO ENERGY. - ELSIE ADAMS #2 - PA.</t>
  </si>
  <si>
    <t xml:space="preserve">	20100824</t>
  </si>
  <si>
    <t xml:space="preserve">	73684</t>
  </si>
  <si>
    <t>ETX-ENBRIDGE/WELLS LANDING - POLK</t>
  </si>
  <si>
    <t xml:space="preserve">	20110511</t>
  </si>
  <si>
    <t xml:space="preserve">	1022238</t>
  </si>
  <si>
    <t>TECO WELLS LANDING</t>
  </si>
  <si>
    <t xml:space="preserve">	73686</t>
  </si>
  <si>
    <t>ETX-ENBRIDGE/ZIDER - SHELBY</t>
  </si>
  <si>
    <t xml:space="preserve">	20110601</t>
  </si>
  <si>
    <t xml:space="preserve">	1022244</t>
  </si>
  <si>
    <t>SHELBY COUNTY SALES ULTRSONIC</t>
  </si>
  <si>
    <t xml:space="preserve">	73688</t>
  </si>
  <si>
    <t>RICE POSEIDON MIDSTREAM - WAYNESBURG</t>
  </si>
  <si>
    <t xml:space="preserve">	20120106</t>
  </si>
  <si>
    <t>EQM POSEIDON MIDSTREAM LLC</t>
  </si>
  <si>
    <t xml:space="preserve">	0000030841</t>
  </si>
  <si>
    <t xml:space="preserve">	73694</t>
  </si>
  <si>
    <t>SWEENY PLANT-CONOCO PIPELINE</t>
  </si>
  <si>
    <t xml:space="preserve">	20110818</t>
  </si>
  <si>
    <t>20200713 14:33:24</t>
  </si>
  <si>
    <t>CONOCOPHILLIPS COMPANY</t>
  </si>
  <si>
    <t xml:space="preserve">	001368265</t>
  </si>
  <si>
    <t xml:space="preserve">	73696</t>
  </si>
  <si>
    <t>GOMEX VR 282</t>
  </si>
  <si>
    <t>GOMEX ENERGY OFFSHORE, LTD.</t>
  </si>
  <si>
    <t xml:space="preserve">	0000029103</t>
  </si>
  <si>
    <t xml:space="preserve">	73697</t>
  </si>
  <si>
    <t>BACHTELL O&amp;G/KEAHEY GATHERING-MARION CO., TX</t>
  </si>
  <si>
    <t>BACHTELL OIL &amp; GAS, LTD.</t>
  </si>
  <si>
    <t xml:space="preserve">	0000029457</t>
  </si>
  <si>
    <t xml:space="preserve">	73698</t>
  </si>
  <si>
    <t>ACADIAN GAS-HAYNESVILLE EXTENSION P/L, PT.COUPEE PARISH, LA</t>
  </si>
  <si>
    <t xml:space="preserve">	20111114</t>
  </si>
  <si>
    <t xml:space="preserve">	H32409</t>
  </si>
  <si>
    <t xml:space="preserve">	73699</t>
  </si>
  <si>
    <t>DOMINION ENERGY TRANSMISSION, INC - APPALCHIAN GATEWAY, WES</t>
  </si>
  <si>
    <t xml:space="preserve">	20120906</t>
  </si>
  <si>
    <t xml:space="preserve">	40225</t>
  </si>
  <si>
    <t>TET - OAKFORD APP GATEWAYPP</t>
  </si>
  <si>
    <t xml:space="preserve">	73702</t>
  </si>
  <si>
    <t>ARENA OFFSHORE, LP -  EC 328B START-UP GAS</t>
  </si>
  <si>
    <t xml:space="preserve">	73703</t>
  </si>
  <si>
    <t>WILLIAMS-TRANSCO, LOWER CHANCEFORD-YORK CO., PA.</t>
  </si>
  <si>
    <t xml:space="preserve">	20110830</t>
  </si>
  <si>
    <t xml:space="preserve">	9006082</t>
  </si>
  <si>
    <t>LOWER CHANCEFD M3627</t>
  </si>
  <si>
    <t xml:space="preserve">	73704</t>
  </si>
  <si>
    <t>WILLIAMS CANTARAL - RT 18, GREENE CO., PA.</t>
  </si>
  <si>
    <t xml:space="preserve">	20120705</t>
  </si>
  <si>
    <t xml:space="preserve">	73705</t>
  </si>
  <si>
    <t>EQT - /MORRIS II, GREENE CO., PA.</t>
  </si>
  <si>
    <t xml:space="preserve">	20111212</t>
  </si>
  <si>
    <t>MORRIS 2</t>
  </si>
  <si>
    <t xml:space="preserve">	73706</t>
  </si>
  <si>
    <t>EQT- BRADEN RUN, GREENE CO., PA.</t>
  </si>
  <si>
    <t xml:space="preserve">	20120406</t>
  </si>
  <si>
    <t>20190802 15:20:36</t>
  </si>
  <si>
    <t xml:space="preserve">	18120</t>
  </si>
  <si>
    <t>BRADEN RUN</t>
  </si>
  <si>
    <t xml:space="preserve">	73710</t>
  </si>
  <si>
    <t>VENTEX OPERATING, LINCOLN CO., MS</t>
  </si>
  <si>
    <t xml:space="preserve">	20120110</t>
  </si>
  <si>
    <t>VENTEX OPERATING CORP.</t>
  </si>
  <si>
    <t xml:space="preserve">	0000029710</t>
  </si>
  <si>
    <t xml:space="preserve">	73711</t>
  </si>
  <si>
    <t>NTE MIDDLETOWN ENERGY CENTER, BUTLER CO, OH</t>
  </si>
  <si>
    <t xml:space="preserve">	20180328</t>
  </si>
  <si>
    <t>20200424 10:20:27</t>
  </si>
  <si>
    <t>NTE OHIO, LLC</t>
  </si>
  <si>
    <t xml:space="preserve">	0000030649</t>
  </si>
  <si>
    <t xml:space="preserve">	73712</t>
  </si>
  <si>
    <t>ENERGY CORPORATION OF AMERICA-RIDGE RD., GREENE CO., PA.</t>
  </si>
  <si>
    <t xml:space="preserve">	20120628</t>
  </si>
  <si>
    <t xml:space="preserve">	EB345</t>
  </si>
  <si>
    <t>RIDGE ROAD</t>
  </si>
  <si>
    <t xml:space="preserve">	73713</t>
  </si>
  <si>
    <t>EQT - JEFFERSON, GREENE CO., PA.</t>
  </si>
  <si>
    <t xml:space="preserve">	20120723</t>
  </si>
  <si>
    <t xml:space="preserve">	73714</t>
  </si>
  <si>
    <t>DTE APPALACHIA GATHERING  HIGH NOON</t>
  </si>
  <si>
    <t xml:space="preserve">	20130415</t>
  </si>
  <si>
    <t>DTE APPALACHIA GATHERING, LLC</t>
  </si>
  <si>
    <t xml:space="preserve">	813886447</t>
  </si>
  <si>
    <t xml:space="preserve">	73715</t>
  </si>
  <si>
    <t>LANCASTER MUNICIPAL GAS COMPANY, FAIRFIELD CO., OH</t>
  </si>
  <si>
    <t xml:space="preserve">	20161128</t>
  </si>
  <si>
    <t>20200521 08:23:07</t>
  </si>
  <si>
    <t>LANCASTER MUNICIPAL GAS</t>
  </si>
  <si>
    <t xml:space="preserve">	0000030542</t>
  </si>
  <si>
    <t xml:space="preserve">	73716</t>
  </si>
  <si>
    <t>CAIMAN ENERGY - KINGWOOD ROAD, SOMERSET CO., PA.</t>
  </si>
  <si>
    <t xml:space="preserve">	20121017</t>
  </si>
  <si>
    <t>20200804 17:21:11</t>
  </si>
  <si>
    <t>CAIMAN PENN MIDSTREAM, LLC</t>
  </si>
  <si>
    <t xml:space="preserve">	0000030097</t>
  </si>
  <si>
    <t xml:space="preserve">	73717</t>
  </si>
  <si>
    <t>ESENJAY PETROLEUM/HOBLIT UNIT #1-RUN 1</t>
  </si>
  <si>
    <t xml:space="preserve">	20160721</t>
  </si>
  <si>
    <t>ESENJAY</t>
  </si>
  <si>
    <t xml:space="preserve">	092906734</t>
  </si>
  <si>
    <t xml:space="preserve">	73718</t>
  </si>
  <si>
    <t>COLUMBIA-MARIETTA, LANCASTER CO., PA</t>
  </si>
  <si>
    <t xml:space="preserve">	20121106</t>
  </si>
  <si>
    <t xml:space="preserve">	C45</t>
  </si>
  <si>
    <t>MARIETTA</t>
  </si>
  <si>
    <t xml:space="preserve">	73719</t>
  </si>
  <si>
    <t>T2 GAS UTILITY LLC/REFUGIO INTERCONNECT</t>
  </si>
  <si>
    <t>REFUGIO</t>
  </si>
  <si>
    <t xml:space="preserve">	20121222</t>
  </si>
  <si>
    <t>T2 GAS UTILITY LLC</t>
  </si>
  <si>
    <t xml:space="preserve">	0000029869</t>
  </si>
  <si>
    <t xml:space="preserve">	73721</t>
  </si>
  <si>
    <t>PSEG-BAYONNE, HUDSON CO., NJ</t>
  </si>
  <si>
    <t>HUDSON</t>
  </si>
  <si>
    <t xml:space="preserve">	20180220</t>
  </si>
  <si>
    <t xml:space="preserve">	73722</t>
  </si>
  <si>
    <t>CONED-MANHATTAN DELIVERY</t>
  </si>
  <si>
    <t xml:space="preserve">	20131031</t>
  </si>
  <si>
    <t xml:space="preserve">	73727</t>
  </si>
  <si>
    <t>COLUMBIA MIDSTREAM BIG PINE  WESTMORELAND CO.,  PA</t>
  </si>
  <si>
    <t xml:space="preserve">	20130708</t>
  </si>
  <si>
    <t>20200228 13:41:08</t>
  </si>
  <si>
    <t>UGI APPALACHIA, LLC</t>
  </si>
  <si>
    <t xml:space="preserve">	079907681</t>
  </si>
  <si>
    <t xml:space="preserve">	73728</t>
  </si>
  <si>
    <t>EQT/MORRIS III, GREENE CO., PA</t>
  </si>
  <si>
    <t xml:space="preserve">	20130501</t>
  </si>
  <si>
    <t>MORRIS III</t>
  </si>
  <si>
    <t xml:space="preserve">	73729</t>
  </si>
  <si>
    <t>CENTERPOINT ENERGY - GRANITE MOUNTAIN QUARRY, PULASKI CO.,</t>
  </si>
  <si>
    <t xml:space="preserve">	20130626</t>
  </si>
  <si>
    <t xml:space="preserve">	73730</t>
  </si>
  <si>
    <t>TGP - WHEELERSBURG INTERCONNECT</t>
  </si>
  <si>
    <t xml:space="preserve">	20121215</t>
  </si>
  <si>
    <t xml:space="preserve">	412874</t>
  </si>
  <si>
    <t>TET/TGP WHEELERSBURG: RIP 201 101.1</t>
  </si>
  <si>
    <t xml:space="preserve">	73731</t>
  </si>
  <si>
    <t>CAIMAN ENERGY-RITCHIE RD/BURKETT HOLLOW, BLAIR CO., PA</t>
  </si>
  <si>
    <t xml:space="preserve">	20121221</t>
  </si>
  <si>
    <t>20200804 17:22:08</t>
  </si>
  <si>
    <t>LPR OPERATING, LLC</t>
  </si>
  <si>
    <t xml:space="preserve">	0000030339</t>
  </si>
  <si>
    <t xml:space="preserve">	73732</t>
  </si>
  <si>
    <t>BLUE RACER MIDSTREAM-BERNE, MONROE CO.,OH</t>
  </si>
  <si>
    <t xml:space="preserve">	20150121</t>
  </si>
  <si>
    <t>BLUE RACER MIDSTREAM, LLC</t>
  </si>
  <si>
    <t xml:space="preserve">	0000030254</t>
  </si>
  <si>
    <t xml:space="preserve">	73733</t>
  </si>
  <si>
    <t>CNX - MCQUAY III - CONE GATHERING, GREENE CO., PA.</t>
  </si>
  <si>
    <t xml:space="preserve">	20131108</t>
  </si>
  <si>
    <t xml:space="preserve">	73734</t>
  </si>
  <si>
    <t>MARK WEST - MAJORSVILLE, MARSHALL CO., WVA</t>
  </si>
  <si>
    <t xml:space="preserve">	20130724</t>
  </si>
  <si>
    <t>20200116 09:20:34</t>
  </si>
  <si>
    <t>MARKWEST LIBERTY MIDSTREAM &amp; RESOURCES, L.L.C.</t>
  </si>
  <si>
    <t xml:space="preserve">	0000029512</t>
  </si>
  <si>
    <t xml:space="preserve">	73735</t>
  </si>
  <si>
    <t>BONANZA - STRIKE FORCE MIDSTREAM</t>
  </si>
  <si>
    <t xml:space="preserve">	20131203</t>
  </si>
  <si>
    <t>STRIKE FORCE SOUTH LLC</t>
  </si>
  <si>
    <t xml:space="preserve">	0000030468</t>
  </si>
  <si>
    <t xml:space="preserve">	73736</t>
  </si>
  <si>
    <t>WILLIAMS OVM / OAK GROVE, CLAY WVA</t>
  </si>
  <si>
    <t xml:space="preserve">	20141204</t>
  </si>
  <si>
    <t>20190910 07:16:36</t>
  </si>
  <si>
    <t xml:space="preserve">	73807</t>
  </si>
  <si>
    <t>NORTHSTAR OFFSHORE- SP 86-B BUYBACK @ SP 89</t>
  </si>
  <si>
    <t>20190723 15:41:50</t>
  </si>
  <si>
    <t xml:space="preserve">	73808</t>
  </si>
  <si>
    <t>DOMINION ENERGY TRANSMISSION, INC - CRAYNE II, RT 188 GREEN</t>
  </si>
  <si>
    <t xml:space="preserve">	20131107</t>
  </si>
  <si>
    <t xml:space="preserve">	40226</t>
  </si>
  <si>
    <t>TET - CRAYNE II</t>
  </si>
  <si>
    <t xml:space="preserve">	73809</t>
  </si>
  <si>
    <t>MONROE PIPELINE, REEDS ROAD, MONROE CO, OH</t>
  </si>
  <si>
    <t xml:space="preserve">	20131219</t>
  </si>
  <si>
    <t>20200316 14:41:28</t>
  </si>
  <si>
    <t>MONROE PIPELINE LLC</t>
  </si>
  <si>
    <t xml:space="preserve">	0000030127</t>
  </si>
  <si>
    <t xml:space="preserve">	73810</t>
  </si>
  <si>
    <t>AMP UP GOLIAD, LLC/GOEHRING GATHERING-FM 584-GOLIAD CO., TX</t>
  </si>
  <si>
    <t xml:space="preserve">	20140213</t>
  </si>
  <si>
    <t>AMP UP GOLIAD, LLC</t>
  </si>
  <si>
    <t xml:space="preserve">	0000030855</t>
  </si>
  <si>
    <t xml:space="preserve">	73811</t>
  </si>
  <si>
    <t>ENTERPRISE PRODUCTS/WALLACE JUNCTION</t>
  </si>
  <si>
    <t xml:space="preserve">	20140802</t>
  </si>
  <si>
    <t xml:space="preserve">	863354</t>
  </si>
  <si>
    <t>TETCO WALLACE JUNCTION</t>
  </si>
  <si>
    <t xml:space="preserve">	73812</t>
  </si>
  <si>
    <t>MARKWEST UTICA SENECA  MONROE CO., OH</t>
  </si>
  <si>
    <t xml:space="preserve">	20131028</t>
  </si>
  <si>
    <t>MARKWEST UTICA EMG, L.L.C.</t>
  </si>
  <si>
    <t xml:space="preserve">	0000030079</t>
  </si>
  <si>
    <t xml:space="preserve">	73813</t>
  </si>
  <si>
    <t>RICE POSEIDON MIDSTREAM - MCNAY RIDGE ROAD - GREENE CO., PA</t>
  </si>
  <si>
    <t xml:space="preserve">	20141002</t>
  </si>
  <si>
    <t>20190730 14:13:27</t>
  </si>
  <si>
    <t xml:space="preserve">	73814</t>
  </si>
  <si>
    <t>GRAYMONT - PLEASANT GAP / WEAVER HILL ROAD, CENTRE CO., PA</t>
  </si>
  <si>
    <t xml:space="preserve">	20140716</t>
  </si>
  <si>
    <t>20200521 12:33:16</t>
  </si>
  <si>
    <t>GRAYMONT (PA), INC.</t>
  </si>
  <si>
    <t xml:space="preserve">	0000030222</t>
  </si>
  <si>
    <t xml:space="preserve">	73815</t>
  </si>
  <si>
    <t>RICE POSEIDON MIDSTREAM / ROGERSVILLE - BARTON HOLLOW ROAD,</t>
  </si>
  <si>
    <t xml:space="preserve">	20141107</t>
  </si>
  <si>
    <t xml:space="preserve">	73816</t>
  </si>
  <si>
    <t>REGENCY-BIG RUN /TWP. ROAD 964, MONROE CO.OH</t>
  </si>
  <si>
    <t xml:space="preserve">	20151007</t>
  </si>
  <si>
    <t>OHIO RIVER SYSTEM LLC</t>
  </si>
  <si>
    <t xml:space="preserve">	0000030412</t>
  </si>
  <si>
    <t xml:space="preserve">	73817</t>
  </si>
  <si>
    <t>KMK OIL &amp; GAS/BENTON #1</t>
  </si>
  <si>
    <t xml:space="preserve">	20140403</t>
  </si>
  <si>
    <t>KMK OIL AND GAS INC.</t>
  </si>
  <si>
    <t xml:space="preserve">	0000030175</t>
  </si>
  <si>
    <t xml:space="preserve">	73818</t>
  </si>
  <si>
    <t>DEWBRE PETROLEUM/MCGILL HEIRS #1-SANTA ROSE RANCH-KENEDY CO</t>
  </si>
  <si>
    <t xml:space="preserve">	20140303</t>
  </si>
  <si>
    <t xml:space="preserve">	73819</t>
  </si>
  <si>
    <t>TANA EXPLORATION BRETON SOUND BLOCK 25</t>
  </si>
  <si>
    <t xml:space="preserve">	20141120</t>
  </si>
  <si>
    <t>20190807 09:20:22</t>
  </si>
  <si>
    <t xml:space="preserve">	73820</t>
  </si>
  <si>
    <t>NRG ENERGY/BIG CAJUN II POWER PLANT-WOODMEN LANE</t>
  </si>
  <si>
    <t xml:space="preserve">	20150326</t>
  </si>
  <si>
    <t xml:space="preserve">	73867</t>
  </si>
  <si>
    <t>RICE ENERGY-ALPHA/PETTIT ROAD, GREENE CO. PA</t>
  </si>
  <si>
    <t xml:space="preserve">	20150806</t>
  </si>
  <si>
    <t xml:space="preserve">	73868</t>
  </si>
  <si>
    <t>RICE ENERGY-OHIO/BOLTZ RIDGE ROAD, MONROE CO., OH</t>
  </si>
  <si>
    <t xml:space="preserve">	20150505</t>
  </si>
  <si>
    <t>EQM OLYMPUS MIDSTREAM LLC</t>
  </si>
  <si>
    <t xml:space="preserve">	0000030840</t>
  </si>
  <si>
    <t xml:space="preserve">	73869</t>
  </si>
  <si>
    <t>RICE ENERGY-DENEX (TOMBSTONE) AKRON ROAD, GREENE CO., PA</t>
  </si>
  <si>
    <t xml:space="preserve">	20151215</t>
  </si>
  <si>
    <t xml:space="preserve">	73870</t>
  </si>
  <si>
    <t>DOMINION EAST OHIO-SWITZERLAND, MONROE CO., OH</t>
  </si>
  <si>
    <t xml:space="preserve">	20141024</t>
  </si>
  <si>
    <t xml:space="preserve">	73871</t>
  </si>
  <si>
    <t>DOMINION ENERGY TRANSMISSION, INC - TL 558/WV RT. 2, MARSHA</t>
  </si>
  <si>
    <t xml:space="preserve">	20150808</t>
  </si>
  <si>
    <t>20190717 06:47:31</t>
  </si>
  <si>
    <t xml:space="preserve">	40227</t>
  </si>
  <si>
    <t>TET-KAMMER M&amp;R</t>
  </si>
  <si>
    <t xml:space="preserve">	73874</t>
  </si>
  <si>
    <t>EUREKA HUNTER/KREBS RIDGE ROAD, MONROE CO., OH</t>
  </si>
  <si>
    <t xml:space="preserve">	20150211</t>
  </si>
  <si>
    <t>EUREKA MIDSTREAM, LLC</t>
  </si>
  <si>
    <t xml:space="preserve">	0000030489</t>
  </si>
  <si>
    <t xml:space="preserve">	73875</t>
  </si>
  <si>
    <t>MARKWEST-BEALLSVILLE/BOLON RIDGE ROAD, MONROE CO., OH</t>
  </si>
  <si>
    <t xml:space="preserve">	20150529</t>
  </si>
  <si>
    <t>OHIO GATHERING COMPANY, L.L.C.</t>
  </si>
  <si>
    <t xml:space="preserve">	078669698</t>
  </si>
  <si>
    <t xml:space="preserve">	73876</t>
  </si>
  <si>
    <t>ELLIOTT OIL&amp;GAS/STEINDORF #1-FM 799-BEE CO.,TX</t>
  </si>
  <si>
    <t>20191218 12:35:15</t>
  </si>
  <si>
    <t xml:space="preserve">	73877</t>
  </si>
  <si>
    <t>PENNINGTON O&amp;G/JS KEAN ET AL #1 SHELL ROAD-PT COUPEE PARISH</t>
  </si>
  <si>
    <t xml:space="preserve">	20141023</t>
  </si>
  <si>
    <t>PENNINGTON OPERATING COMPANY, LLC</t>
  </si>
  <si>
    <t xml:space="preserve">	0000030272</t>
  </si>
  <si>
    <t xml:space="preserve">	73878</t>
  </si>
  <si>
    <t>GOLIAD MIDSTREAM ENERGY/CITY OF MAGNOLIA,TX-ENDERLI STREET,</t>
  </si>
  <si>
    <t xml:space="preserve">	20170125</t>
  </si>
  <si>
    <t>GOLIAD MIDSTREAM ENERGY LLC</t>
  </si>
  <si>
    <t xml:space="preserve">	010079526</t>
  </si>
  <si>
    <t xml:space="preserve">	73880</t>
  </si>
  <si>
    <t>GREYLOCK PIPELINE, LLC RIDGE ROAD NORTH, GREENE CO., PA</t>
  </si>
  <si>
    <t xml:space="preserve">	20150403</t>
  </si>
  <si>
    <t>20200709 08:53:47</t>
  </si>
  <si>
    <t>VERES TETCO</t>
  </si>
  <si>
    <t xml:space="preserve">	73881</t>
  </si>
  <si>
    <t>TEXAS GAS - LEBANON LATERAL, WARREN  CO., OH</t>
  </si>
  <si>
    <t xml:space="preserve">	20151103</t>
  </si>
  <si>
    <t xml:space="preserve">	9859</t>
  </si>
  <si>
    <t>TEXAS EASTERN - LEB LATERAL</t>
  </si>
  <si>
    <t xml:space="preserve">	73882</t>
  </si>
  <si>
    <t>SEMPRA/CAMERON -GULF MARKET</t>
  </si>
  <si>
    <t xml:space="preserve">	20150611</t>
  </si>
  <si>
    <t>CAMERON INTERSTATE PIPELINE LLC</t>
  </si>
  <si>
    <t xml:space="preserve">	790555689</t>
  </si>
  <si>
    <t>C001157</t>
  </si>
  <si>
    <t xml:space="preserve">	772299</t>
  </si>
  <si>
    <t>TETCO-CIP</t>
  </si>
  <si>
    <t xml:space="preserve">	73883</t>
  </si>
  <si>
    <t>CENTERPOINT ENERGY/IP ORANGE MILL-OWENS ILLINOIS RD-ORANGE</t>
  </si>
  <si>
    <t xml:space="preserve">	20150901</t>
  </si>
  <si>
    <t>CENTERPOINT ENERGY INTRASTATE PIPELINES, LLC.</t>
  </si>
  <si>
    <t xml:space="preserve">	0000030390</t>
  </si>
  <si>
    <t xml:space="preserve">	73887</t>
  </si>
  <si>
    <t>ALEGACY/CNG INDUSTRIAL CAMPUS-BUS US 290-WALLER CO.,TX</t>
  </si>
  <si>
    <t>WALLER</t>
  </si>
  <si>
    <t xml:space="preserve">	20170228</t>
  </si>
  <si>
    <t>ALEGACY GAS, LLC</t>
  </si>
  <si>
    <t xml:space="preserve">	080009783</t>
  </si>
  <si>
    <t xml:space="preserve">	73889</t>
  </si>
  <si>
    <t>UNITED WORLD ENERGY/HAMILTON 24-1-HWY384-CAMERON PAR., LA</t>
  </si>
  <si>
    <t>UNITED WORLD ENERGY CORPORATION</t>
  </si>
  <si>
    <t xml:space="preserve">	0000030395</t>
  </si>
  <si>
    <t xml:space="preserve">	73890</t>
  </si>
  <si>
    <t>LLOX/BILLY D. SMITH #1-CR 49-BRAZORIA CO., TX</t>
  </si>
  <si>
    <t xml:space="preserve">	20170418</t>
  </si>
  <si>
    <t>LLOX, LLC</t>
  </si>
  <si>
    <t xml:space="preserve">	0000030394</t>
  </si>
  <si>
    <t xml:space="preserve">	73892</t>
  </si>
  <si>
    <t>HILCORP ENERGY ST. CHARLES REFUGE GATHERING-BACKGATE ROAD-R</t>
  </si>
  <si>
    <t xml:space="preserve">	20160419</t>
  </si>
  <si>
    <t xml:space="preserve">	73893</t>
  </si>
  <si>
    <t>TALEN - BRUNNER ISLAND/JERUSALEM SCHOOL RD, YORK CO., PA</t>
  </si>
  <si>
    <t xml:space="preserve">	20160926</t>
  </si>
  <si>
    <t>TALEN ENERGY MARKETING, LLC</t>
  </si>
  <si>
    <t xml:space="preserve">	047414524</t>
  </si>
  <si>
    <t xml:space="preserve">	73894</t>
  </si>
  <si>
    <t>DOMINION ENERGY TRANSMISSION, INC - TAYLORS RIDGE ROAD</t>
  </si>
  <si>
    <t xml:space="preserve">	20160426</t>
  </si>
  <si>
    <t xml:space="preserve">	40216</t>
  </si>
  <si>
    <t>MOUNDSVILLE</t>
  </si>
  <si>
    <t xml:space="preserve">	73895</t>
  </si>
  <si>
    <t>DOMINION ENERGY TRANSMISSION, INC - ARMAN HILL (MULLET) / T</t>
  </si>
  <si>
    <t xml:space="preserve">	20161026</t>
  </si>
  <si>
    <t xml:space="preserve">	40229</t>
  </si>
  <si>
    <t>TET - ARMAN HILL (X53127)</t>
  </si>
  <si>
    <t xml:space="preserve">	73896</t>
  </si>
  <si>
    <t>EASTMAN CHEMICAL/TXO-CALLAHAN RD., HARRISON CO., TX</t>
  </si>
  <si>
    <t>20200804 16:59:16</t>
  </si>
  <si>
    <t>EASTMAN CHEMICAL COMPANY</t>
  </si>
  <si>
    <t xml:space="preserve">	867179665</t>
  </si>
  <si>
    <t xml:space="preserve">	73899</t>
  </si>
  <si>
    <t>BAYONNE ENERGY CENTER-NJ ROUTE 440</t>
  </si>
  <si>
    <t>20200713 14:58:49</t>
  </si>
  <si>
    <t>BAYONNE ENERGY CENTER, LLC</t>
  </si>
  <si>
    <t xml:space="preserve">	0000030547</t>
  </si>
  <si>
    <t>C010249</t>
  </si>
  <si>
    <t>BAYONNE METER ENERGY CENTER</t>
  </si>
  <si>
    <t xml:space="preserve">	73900</t>
  </si>
  <si>
    <t>TOWN OF CENTREVILLE, WILKINSON CO., MS</t>
  </si>
  <si>
    <t xml:space="preserve">	20170426</t>
  </si>
  <si>
    <t>AMERICAN MIDSTREAM (MIDLA), LLC</t>
  </si>
  <si>
    <t xml:space="preserve">	0000030599</t>
  </si>
  <si>
    <t>C001024</t>
  </si>
  <si>
    <t xml:space="preserve">	20107</t>
  </si>
  <si>
    <t>CENTREVILLE, MS</t>
  </si>
  <si>
    <t xml:space="preserve">	73901</t>
  </si>
  <si>
    <t>GAS UTILITIES DISTRICT #1 ANGOLA DEL., STATE HWY 10, W.FELI</t>
  </si>
  <si>
    <t xml:space="preserve">	20170719</t>
  </si>
  <si>
    <t>AMERICAN MIDSTREAM PARTNERS, LP</t>
  </si>
  <si>
    <t xml:space="preserve">	0000030161</t>
  </si>
  <si>
    <t xml:space="preserve">	73902</t>
  </si>
  <si>
    <t>GAS UTILITIES DISTRICT #1 SPILLMAN DELIVERY STATE HWY 421;W</t>
  </si>
  <si>
    <t xml:space="preserve">	20170808</t>
  </si>
  <si>
    <t xml:space="preserve">	73904</t>
  </si>
  <si>
    <t>SOUTHERN NATURAL GAS KOSCIUSKO REVERSAL</t>
  </si>
  <si>
    <t xml:space="preserve">	20171025</t>
  </si>
  <si>
    <t xml:space="preserve">	49128</t>
  </si>
  <si>
    <t>TET/SNG KOSCIUSKO ATTALA</t>
  </si>
  <si>
    <t xml:space="preserve">	73905</t>
  </si>
  <si>
    <t>FIELDWOOD EC 250</t>
  </si>
  <si>
    <t>EAST CAMERON-SOUTH</t>
  </si>
  <si>
    <t xml:space="preserve">	20171002</t>
  </si>
  <si>
    <t xml:space="preserve">	73907</t>
  </si>
  <si>
    <t>EQT- BRADEN RUN II, GREENE CO., PA.</t>
  </si>
  <si>
    <t xml:space="preserve">	20170308</t>
  </si>
  <si>
    <t>BRADEN RUN 2</t>
  </si>
  <si>
    <t xml:space="preserve">	73909</t>
  </si>
  <si>
    <t>LINDEN COGEN BAYWAY</t>
  </si>
  <si>
    <t xml:space="preserve">	20171221</t>
  </si>
  <si>
    <t>COGEN TECHNOLOGIES LINDEN VENTURE, L.P.</t>
  </si>
  <si>
    <t xml:space="preserve">	0000006394</t>
  </si>
  <si>
    <t xml:space="preserve">	73910</t>
  </si>
  <si>
    <t>PHILLIPS 66 BAYWAY</t>
  </si>
  <si>
    <t>20200713 14:57:59</t>
  </si>
  <si>
    <t>PHILLIPS 66 COMPANY</t>
  </si>
  <si>
    <t xml:space="preserve">	078378508</t>
  </si>
  <si>
    <t xml:space="preserve">	73911</t>
  </si>
  <si>
    <t>CPV-FAIRVIEW, JACKSON TOWNSHIP, PA</t>
  </si>
  <si>
    <t xml:space="preserve">	20190702</t>
  </si>
  <si>
    <t>20200331 07:54:55</t>
  </si>
  <si>
    <t>CPV FAIRVIEW, LLC</t>
  </si>
  <si>
    <t xml:space="preserve">	0000030877</t>
  </si>
  <si>
    <t xml:space="preserve">	73912</t>
  </si>
  <si>
    <t>BIG ANGLETON DELIVERY, BRAZORIA CO., TX</t>
  </si>
  <si>
    <t xml:space="preserve">	20190610</t>
  </si>
  <si>
    <t>BRAZORIA INTERCONNECTOR GAS PIPELINE, LLC</t>
  </si>
  <si>
    <t xml:space="preserve">	809456739</t>
  </si>
  <si>
    <t xml:space="preserve">	73913</t>
  </si>
  <si>
    <t>TENASKA PENNSYLVANIA PARTNERS, LLC - WESTMORELAND CO., PA</t>
  </si>
  <si>
    <t xml:space="preserve">	20181129</t>
  </si>
  <si>
    <t>20200316 14:27:39</t>
  </si>
  <si>
    <t>TENASKA PENNSYLVANIA PARTNERS, LLC</t>
  </si>
  <si>
    <t xml:space="preserve">	079688773</t>
  </si>
  <si>
    <t xml:space="preserve">	73914</t>
  </si>
  <si>
    <t>DTE - ROCKLAND, FORGEDALE RD, BERKS CO, PA</t>
  </si>
  <si>
    <t xml:space="preserve">	20181206</t>
  </si>
  <si>
    <t>DTE MIDSTREAM APPALACHIA, LLC</t>
  </si>
  <si>
    <t xml:space="preserve">	081344182</t>
  </si>
  <si>
    <t>C008994</t>
  </si>
  <si>
    <t xml:space="preserve">	BRO73915</t>
  </si>
  <si>
    <t>BIRDSBORO POWER PLANT</t>
  </si>
  <si>
    <t xml:space="preserve">	73915</t>
  </si>
  <si>
    <t>RICE ENERGY-BAMBINO, MCCLELLAN AVE., GREENE CO., PA</t>
  </si>
  <si>
    <t xml:space="preserve">	20180730</t>
  </si>
  <si>
    <t>20200114 08:20:38</t>
  </si>
  <si>
    <t xml:space="preserve">	73918</t>
  </si>
  <si>
    <t>COLUMBIA GAS JOHNSON RD YORK CO. PA</t>
  </si>
  <si>
    <t xml:space="preserve">	20190328</t>
  </si>
  <si>
    <t>20200521 08:24:59</t>
  </si>
  <si>
    <t xml:space="preserve">	73919</t>
  </si>
  <si>
    <t>EQM REDBAND, STROPE RD, GREENE CO PA</t>
  </si>
  <si>
    <t xml:space="preserve">	20190531</t>
  </si>
  <si>
    <t>20190821 08:43:03</t>
  </si>
  <si>
    <t>EQM GATHERING OPCO, LLC</t>
  </si>
  <si>
    <t xml:space="preserve">	080418818</t>
  </si>
  <si>
    <t xml:space="preserve">	73920</t>
  </si>
  <si>
    <t>TRANSCO WILLIAMS-CAJUN RD (ST.JAMES) POINTE COUPEE LA</t>
  </si>
  <si>
    <t xml:space="preserve">	20190530</t>
  </si>
  <si>
    <t xml:space="preserve">	9010598</t>
  </si>
  <si>
    <t>CAJUN ROAD M3661</t>
  </si>
  <si>
    <t xml:space="preserve">	73921</t>
  </si>
  <si>
    <t>MIDCOAST VIDOR INTERCONNECT MANSFIELD FERRY ROAD ORANGE CO</t>
  </si>
  <si>
    <t xml:space="preserve">	20181227</t>
  </si>
  <si>
    <t xml:space="preserve">	1022707</t>
  </si>
  <si>
    <t>TETCO STX</t>
  </si>
  <si>
    <t xml:space="preserve">	73923</t>
  </si>
  <si>
    <t>ENTERGY SERVICES/HINDS 2 DELIVERY-BEASLEY RD</t>
  </si>
  <si>
    <t xml:space="preserve">	20190222</t>
  </si>
  <si>
    <t xml:space="preserve">	73924</t>
  </si>
  <si>
    <t>XCL MIDSTREAM BLUE RIDGE, MARSHALL COUNTY WV</t>
  </si>
  <si>
    <t xml:space="preserve">	20190906</t>
  </si>
  <si>
    <t>20191011 14:20:19</t>
  </si>
  <si>
    <t>XCL MIDSTREAM OPERATING, LLC</t>
  </si>
  <si>
    <t xml:space="preserve">	081271805</t>
  </si>
  <si>
    <t xml:space="preserve">	73925</t>
  </si>
  <si>
    <t>CNX RICH HILL, GREEN CO. PA</t>
  </si>
  <si>
    <t xml:space="preserve">	20200421</t>
  </si>
  <si>
    <t>20200420 13:20:35</t>
  </si>
  <si>
    <t>CNX MIDSTREAM DEVCO I LP</t>
  </si>
  <si>
    <t xml:space="preserve">	0000030937</t>
  </si>
  <si>
    <t xml:space="preserve">	73927</t>
  </si>
  <si>
    <t>KUDO MIDSTREAM-MARTINSVILLE GATHERING-CR 342-NACOGDOCHES CO</t>
  </si>
  <si>
    <t xml:space="preserve">	20191226</t>
  </si>
  <si>
    <t>KUDU MIDSTREAM LLC</t>
  </si>
  <si>
    <t xml:space="preserve">	0000030900</t>
  </si>
  <si>
    <t xml:space="preserve">	73930</t>
  </si>
  <si>
    <t>PLANET OPERATIONG/SAVOY 1 HWY 758-ST.LANDRY PARISH, LA</t>
  </si>
  <si>
    <t xml:space="preserve">	20200706</t>
  </si>
  <si>
    <t>20200707 11:20:31</t>
  </si>
  <si>
    <t>PLANET OPERATING, LLC</t>
  </si>
  <si>
    <t xml:space="preserve">	0000030964</t>
  </si>
  <si>
    <t xml:space="preserve">	74040</t>
  </si>
  <si>
    <t>EAST OHIO GAS - CLARINGTON, OH</t>
  </si>
  <si>
    <t xml:space="preserve">	20011114</t>
  </si>
  <si>
    <t xml:space="preserve">	74058</t>
  </si>
  <si>
    <t xml:space="preserve">	19980701</t>
  </si>
  <si>
    <t xml:space="preserve">	74128</t>
  </si>
  <si>
    <t>MR 128 UPGRADE (PUBLIC SERVICE - LINDEN, NJ) DEL</t>
  </si>
  <si>
    <t xml:space="preserve">	20060613</t>
  </si>
  <si>
    <t xml:space="preserve">	74187</t>
  </si>
  <si>
    <t>DEFS - GUADALUPE DELIVERY - LAVACA CO., TX</t>
  </si>
  <si>
    <t xml:space="preserve">	20011128</t>
  </si>
  <si>
    <t xml:space="preserve">	74200</t>
  </si>
  <si>
    <t>MOMENTUM KENSINGTON / HIGHWAY 644, COLUMBIANA CO., OH</t>
  </si>
  <si>
    <t>COLUMBIANA</t>
  </si>
  <si>
    <t xml:space="preserve">	20151019</t>
  </si>
  <si>
    <t>UTICA EAST OHIO MIDSTREAM, LLC</t>
  </si>
  <si>
    <t xml:space="preserve">	078435517</t>
  </si>
  <si>
    <t xml:space="preserve">	74201</t>
  </si>
  <si>
    <t>ACCESS MIDSTREAM CLARKS MILL ROAD-JEFFERSON CO., OH</t>
  </si>
  <si>
    <t xml:space="preserve">	20181107</t>
  </si>
  <si>
    <t>UTICA GAS SERVICES, LLC</t>
  </si>
  <si>
    <t xml:space="preserve">	078340336</t>
  </si>
  <si>
    <t xml:space="preserve">	74202</t>
  </si>
  <si>
    <t>ACCESS MIDSTREAM HIGHWAY 219 - JEFFERSON CO., OH</t>
  </si>
  <si>
    <t xml:space="preserve">	20151125</t>
  </si>
  <si>
    <t xml:space="preserve">	74203</t>
  </si>
  <si>
    <t>DOMINION ENERGY TRANSMISSION, INC - CLARKS MILL ROAD, JEFFE</t>
  </si>
  <si>
    <t xml:space="preserve">	20160119</t>
  </si>
  <si>
    <t xml:space="preserve">	40228</t>
  </si>
  <si>
    <t>TET-BRUSH CREEK M&amp;R</t>
  </si>
  <si>
    <t xml:space="preserve">	74215</t>
  </si>
  <si>
    <t xml:space="preserve">	20170801</t>
  </si>
  <si>
    <t>20200602 08:21:22</t>
  </si>
  <si>
    <t xml:space="preserve">	74217</t>
  </si>
  <si>
    <t>GULF SOUTH-KOSCIUSKO, ATTALA CO., MS (BI-DIR REC 70217)</t>
  </si>
  <si>
    <t xml:space="preserve">	20171101</t>
  </si>
  <si>
    <t xml:space="preserve">	024320</t>
  </si>
  <si>
    <t>KOSCIUSKO FROM (TETLP)</t>
  </si>
  <si>
    <t xml:space="preserve">	74502</t>
  </si>
  <si>
    <t>CAMERON BLOCK 286 OFFSHORE ABANDOMENT (TEMP)</t>
  </si>
  <si>
    <t xml:space="preserve">	20170728</t>
  </si>
  <si>
    <t>20170728 13:20:15</t>
  </si>
  <si>
    <t>PSI MIDSTREAM PARTNERS, L.P.</t>
  </si>
  <si>
    <t xml:space="preserve">	781229930</t>
  </si>
  <si>
    <t xml:space="preserve">	74509</t>
  </si>
  <si>
    <t>AGT RECEIPT FOR PSEG DEL.</t>
  </si>
  <si>
    <t xml:space="preserve">	20100618</t>
  </si>
  <si>
    <t xml:space="preserve">	01211</t>
  </si>
  <si>
    <t>AGT TO TETCO FOR PSEG DEL.</t>
  </si>
  <si>
    <t xml:space="preserve">	74696</t>
  </si>
  <si>
    <t>GOMEX VR 282 BUYBACK</t>
  </si>
  <si>
    <t xml:space="preserve">	74902</t>
  </si>
  <si>
    <t>CMS - GAS CITY - GRANT CO., IN</t>
  </si>
  <si>
    <t>GRANT</t>
  </si>
  <si>
    <t>PANHANDLE EASTERN PIPE LINE COMPANY, LP</t>
  </si>
  <si>
    <t xml:space="preserve">	045256641</t>
  </si>
  <si>
    <t>C000250</t>
  </si>
  <si>
    <t xml:space="preserve">	02821</t>
  </si>
  <si>
    <t>LEBANON LATERAL</t>
  </si>
  <si>
    <t xml:space="preserve">	74903</t>
  </si>
  <si>
    <t>PEPL-GAS CITY DELIVERY/ROUTE 26, GRANT CO., IN</t>
  </si>
  <si>
    <t xml:space="preserve">	20150828</t>
  </si>
  <si>
    <t xml:space="preserve">	74936</t>
  </si>
  <si>
    <t>CHANDELEUR PIPE LINE CO. (CANTIUM LLC) MP 41L BUYBACK</t>
  </si>
  <si>
    <t xml:space="preserve">	20180601</t>
  </si>
  <si>
    <t xml:space="preserve">	75007</t>
  </si>
  <si>
    <t>EQUITRANS - MORRIS, PA (DEL 70007/REC 76007)</t>
  </si>
  <si>
    <t>B</t>
  </si>
  <si>
    <t xml:space="preserve">	19470501</t>
  </si>
  <si>
    <t xml:space="preserve">	11224/11182</t>
  </si>
  <si>
    <t>MORRIS (TO TETCO)/MORRIS (FROM TETCO)</t>
  </si>
  <si>
    <t xml:space="preserve">	75009</t>
  </si>
  <si>
    <t>EQUITRANS - CRAYNE, PA (D70009/R76009)</t>
  </si>
  <si>
    <t xml:space="preserve">	11180/11026</t>
  </si>
  <si>
    <t>CRAYNE (TO TETCO)/CRAYNE (FROM TETCO)</t>
  </si>
  <si>
    <t xml:space="preserve">	75037</t>
  </si>
  <si>
    <t>DTI - WAYNESBURG, PA(D 70037/R 76037)</t>
  </si>
  <si>
    <t xml:space="preserve">	19481201</t>
  </si>
  <si>
    <t xml:space="preserve">	40215</t>
  </si>
  <si>
    <t>TET-WAYNESBURG</t>
  </si>
  <si>
    <t xml:space="preserve">	75043</t>
  </si>
  <si>
    <t>ANR - ST. LANDRY PA., LA - (D72043/R76043)</t>
  </si>
  <si>
    <t xml:space="preserve">	19810601</t>
  </si>
  <si>
    <t xml:space="preserve">	48645/10110</t>
  </si>
  <si>
    <t>ST LANDRY-TX EASTERN DELIVERY/ST LANDRY - TX EASTERN RECEIPT</t>
  </si>
  <si>
    <t xml:space="preserve">	75051</t>
  </si>
  <si>
    <t>DOMINION TRANSMISSION A-FRANKLIN (D73051/R76051)</t>
  </si>
  <si>
    <t xml:space="preserve">	20040614</t>
  </si>
  <si>
    <t xml:space="preserve">	75055</t>
  </si>
  <si>
    <t>COLUMBIA GAS - DELMONT (BIDIR 73655/70055)</t>
  </si>
  <si>
    <t xml:space="preserve">	C16</t>
  </si>
  <si>
    <t>DELMONT-36</t>
  </si>
  <si>
    <t xml:space="preserve">	75061</t>
  </si>
  <si>
    <t>DOMINION TRANSMISSION FRANKLIN REC76061/DEL73061</t>
  </si>
  <si>
    <t xml:space="preserve">	75078</t>
  </si>
  <si>
    <t>GULF SOUTH - CASTOR, LA-(D70078/R76078)</t>
  </si>
  <si>
    <t xml:space="preserve">	19500324</t>
  </si>
  <si>
    <t xml:space="preserve">	4551</t>
  </si>
  <si>
    <t>CASTOR STATION (FROM TET)</t>
  </si>
  <si>
    <t xml:space="preserve">	75082</t>
  </si>
  <si>
    <t>DTI - OAKFORD, PA-(D70082/R76082)</t>
  </si>
  <si>
    <t xml:space="preserve">	19511002</t>
  </si>
  <si>
    <t xml:space="preserve">	75111</t>
  </si>
  <si>
    <t>EQM GATHERING - BONNETHEAD (BI-DI D 74110/R 74111)</t>
  </si>
  <si>
    <t>20200618 12:06:25</t>
  </si>
  <si>
    <t xml:space="preserve">	75188</t>
  </si>
  <si>
    <t>DTI - LEIDY STORAGE #2-(D73188/R76188)</t>
  </si>
  <si>
    <t xml:space="preserve">	19981114</t>
  </si>
  <si>
    <t xml:space="preserve">	40206</t>
  </si>
  <si>
    <t>TET - LEIDY</t>
  </si>
  <si>
    <t xml:space="preserve">	75258</t>
  </si>
  <si>
    <t>MAGIC VALLEY PL-CALPINE-POWER PROJECT(D73258/R73259)</t>
  </si>
  <si>
    <t>MAGIC VALLEY PIPELINE L.P.</t>
  </si>
  <si>
    <t xml:space="preserve">	068408444</t>
  </si>
  <si>
    <t>C000381</t>
  </si>
  <si>
    <t xml:space="preserve">	75258/75259</t>
  </si>
  <si>
    <t>MAGIC VALLEY PL - CALPINE - POWER PROJECT</t>
  </si>
  <si>
    <t xml:space="preserve">	75275</t>
  </si>
  <si>
    <t>CARNEGIE NATURAL GAS - WAYNESBURG, PA-(D71275/R76275)</t>
  </si>
  <si>
    <t xml:space="preserve">	19641121</t>
  </si>
  <si>
    <t>20200521 12:30:10</t>
  </si>
  <si>
    <t>CARNEGIE NATURAL GAS COMPANY</t>
  </si>
  <si>
    <t xml:space="preserve">	007911613</t>
  </si>
  <si>
    <t xml:space="preserve">	75300</t>
  </si>
  <si>
    <t>KINDER MORGAN TEJAS - CLEAR LK. STOR-(D73299/R73300)</t>
  </si>
  <si>
    <t xml:space="preserve">	40906/40907</t>
  </si>
  <si>
    <t>WCL STRGE TO TETCO SALES-DELV HARRI/TETCO TO WCL STORAGE INL-RECPT HARR</t>
  </si>
  <si>
    <t xml:space="preserve">	75301</t>
  </si>
  <si>
    <t>CALPINE BAYER PWR. PLANT-(D73301/R76301)</t>
  </si>
  <si>
    <t>CALPINE CORPORATION</t>
  </si>
  <si>
    <t xml:space="preserve">	112710876</t>
  </si>
  <si>
    <t xml:space="preserve">	75332</t>
  </si>
  <si>
    <t>EGAN GAS STORAGE (73331 INJ/73332 WD)</t>
  </si>
  <si>
    <t xml:space="preserve">	20011103</t>
  </si>
  <si>
    <t>20190717 06:47:08</t>
  </si>
  <si>
    <t>EGAN HUB STORAGE, LLC</t>
  </si>
  <si>
    <t xml:space="preserve">	835460478</t>
  </si>
  <si>
    <t>C000086</t>
  </si>
  <si>
    <t xml:space="preserve">	45115</t>
  </si>
  <si>
    <t>TEXAS EASTERN - STORAGE, LA (D40116/R40115)</t>
  </si>
  <si>
    <t xml:space="preserve">	75333</t>
  </si>
  <si>
    <t>CENAGAS - REYNOSA, MX (D70333/R76333)</t>
  </si>
  <si>
    <t xml:space="preserve">	19570815</t>
  </si>
  <si>
    <t>CENTRO NACIONAL DE CONTROL DEL GAS NATURAL</t>
  </si>
  <si>
    <t xml:space="preserve">	0000030537</t>
  </si>
  <si>
    <t xml:space="preserve">	75475</t>
  </si>
  <si>
    <t>ETC - DESOTO PIPELINE, LP - (D70475/R76475)</t>
  </si>
  <si>
    <t xml:space="preserve">	19851204</t>
  </si>
  <si>
    <t>ETC KATY PIPELINE, LTD.</t>
  </si>
  <si>
    <t xml:space="preserve">	0000030505</t>
  </si>
  <si>
    <t>C001005</t>
  </si>
  <si>
    <t xml:space="preserve">	2153100A</t>
  </si>
  <si>
    <t>TETCO WALLER OMV GROUP</t>
  </si>
  <si>
    <t xml:space="preserve">	75506</t>
  </si>
  <si>
    <t>COLUMBIA GULF- ADAIR CO. KY (D73806/R73506)</t>
  </si>
  <si>
    <t xml:space="preserve">	20130710</t>
  </si>
  <si>
    <t xml:space="preserve">	3194</t>
  </si>
  <si>
    <t>TETCO/ADAIR CO., KY RECEIPT</t>
  </si>
  <si>
    <t xml:space="preserve">	75524</t>
  </si>
  <si>
    <t>PINE PRAIRIE STORAGE-INJ/WD -EVANGELINE,LA (D73524/R73525)</t>
  </si>
  <si>
    <t xml:space="preserve">	20080723</t>
  </si>
  <si>
    <t>PINE PRAIRIE ENERGY CENTER, LLC</t>
  </si>
  <si>
    <t xml:space="preserve">	187408526</t>
  </si>
  <si>
    <t>C001058</t>
  </si>
  <si>
    <t xml:space="preserve">	73525/73524</t>
  </si>
  <si>
    <t>TETCO_WLA</t>
  </si>
  <si>
    <t xml:space="preserve">	75525</t>
  </si>
  <si>
    <t>TEXAS GAS TRANSMISSION - EUNICE, LA-(D70525/R76525</t>
  </si>
  <si>
    <t xml:space="preserve">	19581007</t>
  </si>
  <si>
    <t xml:space="preserve">	8107</t>
  </si>
  <si>
    <t>TEXAS EASTERN-EVANGELINE</t>
  </si>
  <si>
    <t xml:space="preserve">	75533</t>
  </si>
  <si>
    <t>CAMERON INTERSTATE P/L LLC- BEAUREGARD PSH., LA- (73533/73534)</t>
  </si>
  <si>
    <t xml:space="preserve">	20070301</t>
  </si>
  <si>
    <t xml:space="preserve">	624723</t>
  </si>
  <si>
    <t>TEXAS_EASTERN</t>
  </si>
  <si>
    <t xml:space="preserve">	75553</t>
  </si>
  <si>
    <t>BOBCAT STORAGE - (D73553/R73554)</t>
  </si>
  <si>
    <t xml:space="preserve">	20081101</t>
  </si>
  <si>
    <t>PORT BARRE INVESTMENTS, LLC D/B/A BOBCAT GAS STORAGE</t>
  </si>
  <si>
    <t xml:space="preserve">	614834559</t>
  </si>
  <si>
    <t>C001706</t>
  </si>
  <si>
    <t xml:space="preserve">	45401</t>
  </si>
  <si>
    <t>TEXAS EASTERN - STORAGE (R-INJ 40401/D-WTD 40402)</t>
  </si>
  <si>
    <t xml:space="preserve">	75558</t>
  </si>
  <si>
    <t>TRES PALACIOS GAS STORGE - 73558D(INJ)/73559R(WTD)</t>
  </si>
  <si>
    <t xml:space="preserve">	20081205</t>
  </si>
  <si>
    <t>TRES PALACIOS GAS STORAGE LLC</t>
  </si>
  <si>
    <t xml:space="preserve">	791204600</t>
  </si>
  <si>
    <t>C001337</t>
  </si>
  <si>
    <t xml:space="preserve">	TPGS1120B</t>
  </si>
  <si>
    <t xml:space="preserve">	75570</t>
  </si>
  <si>
    <t>MILLENNLUM/SOUTHLAND (R73571/D73570)</t>
  </si>
  <si>
    <t xml:space="preserve">	75577</t>
  </si>
  <si>
    <t>COLUMBIA GAS - PENNSBURG, PA (D70577/R76577)</t>
  </si>
  <si>
    <t xml:space="preserve">	19590609</t>
  </si>
  <si>
    <t xml:space="preserve">	C23</t>
  </si>
  <si>
    <t>PENNSBURG-23</t>
  </si>
  <si>
    <t xml:space="preserve">	75578</t>
  </si>
  <si>
    <t>MONROE GAS STORAGE - (D73578/R73579)</t>
  </si>
  <si>
    <t xml:space="preserve">	20090422</t>
  </si>
  <si>
    <t>MONROE GAS STORAGE COMPANY, LLC</t>
  </si>
  <si>
    <t xml:space="preserve">	790550920</t>
  </si>
  <si>
    <t>C001591</t>
  </si>
  <si>
    <t>TETCO</t>
  </si>
  <si>
    <t xml:space="preserve">	75583</t>
  </si>
  <si>
    <t>SESH (D73584/R73583)</t>
  </si>
  <si>
    <t xml:space="preserve">	20080729</t>
  </si>
  <si>
    <t>SOUTHEAST SUPPLY HEADER, LLC</t>
  </si>
  <si>
    <t xml:space="preserve">	808264746</t>
  </si>
  <si>
    <t>C001203</t>
  </si>
  <si>
    <t xml:space="preserve">	83005/83105</t>
  </si>
  <si>
    <t>SESH FROM TE AT 73583/SESH TO TE AT 73584</t>
  </si>
  <si>
    <t xml:space="preserve">	75605</t>
  </si>
  <si>
    <t>STECKMAN RIDGE (73605D INJ/73606R WTD)</t>
  </si>
  <si>
    <t xml:space="preserve">	20090317</t>
  </si>
  <si>
    <t>STECKMAN RIDGE, LP</t>
  </si>
  <si>
    <t xml:space="preserve">	827593182</t>
  </si>
  <si>
    <t>C000093</t>
  </si>
  <si>
    <t xml:space="preserve">	46505</t>
  </si>
  <si>
    <t>STECKMAN RIDGE - TE, PA (R46605/D46606)</t>
  </si>
  <si>
    <t xml:space="preserve">	75614</t>
  </si>
  <si>
    <t>BOARDWALK STORAGE COMPANY LLC STORAGE -INJ/WD</t>
  </si>
  <si>
    <t xml:space="preserve">	20090701</t>
  </si>
  <si>
    <t>BOARDWALK STORAGE COMPANY, LLC</t>
  </si>
  <si>
    <t xml:space="preserve">	078657183</t>
  </si>
  <si>
    <t>C001262</t>
  </si>
  <si>
    <t xml:space="preserve">	23137/23138</t>
  </si>
  <si>
    <t>TEXAS EASTERN DELIVERY (TO TETLP)/TEXAS EASTERN RECEIPT (FROM TETLP)</t>
  </si>
  <si>
    <t xml:space="preserve">	75628</t>
  </si>
  <si>
    <t>BRIDGELINE - TALLYHO (D72628/R76628)</t>
  </si>
  <si>
    <t xml:space="preserve">	19890322</t>
  </si>
  <si>
    <t>BRIDGELINE HOLDINGS, L.P.</t>
  </si>
  <si>
    <t xml:space="preserve">	0000026165</t>
  </si>
  <si>
    <t>C000826</t>
  </si>
  <si>
    <t xml:space="preserve">	847763/847031</t>
  </si>
  <si>
    <t>TALLY HO (DELIVERY FROM TETCO)/TALLO HO (RECEIPT FROM TETCO)</t>
  </si>
  <si>
    <t xml:space="preserve">	75660</t>
  </si>
  <si>
    <t>NISOURCE MIDSTREAM SERVCS-DRY RIDGE-GREENE CO.,PA(D)73660/(R)73661</t>
  </si>
  <si>
    <t xml:space="preserve">	20110414</t>
  </si>
  <si>
    <t>20200603 17:20:31</t>
  </si>
  <si>
    <t xml:space="preserve">	75661</t>
  </si>
  <si>
    <t>ENERGY SUPPLY CONSULTANT - WHITE CO., IL-(D72661/R</t>
  </si>
  <si>
    <t xml:space="preserve">	19890601</t>
  </si>
  <si>
    <t>EGYPTIAN GAS STORAGE CORP.</t>
  </si>
  <si>
    <t xml:space="preserve">	074087651</t>
  </si>
  <si>
    <t xml:space="preserve">	75662</t>
  </si>
  <si>
    <t>GOLDEN TRIANGLE STORAGE D73662/R73663</t>
  </si>
  <si>
    <t xml:space="preserve">	20100913</t>
  </si>
  <si>
    <t>GOLDEN TRIANGLE STORAGE, INC.</t>
  </si>
  <si>
    <t xml:space="preserve">	808627587</t>
  </si>
  <si>
    <t>C001774</t>
  </si>
  <si>
    <t xml:space="preserve">	6014</t>
  </si>
  <si>
    <t>TEXAS EASTERN TRANSMISSION</t>
  </si>
  <si>
    <t xml:space="preserve">	75672</t>
  </si>
  <si>
    <t>FLORIDA GAS - KROTZ SPRINGS, LA (D71672/R76672)</t>
  </si>
  <si>
    <t xml:space="preserve">	19740717</t>
  </si>
  <si>
    <t>FLORIDA GAS TRANSMISSION COMPANY, LLC</t>
  </si>
  <si>
    <t xml:space="preserve">	006924518</t>
  </si>
  <si>
    <t>C000255</t>
  </si>
  <si>
    <t xml:space="preserve">	94478</t>
  </si>
  <si>
    <t>FLORIDA GAS KROTZ SPRINGS</t>
  </si>
  <si>
    <t xml:space="preserve">	75688</t>
  </si>
  <si>
    <t>REGENCY GAS - BIENVILLE PA. LA-(D72688/R76688)</t>
  </si>
  <si>
    <t xml:space="preserve">	19900120</t>
  </si>
  <si>
    <t>REGRENCY GAS SERVICES, LLC.</t>
  </si>
  <si>
    <t xml:space="preserve">	0000027896</t>
  </si>
  <si>
    <t xml:space="preserve">	75709</t>
  </si>
  <si>
    <t>UGI - LNG TEMPLE (BI-DIR 73709/76709)</t>
  </si>
  <si>
    <t xml:space="preserve">	20111129</t>
  </si>
  <si>
    <t xml:space="preserve">	75720</t>
  </si>
  <si>
    <t>NATIONAL FUEL-HOLBROOK GREENE CO., PA (D73720/R76720)</t>
  </si>
  <si>
    <t>NATIONAL FUEL GAS SUPPLY CORPORATION</t>
  </si>
  <si>
    <t xml:space="preserve">	007912959</t>
  </si>
  <si>
    <t>C000046</t>
  </si>
  <si>
    <t xml:space="preserve">	70015</t>
  </si>
  <si>
    <t>HOLBROOK</t>
  </si>
  <si>
    <t xml:space="preserve">	75773</t>
  </si>
  <si>
    <t>MOSS BLUFF GAS STRG-CHAMBERS CO. TX-(D7277</t>
  </si>
  <si>
    <t xml:space="preserve">	19901116</t>
  </si>
  <si>
    <t>MOSS BLUFF HUB, LLC</t>
  </si>
  <si>
    <t xml:space="preserve">	031369874</t>
  </si>
  <si>
    <t>C000089</t>
  </si>
  <si>
    <t xml:space="preserve">	45207</t>
  </si>
  <si>
    <t>TETCO - STORAGE, TX (D40208/R40207)</t>
  </si>
  <si>
    <t xml:space="preserve">	75778</t>
  </si>
  <si>
    <t>ATMOS TEXAS - LONE STAR GAS  - WALLER, TX-(D72778/R76778)</t>
  </si>
  <si>
    <t xml:space="preserve">	19910104</t>
  </si>
  <si>
    <t>ATMOS PIPELINE-TEXAS(DIV.OF ATMOS ENERGY CORP.)</t>
  </si>
  <si>
    <t xml:space="preserve">	0000027973</t>
  </si>
  <si>
    <t>C001019</t>
  </si>
  <si>
    <t xml:space="preserve">	17688301</t>
  </si>
  <si>
    <t>TETCO - WALLER</t>
  </si>
  <si>
    <t xml:space="preserve">	75821</t>
  </si>
  <si>
    <t>DTI - N. SUMMIT STORAGE - FAYETTE CO., PA (D72821/R72822)</t>
  </si>
  <si>
    <t xml:space="preserve">	19910801</t>
  </si>
  <si>
    <t xml:space="preserve">	40217</t>
  </si>
  <si>
    <t>TET-NORTH SUMMIT</t>
  </si>
  <si>
    <t xml:space="preserve">	75858</t>
  </si>
  <si>
    <t>COPANO PIPELINE - MONTGOMEREY CO., TX (D72858/R76858)</t>
  </si>
  <si>
    <t xml:space="preserve">	75865</t>
  </si>
  <si>
    <t>THREE RIVERS PIPELINE CO. - INDIANA CO., PA (D7286</t>
  </si>
  <si>
    <t xml:space="preserve">	20180905</t>
  </si>
  <si>
    <t>THREE RIVERS PIPELINE</t>
  </si>
  <si>
    <t xml:space="preserve">	0000007654</t>
  </si>
  <si>
    <t xml:space="preserve">	75866</t>
  </si>
  <si>
    <t>CHENIERE LNG, BEAUREGARD PA,LA (D-73866/R-73566)</t>
  </si>
  <si>
    <t xml:space="preserve">	20080703</t>
  </si>
  <si>
    <t>CHENIERE CREOLE TRAIL PIPELINE, L.P.</t>
  </si>
  <si>
    <t xml:space="preserve">	0000028863</t>
  </si>
  <si>
    <t>C001506</t>
  </si>
  <si>
    <t xml:space="preserve">	CT109413</t>
  </si>
  <si>
    <t>GILLIS-TETCO-R</t>
  </si>
  <si>
    <t xml:space="preserve">	75868</t>
  </si>
  <si>
    <t>DTI - CRAYNE REC- (REC72868/DEL76868)</t>
  </si>
  <si>
    <t xml:space="preserve">	20040824</t>
  </si>
  <si>
    <t xml:space="preserve">	40218</t>
  </si>
  <si>
    <t>TET - CRAYNE FARM</t>
  </si>
  <si>
    <t xml:space="preserve">	75872</t>
  </si>
  <si>
    <t>CENTANA INTRA P/L, STORAGE - JEFFERSON, CO. (72872</t>
  </si>
  <si>
    <t xml:space="preserve">	19921210</t>
  </si>
  <si>
    <t xml:space="preserve">	77435/77438</t>
  </si>
  <si>
    <t>TETCO STX (RECEIPT)/TETCO STX (DELIVERY)</t>
  </si>
  <si>
    <t xml:space="preserve">	75884</t>
  </si>
  <si>
    <t>EQT QVC STEIGER RIDGE ROAD, MONROE CO, OH (D73884/R73885)</t>
  </si>
  <si>
    <t xml:space="preserve">	20171213</t>
  </si>
  <si>
    <t xml:space="preserve">	73884/73885</t>
  </si>
  <si>
    <t>STEIGER RIDGE ROAD IC - TO EQT/STEIGER RIDGE ROAD IC - TO TETCO</t>
  </si>
  <si>
    <t xml:space="preserve">	75891</t>
  </si>
  <si>
    <t>GULF SOUTH/COASTAL BEND DELIVERY CR 206 (D-73891/R76891)</t>
  </si>
  <si>
    <t xml:space="preserve">	20170915</t>
  </si>
  <si>
    <t xml:space="preserve">	024321/024322</t>
  </si>
  <si>
    <t>JACKSON COUNTY TX (TO TETLP)/JACKSON COUNTY TX (FROM TETLP)</t>
  </si>
  <si>
    <t xml:space="preserve">	75897</t>
  </si>
  <si>
    <t>PEOPLES GAS - BEAVER RUN ROAD, DELMONT, PA (R 76897/D 73897)</t>
  </si>
  <si>
    <t xml:space="preserve">	20170602</t>
  </si>
  <si>
    <t>BEAVER RUN ROAD, DELMONT, PA</t>
  </si>
  <si>
    <t xml:space="preserve">	75917</t>
  </si>
  <si>
    <t>TETLP/POMELO INTERCONNECT WITH VCP (DEL 73916/REC 73917)</t>
  </si>
  <si>
    <t xml:space="preserve">	20191213</t>
  </si>
  <si>
    <t xml:space="preserve">	75919</t>
  </si>
  <si>
    <t>TRANSCO - BELLE MEADE, NJ (D70919/R76919)</t>
  </si>
  <si>
    <t xml:space="preserve">	19610819</t>
  </si>
  <si>
    <t xml:space="preserve">	1006154</t>
  </si>
  <si>
    <t>LAMBERTVILLE-TETCO</t>
  </si>
  <si>
    <t xml:space="preserve">	75931</t>
  </si>
  <si>
    <t>DTI - LEIDY STORAGE (D70931/R76931)</t>
  </si>
  <si>
    <t>TET-LEIDY</t>
  </si>
  <si>
    <t xml:space="preserve">	75977</t>
  </si>
  <si>
    <t>NATIONAL FUEL - CLINTON,PA (72977-D,72978-R)</t>
  </si>
  <si>
    <t xml:space="preserve">	19940711</t>
  </si>
  <si>
    <t xml:space="preserve">	76025</t>
  </si>
  <si>
    <t>ATMOS ENERGY, TN (B/D 73025)</t>
  </si>
  <si>
    <t xml:space="preserve">	19961120</t>
  </si>
  <si>
    <t>20200316 14:24:43</t>
  </si>
  <si>
    <t xml:space="preserve">	76087</t>
  </si>
  <si>
    <t>ALGONQUIN - LAMBERTVILLE, NJ (RECEIPT)</t>
  </si>
  <si>
    <t xml:space="preserve">	20000602</t>
  </si>
  <si>
    <t xml:space="preserve">	02210</t>
  </si>
  <si>
    <t>LAMBERTVILLE DELIVERY (HUNTERDON, NJ)</t>
  </si>
  <si>
    <t xml:space="preserve">	76298</t>
  </si>
  <si>
    <t>EAST TENNESSEE GAS - MT. PLEASANT,TN-REC (B/D71298)</t>
  </si>
  <si>
    <t xml:space="preserve">	20020315</t>
  </si>
  <si>
    <t xml:space="preserve">	59229</t>
  </si>
  <si>
    <t>EAST TN GAS - MT. PLEASANT, TN -DEL (B/D 59329)</t>
  </si>
  <si>
    <t xml:space="preserve">	76543</t>
  </si>
  <si>
    <t>WC BLK 543</t>
  </si>
  <si>
    <t>WEST CAMERON-SOUTH</t>
  </si>
  <si>
    <t xml:space="preserve">	20160815</t>
  </si>
  <si>
    <t>20161128 06:29:38</t>
  </si>
  <si>
    <t>STINGRAY PIPELINE COMPANY, LLC</t>
  </si>
  <si>
    <t xml:space="preserve">	0000027179</t>
  </si>
  <si>
    <t>C000412</t>
  </si>
  <si>
    <t>WE BLK 543</t>
  </si>
  <si>
    <t xml:space="preserve">	76580</t>
  </si>
  <si>
    <t xml:space="preserve">	19960122</t>
  </si>
  <si>
    <t xml:space="preserve">	76594</t>
  </si>
  <si>
    <t>WC 594</t>
  </si>
  <si>
    <t xml:space="preserve">	9600594 (INACTIVE)</t>
  </si>
  <si>
    <t>STINGRAY-WC 594SSDP</t>
  </si>
  <si>
    <t xml:space="preserve">	76609</t>
  </si>
  <si>
    <t>WILLIAMS ENERGY LLC - LAFOURCHE PSH., LA-REC</t>
  </si>
  <si>
    <t xml:space="preserve">	19951121</t>
  </si>
  <si>
    <t xml:space="preserve">	41005</t>
  </si>
  <si>
    <t>LAROSE RESIDUE TO TXS EAST</t>
  </si>
  <si>
    <t xml:space="preserve">	76671</t>
  </si>
  <si>
    <t>PEOPLES NAT - RAGER MOUNTAIN, PA (REC.)</t>
  </si>
  <si>
    <t xml:space="preserve">	20040102</t>
  </si>
  <si>
    <t>20200114 14:20:36</t>
  </si>
  <si>
    <t xml:space="preserve">	76840</t>
  </si>
  <si>
    <t>AGT TO TE HANOVER</t>
  </si>
  <si>
    <t xml:space="preserve">	20131030</t>
  </si>
  <si>
    <t xml:space="preserve">	00840</t>
  </si>
  <si>
    <t xml:space="preserve">	76865</t>
  </si>
  <si>
    <t>EQT PENNVIEW, INDIANA CO., PA - REC (B/D 72865)</t>
  </si>
  <si>
    <t xml:space="preserve">	76890</t>
  </si>
  <si>
    <t>LOUISIANA INTRASTATE GAS - IBERVILLE PSH.,LA - REC</t>
  </si>
  <si>
    <t xml:space="preserve">	19961113</t>
  </si>
  <si>
    <t xml:space="preserve">	76903</t>
  </si>
  <si>
    <t>ANR, DEL- GLEN KARN, OH</t>
  </si>
  <si>
    <t xml:space="preserve">	20131101</t>
  </si>
  <si>
    <t>20191205 11:20:31</t>
  </si>
  <si>
    <t xml:space="preserve">	1389630</t>
  </si>
  <si>
    <t>LEBANON/GLEN KARN REC</t>
  </si>
  <si>
    <t xml:space="preserve">	76910</t>
  </si>
  <si>
    <t>DOMINION ENERGY TRANSMISSION, INC - LEBANON, WARREN CO, OH</t>
  </si>
  <si>
    <t>TET - LEBANON LATERAL</t>
  </si>
  <si>
    <t xml:space="preserve">	78200</t>
  </si>
  <si>
    <t>AGT MAINLINE (NJ-NY)</t>
  </si>
  <si>
    <t>ROCKLAND</t>
  </si>
  <si>
    <t xml:space="preserve">	99200</t>
  </si>
  <si>
    <t>NJ-NY MAINLINE</t>
  </si>
  <si>
    <t xml:space="preserve">	78201</t>
  </si>
  <si>
    <t>MAHWAH</t>
  </si>
  <si>
    <t>BERGEN</t>
  </si>
  <si>
    <t>20200521 09:54:13</t>
  </si>
  <si>
    <t xml:space="preserve">	420207</t>
  </si>
  <si>
    <t>AGT/TGP MAHWAH NEW JERSEY BERGEN</t>
  </si>
  <si>
    <t xml:space="preserve">	78214</t>
  </si>
  <si>
    <t>RAMAPO</t>
  </si>
  <si>
    <t>20200521 09:54:36</t>
  </si>
  <si>
    <t xml:space="preserve">	633395</t>
  </si>
  <si>
    <t>ALGONQUIN - RAMAPO/AGT MLP DELIVERIES TO AGT</t>
  </si>
  <si>
    <t xml:space="preserve">	79023</t>
  </si>
  <si>
    <t>DELMARVA- FOR NOMINATIONS PURPOSES</t>
  </si>
  <si>
    <t xml:space="preserve">	20170119</t>
  </si>
  <si>
    <t>20170119 17:09:54</t>
  </si>
  <si>
    <t xml:space="preserve">	79033</t>
  </si>
  <si>
    <t>ASSOC. NATURAL - BENTON, MO</t>
  </si>
  <si>
    <t>NO COUNTY NAME</t>
  </si>
  <si>
    <t xml:space="preserve">	20000508</t>
  </si>
  <si>
    <t xml:space="preserve">	79037</t>
  </si>
  <si>
    <t>HEAD OF FREEHOLD LATERAL - MAINLINE</t>
  </si>
  <si>
    <t xml:space="preserve">	20031001</t>
  </si>
  <si>
    <t xml:space="preserve">	79039</t>
  </si>
  <si>
    <t>DYNEGY FAYETTE LATERAL</t>
  </si>
  <si>
    <t xml:space="preserve">	79040</t>
  </si>
  <si>
    <t>DYNEGY HANGING ROCK LATERAL</t>
  </si>
  <si>
    <t xml:space="preserve">	79041</t>
  </si>
  <si>
    <t>T &amp; F EXPLORATION, LP. ACCT. POINT - REC FOR 72533</t>
  </si>
  <si>
    <t xml:space="preserve">	79044</t>
  </si>
  <si>
    <t>SLIGO GAS PLANT, LA - ACCOUNTING POINT</t>
  </si>
  <si>
    <t xml:space="preserve">	20090616</t>
  </si>
  <si>
    <t xml:space="preserve">	79046</t>
  </si>
  <si>
    <t>STRATTON RIDGE EXTENSION (MAINLINE)</t>
  </si>
  <si>
    <t xml:space="preserve">	20190319</t>
  </si>
  <si>
    <t xml:space="preserve">	79047</t>
  </si>
  <si>
    <t>STRATTON RIDGE EXTENSION (LATERAL)</t>
  </si>
  <si>
    <t xml:space="preserve">	20191224</t>
  </si>
  <si>
    <t>20191213 15:46:02</t>
  </si>
  <si>
    <t xml:space="preserve">	79050</t>
  </si>
  <si>
    <t>OHIO PIPELINE ENERGY NETWORK (MAINLINE)</t>
  </si>
  <si>
    <t xml:space="preserve">	20151120</t>
  </si>
  <si>
    <t xml:space="preserve">	79051</t>
  </si>
  <si>
    <t>OHIO PIPELINE ENERGY NETWORK (LATERAL)</t>
  </si>
  <si>
    <t xml:space="preserve">	79073</t>
  </si>
  <si>
    <t>SHELL OFFSHORE, WD 143, -LAO</t>
  </si>
  <si>
    <t>WEST DELTA-SOUTH</t>
  </si>
  <si>
    <t xml:space="preserve">	20190201</t>
  </si>
  <si>
    <t xml:space="preserve">	79108</t>
  </si>
  <si>
    <t>LATERAL 10-S - RELIANT ENERGY - CHOCTAW CO., MS</t>
  </si>
  <si>
    <t>20191104 08:20:39</t>
  </si>
  <si>
    <t xml:space="preserve">	79109</t>
  </si>
  <si>
    <t>LATERAL 10-S - RELIANT ENERGY - CHOCTAW CO., MS - MAINLINE</t>
  </si>
  <si>
    <t>20191104 08:21:10</t>
  </si>
  <si>
    <t xml:space="preserve">	79113</t>
  </si>
  <si>
    <t>LATERAL 10-R - DENA WASHINGTON CO. POWER PLANT</t>
  </si>
  <si>
    <t xml:space="preserve">	79114</t>
  </si>
  <si>
    <t>LATERAL 10-R - DENA WASHINGTON CO. POWER PLANT - MAINLINE</t>
  </si>
  <si>
    <t xml:space="preserve">	79117</t>
  </si>
  <si>
    <t>LINE 24 - LEIDY LINE</t>
  </si>
  <si>
    <t xml:space="preserve">	79119</t>
  </si>
  <si>
    <t>LINE 24 - LEIDY LINE - MAINLINE</t>
  </si>
  <si>
    <t xml:space="preserve">	79122</t>
  </si>
  <si>
    <t>LATERAL 2-V - RELIANT ENERGY HUNTERSTOWN</t>
  </si>
  <si>
    <t xml:space="preserve">	79123</t>
  </si>
  <si>
    <t>LATERAL 2-V - RELIANT ENERGY HUNTERSTOWN - MAINLINE</t>
  </si>
  <si>
    <t xml:space="preserve">	79140</t>
  </si>
  <si>
    <t>LATERAL 10-T - DYNEGY FAYETTE - MAINLINE</t>
  </si>
  <si>
    <t xml:space="preserve">	79141</t>
  </si>
  <si>
    <t>LATERAL 10-U - DYNEGY HANGING ROCK - MAINLINE</t>
  </si>
  <si>
    <t xml:space="preserve">	79144</t>
  </si>
  <si>
    <t>PHILADELPHIA LATERAL</t>
  </si>
  <si>
    <t xml:space="preserve">	79145</t>
  </si>
  <si>
    <t>CHESTER LATERAL</t>
  </si>
  <si>
    <t xml:space="preserve">	79146</t>
  </si>
  <si>
    <t>CHESTER LATERAL - MAINLINE</t>
  </si>
  <si>
    <t xml:space="preserve">	79147</t>
  </si>
  <si>
    <t>IRONWOOD LATERAL</t>
  </si>
  <si>
    <t xml:space="preserve">	79148</t>
  </si>
  <si>
    <t>FREEHOLD LATERAL</t>
  </si>
  <si>
    <t>NJR ENERGY SERVICES COMPANY</t>
  </si>
  <si>
    <t xml:space="preserve">	025715165</t>
  </si>
  <si>
    <t xml:space="preserve">	79149</t>
  </si>
  <si>
    <t>ACCIDENT LATERAL</t>
  </si>
  <si>
    <t xml:space="preserve">	79152</t>
  </si>
  <si>
    <t>HOT SPRING LATERAL (MAINLINE)</t>
  </si>
  <si>
    <t xml:space="preserve">	79153</t>
  </si>
  <si>
    <t>HEAD OF HOT SPRING LATERAL</t>
  </si>
  <si>
    <t xml:space="preserve">	79154</t>
  </si>
  <si>
    <t>DOWNSTREAM LINDEN BALANCING POINT</t>
  </si>
  <si>
    <t xml:space="preserve">	20130123</t>
  </si>
  <si>
    <t xml:space="preserve">	79166</t>
  </si>
  <si>
    <t>DCP ACCOUNTING POINT</t>
  </si>
  <si>
    <t>20190717 06:46:55</t>
  </si>
  <si>
    <t xml:space="preserve">	79263</t>
  </si>
  <si>
    <t>DENA VERMILLION PLANT DELIVERY POINT</t>
  </si>
  <si>
    <t>20190723 15:42:32</t>
  </si>
  <si>
    <t xml:space="preserve">	79501</t>
  </si>
  <si>
    <t>STX SERVICE POINT</t>
  </si>
  <si>
    <t>PPT</t>
  </si>
  <si>
    <t xml:space="preserve">	79502</t>
  </si>
  <si>
    <t>ETX SERVICE POINT</t>
  </si>
  <si>
    <t xml:space="preserve">	79503</t>
  </si>
  <si>
    <t>WLA SERVICE POINT</t>
  </si>
  <si>
    <t xml:space="preserve">	79504</t>
  </si>
  <si>
    <t>ELA SERVICE POINT</t>
  </si>
  <si>
    <t>20190717 06:47:16</t>
  </si>
  <si>
    <t xml:space="preserve">	79505</t>
  </si>
  <si>
    <t>ZONE M1 24  SERVICE POINT</t>
  </si>
  <si>
    <t>20200603 17:28:55</t>
  </si>
  <si>
    <t xml:space="preserve">	79506</t>
  </si>
  <si>
    <t>ZONE M1 30  SERVICE POINT</t>
  </si>
  <si>
    <t xml:space="preserve">	79507</t>
  </si>
  <si>
    <t>ZONE M2 24  SERVICE POINT</t>
  </si>
  <si>
    <t>20200603 17:29:21</t>
  </si>
  <si>
    <t xml:space="preserve">	79508</t>
  </si>
  <si>
    <t>ZONE M2 30  SERVICE POINT</t>
  </si>
  <si>
    <t>20200611 10:02:15</t>
  </si>
  <si>
    <t xml:space="preserve">	79509</t>
  </si>
  <si>
    <t>ZONE M3  SERVICE POINT</t>
  </si>
  <si>
    <t xml:space="preserve">	79511</t>
  </si>
  <si>
    <t>ZONE M1 STORAGE POINT</t>
  </si>
  <si>
    <t xml:space="preserve">	79512</t>
  </si>
  <si>
    <t>ZONE M2 STORAGE POINT</t>
  </si>
  <si>
    <t xml:space="preserve">	79513</t>
  </si>
  <si>
    <t>ZONE M3 STORAGE POINT</t>
  </si>
  <si>
    <t xml:space="preserve">	79514</t>
  </si>
  <si>
    <t>TETCO SYSTEM BALANCE POINT</t>
  </si>
  <si>
    <t>VIR</t>
  </si>
  <si>
    <t xml:space="preserve">	79515</t>
  </si>
  <si>
    <t>SS-1 STORAGE SERVICE</t>
  </si>
  <si>
    <t xml:space="preserve">	79516</t>
  </si>
  <si>
    <t>LEBANON DISCHARGE PATH POINT</t>
  </si>
  <si>
    <t xml:space="preserve">	79517</t>
  </si>
  <si>
    <t>KOSCIUSKO DISCHARGE PATH POINT</t>
  </si>
  <si>
    <t xml:space="preserve">	79518</t>
  </si>
  <si>
    <t>GSS STORAGE SERVICE POINT-CNG/GSS</t>
  </si>
  <si>
    <t xml:space="preserve">	79519</t>
  </si>
  <si>
    <t>VENICE PLANT FOR NOMINATIONS</t>
  </si>
  <si>
    <t xml:space="preserve">	79524</t>
  </si>
  <si>
    <t>M1 30  CUSTODY TRANSFER POINT KOSCIUSKO</t>
  </si>
  <si>
    <t xml:space="preserve">	20150915</t>
  </si>
  <si>
    <t xml:space="preserve">	79540</t>
  </si>
  <si>
    <t>STX/ETX ZONE BOUNDARY POINT</t>
  </si>
  <si>
    <t>ZB</t>
  </si>
  <si>
    <t>20190717 06:46:58</t>
  </si>
  <si>
    <t xml:space="preserve">	79541</t>
  </si>
  <si>
    <t>STX/WLA ZONE BOUNDARY POINT</t>
  </si>
  <si>
    <t xml:space="preserve">	79542</t>
  </si>
  <si>
    <t>WLA/ELA ZONE BOUNDARY POINT</t>
  </si>
  <si>
    <t xml:space="preserve">	79543</t>
  </si>
  <si>
    <t>ELA/M1 ZONE BOUNDARY POINT</t>
  </si>
  <si>
    <t xml:space="preserve">	79544</t>
  </si>
  <si>
    <t>ETX/M1 ZONE BOUNDARY POINT</t>
  </si>
  <si>
    <t xml:space="preserve">	79545</t>
  </si>
  <si>
    <t>M1/M2 30  ZONE BOUNDARY POINT</t>
  </si>
  <si>
    <t xml:space="preserve">	79546</t>
  </si>
  <si>
    <t>M1/M2 24  ZONE BOUNDARY POINT</t>
  </si>
  <si>
    <t xml:space="preserve">	79547</t>
  </si>
  <si>
    <t>M2/M3 ZONE BOUNDARY POINT</t>
  </si>
  <si>
    <t xml:space="preserve">	79550</t>
  </si>
  <si>
    <t>STORAGE TRANSFER POINT W/ CNG AT OAKFORD</t>
  </si>
  <si>
    <t xml:space="preserve">	79551</t>
  </si>
  <si>
    <t>(M1) GSS  ST POINT - OAKFORD</t>
  </si>
  <si>
    <t xml:space="preserve">	79552</t>
  </si>
  <si>
    <t>(M2) GSS  ST POINT - OAKFORD</t>
  </si>
  <si>
    <t xml:space="preserve">	79553</t>
  </si>
  <si>
    <t>(M1) GSS  ST POINT  - LEIDY</t>
  </si>
  <si>
    <t xml:space="preserve">	79554</t>
  </si>
  <si>
    <t>STORAGE TRANSFER POINT W/ CNG AT LEIDY</t>
  </si>
  <si>
    <t xml:space="preserve">	79555</t>
  </si>
  <si>
    <t>ISS-1 STORAGE SERVICE</t>
  </si>
  <si>
    <t xml:space="preserve">	79560</t>
  </si>
  <si>
    <t>SS/X-28 STORAGE POINT</t>
  </si>
  <si>
    <t xml:space="preserve">	79561</t>
  </si>
  <si>
    <t>SS/X-28 STORAGE POINT (MAINLINE)</t>
  </si>
  <si>
    <t xml:space="preserve">	79565</t>
  </si>
  <si>
    <t>SS/X-28 STORAGE SERVICE POINT</t>
  </si>
  <si>
    <t xml:space="preserve">	79579</t>
  </si>
  <si>
    <t>VENICE SLUG CATCHER - BTU MAKEUP</t>
  </si>
  <si>
    <t xml:space="preserve">	19970110</t>
  </si>
  <si>
    <t>20190717 06:47:03</t>
  </si>
  <si>
    <t xml:space="preserve">	79581</t>
  </si>
  <si>
    <t>WILCOX PLANT PVR METER</t>
  </si>
  <si>
    <t xml:space="preserve">	79582</t>
  </si>
  <si>
    <t>VENICE PLANT PVR METER</t>
  </si>
  <si>
    <t xml:space="preserve">	79590</t>
  </si>
  <si>
    <t>DISCOVERY PLANT PVR METER</t>
  </si>
  <si>
    <t xml:space="preserve">	20070201</t>
  </si>
  <si>
    <t xml:space="preserve">	79591</t>
  </si>
  <si>
    <t>STX DOWNSTREAM POINT</t>
  </si>
  <si>
    <t xml:space="preserve">	20100401</t>
  </si>
  <si>
    <t xml:space="preserve">	79592</t>
  </si>
  <si>
    <t>ETX DOWNSTREAM POINT</t>
  </si>
  <si>
    <t xml:space="preserve">	79593</t>
  </si>
  <si>
    <t>WLA DOWNSTREAM POINT</t>
  </si>
  <si>
    <t xml:space="preserve">	79594</t>
  </si>
  <si>
    <t>ELA DOWNSTREAM POINT</t>
  </si>
  <si>
    <t xml:space="preserve">	79595</t>
  </si>
  <si>
    <t>MARKET ZONE 1 24  DOWNSTREAM POINT</t>
  </si>
  <si>
    <t>ANDERSON</t>
  </si>
  <si>
    <t xml:space="preserve">	79596</t>
  </si>
  <si>
    <t>MARKET ZONE 1 30  DOWNSTREAM POINT</t>
  </si>
  <si>
    <t xml:space="preserve">	79597</t>
  </si>
  <si>
    <t>MARKET ZONE 2 24  DOWNSTREAM POINT</t>
  </si>
  <si>
    <t xml:space="preserve">	79598</t>
  </si>
  <si>
    <t>MARKET ZONE 2 30  DOWNSTREAM POINT</t>
  </si>
  <si>
    <t xml:space="preserve">	79599</t>
  </si>
  <si>
    <t>MARKET ZONE 3 DOWNSTREAM POINT</t>
  </si>
  <si>
    <t>ALLEGHENY</t>
  </si>
  <si>
    <t xml:space="preserve">	20060501</t>
  </si>
  <si>
    <t xml:space="preserve">	79611</t>
  </si>
  <si>
    <t>STX PAL POINT OF TRANSACTION</t>
  </si>
  <si>
    <t xml:space="preserve">	79612</t>
  </si>
  <si>
    <t>ETX PAL POINT OF TRANSACTION</t>
  </si>
  <si>
    <t xml:space="preserve">	79613</t>
  </si>
  <si>
    <t>WLA PAL POINT OF TRANSACTION</t>
  </si>
  <si>
    <t xml:space="preserve">	79614</t>
  </si>
  <si>
    <t>ELA  PAL POINT OF TRANSACTION</t>
  </si>
  <si>
    <t xml:space="preserve">	79615</t>
  </si>
  <si>
    <t>ZONE M1 24  PAL POINT OF TRANSACTION</t>
  </si>
  <si>
    <t xml:space="preserve">	79616</t>
  </si>
  <si>
    <t>ZONE M1 30  PAL POINT OF TRANSACTION</t>
  </si>
  <si>
    <t xml:space="preserve">	79617</t>
  </si>
  <si>
    <t>ZONE M2 24  PAL POINT OF TRANSACTION</t>
  </si>
  <si>
    <t xml:space="preserve">	79618</t>
  </si>
  <si>
    <t>ZONE M2 30  PAL POINT OF TRANSACTION</t>
  </si>
  <si>
    <t xml:space="preserve">	79619</t>
  </si>
  <si>
    <t>ZONE M3 PAL POINT OF TRANSACTION</t>
  </si>
  <si>
    <t xml:space="preserve">	79660</t>
  </si>
  <si>
    <t>MARIETTA CUSTODY TRANSFER POINT</t>
  </si>
  <si>
    <t xml:space="preserve">	20101101</t>
  </si>
  <si>
    <t xml:space="preserve">	79661</t>
  </si>
  <si>
    <t>CHAMBERSBURG CUSTODY TRANSFER POINT</t>
  </si>
  <si>
    <t xml:space="preserve">	79662</t>
  </si>
  <si>
    <t>DELMONT DISCHARGE CUSTODY TRANSFER POINT</t>
  </si>
  <si>
    <t xml:space="preserve">	79663</t>
  </si>
  <si>
    <t>ELA/M1 (30 ) ILT POINT</t>
  </si>
  <si>
    <t xml:space="preserve">	20030201</t>
  </si>
  <si>
    <t xml:space="preserve">	79664</t>
  </si>
  <si>
    <t>ETX/M1 24   ILT POINT</t>
  </si>
  <si>
    <t xml:space="preserve">	20030211</t>
  </si>
  <si>
    <t xml:space="preserve">	79665</t>
  </si>
  <si>
    <t>M1/M2 30  ILT POINT</t>
  </si>
  <si>
    <t xml:space="preserve">	79666</t>
  </si>
  <si>
    <t>M1/M2 24  ILT POINT</t>
  </si>
  <si>
    <t xml:space="preserve">	79667</t>
  </si>
  <si>
    <t>M2/M3 ILT POINT</t>
  </si>
  <si>
    <t xml:space="preserve">	79668</t>
  </si>
  <si>
    <t>EQUITABLE - CRAYNE, PA CUSTODY TRANSFER POINT</t>
  </si>
  <si>
    <t xml:space="preserve">	20041104</t>
  </si>
  <si>
    <t xml:space="preserve">	79669</t>
  </si>
  <si>
    <t>CARNEGIE - WAYNESBURG, PA CUSTODY TRANSFER POINT</t>
  </si>
  <si>
    <t xml:space="preserve">	79671</t>
  </si>
  <si>
    <t>STX/ETX (24 ) ILT POINT</t>
  </si>
  <si>
    <t xml:space="preserve">	20141101</t>
  </si>
  <si>
    <t xml:space="preserve">	79672</t>
  </si>
  <si>
    <t>WLA/ELA (30 ) ILT POINT</t>
  </si>
  <si>
    <t xml:space="preserve">	79673</t>
  </si>
  <si>
    <t>STX/WLA (30 ) ILT POINT</t>
  </si>
  <si>
    <t xml:space="preserve">	79675</t>
  </si>
  <si>
    <t>CASTOR CUSTODY TRANSFER POINT</t>
  </si>
  <si>
    <t xml:space="preserve">	20171005</t>
  </si>
  <si>
    <t>20191216 07:59:51</t>
  </si>
  <si>
    <t xml:space="preserve">	79700</t>
  </si>
  <si>
    <t>ALGONQUIN GAS TRANSMISSION - LDC ALLOCATION POINT</t>
  </si>
  <si>
    <t xml:space="preserve">	99001</t>
  </si>
  <si>
    <t xml:space="preserve">	79701</t>
  </si>
  <si>
    <t>ALLIED GAS (PENN FUEL) - LDC ALLOCATION POINT</t>
  </si>
  <si>
    <t xml:space="preserve">	20191201</t>
  </si>
  <si>
    <t>20191209 10:03:13</t>
  </si>
  <si>
    <t>USED FOR ALLOCATION PURPOSES</t>
  </si>
  <si>
    <t xml:space="preserve">	79702</t>
  </si>
  <si>
    <t>ARKLA BEEBE,CABOT,LIGHT,MCRAE - LDC ALLOCATION POI</t>
  </si>
  <si>
    <t xml:space="preserve">	79703</t>
  </si>
  <si>
    <t>ARKLA PARAGOULD - LDC ALLOCATION POINT</t>
  </si>
  <si>
    <t xml:space="preserve">	79704</t>
  </si>
  <si>
    <t>ASSOCIATED NATURAL GAS - LDC ALLOCATION POINT</t>
  </si>
  <si>
    <t xml:space="preserve">	79705</t>
  </si>
  <si>
    <t>CARNEGIE NATURAL GAS - LDC ALLOCATION POINT</t>
  </si>
  <si>
    <t>20200521 12:29:38</t>
  </si>
  <si>
    <t xml:space="preserve">	79706</t>
  </si>
  <si>
    <t>CENTRAL ILLINOIS PUBLIC SERVICE - LDC ALLOCATION P</t>
  </si>
  <si>
    <t xml:space="preserve">	79710</t>
  </si>
  <si>
    <t>COLUMBIA GAS (MFGRS) - ZONE M3 - LDC ALLOCATION PO</t>
  </si>
  <si>
    <t xml:space="preserve">	79711</t>
  </si>
  <si>
    <t>EQUITRANS INC - LDC ALLOCATION POINT</t>
  </si>
  <si>
    <t xml:space="preserve">	79712</t>
  </si>
  <si>
    <t>LAWRENCEBURG, CITY OF - LDC ALLOCATION POINT</t>
  </si>
  <si>
    <t xml:space="preserve">	20170203</t>
  </si>
  <si>
    <t>20170203 10:14:01</t>
  </si>
  <si>
    <t xml:space="preserve">	79713</t>
  </si>
  <si>
    <t>LEBANON, CITY OF - LDC ALLOCATION POINT</t>
  </si>
  <si>
    <t xml:space="preserve">	79714</t>
  </si>
  <si>
    <t>MIDWEST BROWNSTOWN &amp; MEDORA - LDC ALLOCATION POINT</t>
  </si>
  <si>
    <t xml:space="preserve">	79715</t>
  </si>
  <si>
    <t>MISSISSIPPI VALLEY AMORY - LDC ALLOCATION POINT</t>
  </si>
  <si>
    <t>20170203 10:13:00</t>
  </si>
  <si>
    <t>MISSISSIPPI VALLEY - AMORY</t>
  </si>
  <si>
    <t xml:space="preserve">	0000005364</t>
  </si>
  <si>
    <t xml:space="preserve">	79716</t>
  </si>
  <si>
    <t>NATIONAL GAS &amp; OIL - LDC ALLOCATION POINT</t>
  </si>
  <si>
    <t xml:space="preserve">	79717</t>
  </si>
  <si>
    <t>NEW JERSEY NATURAL GAS CO. - LDC ALLOCATION POINT</t>
  </si>
  <si>
    <t xml:space="preserve">	79718</t>
  </si>
  <si>
    <t>PECO ENERGY - LDC ALLOCATION POINT</t>
  </si>
  <si>
    <t xml:space="preserve">	79719</t>
  </si>
  <si>
    <t>PHILADELPHIA GAS WORKS - LDC ALLOCATION POINT</t>
  </si>
  <si>
    <t xml:space="preserve">	79720</t>
  </si>
  <si>
    <t>PUBLIC SERVICE - LDC ALLOCATION POINT</t>
  </si>
  <si>
    <t xml:space="preserve">	79721</t>
  </si>
  <si>
    <t>SMYRNA NATURAL GAS SYSTEM, TN - LDC ALLOCATION POI</t>
  </si>
  <si>
    <t xml:space="preserve">	79722</t>
  </si>
  <si>
    <t>SOMERSET, CITY OF - LDC ALLOCATION POINT</t>
  </si>
  <si>
    <t>20200319 10:54:35</t>
  </si>
  <si>
    <t>SOMERSET, KY, CITY OF</t>
  </si>
  <si>
    <t xml:space="preserve">	074049016</t>
  </si>
  <si>
    <t xml:space="preserve">	79723</t>
  </si>
  <si>
    <t>T. W. PHILLIPS GAS &amp; OIL - ZONE M2 LDC ALLOCATION</t>
  </si>
  <si>
    <t xml:space="preserve">	79724</t>
  </si>
  <si>
    <t>UNION ELECTRIC CO. - LDC ALLOCATION POINT</t>
  </si>
  <si>
    <t xml:space="preserve">	79725</t>
  </si>
  <si>
    <t>ATMOS ENERGY CORPORATION, LLC - M1 30  LDC ALLOCATION POINT (TENNE</t>
  </si>
  <si>
    <t xml:space="preserve">	79726</t>
  </si>
  <si>
    <t>NUI CORP (NATIONAL UTILITY INVESTORS) - LDC ALLOCATION POINT</t>
  </si>
  <si>
    <t>MONMOUTH</t>
  </si>
  <si>
    <t xml:space="preserve">	79728</t>
  </si>
  <si>
    <t>UGI UTILITIES INC. - LDC ALLOCATION POINT</t>
  </si>
  <si>
    <t xml:space="preserve">	79729</t>
  </si>
  <si>
    <t>CINCINNATI GAS AND ELECTRIC - LDC ALLOCATION POINT</t>
  </si>
  <si>
    <t>20170203 10:11:17</t>
  </si>
  <si>
    <t xml:space="preserve">	79730</t>
  </si>
  <si>
    <t>SOUTHERN INDIANA GAS &amp; ELECTRIC - LDC ALLOCATION P</t>
  </si>
  <si>
    <t xml:space="preserve">	79731</t>
  </si>
  <si>
    <t>UNITED CITIES - M1 24  LDC ALLOCATION POINT (ILLIN</t>
  </si>
  <si>
    <t xml:space="preserve">	79732</t>
  </si>
  <si>
    <t>POINTE COUPEE PARISH GAS UTILITY DIST.</t>
  </si>
  <si>
    <t>20200316 14:57:20</t>
  </si>
  <si>
    <t xml:space="preserve">	79733</t>
  </si>
  <si>
    <t>TRUNKLINE GAS CO. - LDC ALLOCATION</t>
  </si>
  <si>
    <t>20161222 10:48:38</t>
  </si>
  <si>
    <t xml:space="preserve">	79734</t>
  </si>
  <si>
    <t>CITY OF EDMONTON, KY - LDC ALLOCATION POINT</t>
  </si>
  <si>
    <t xml:space="preserve">	79735</t>
  </si>
  <si>
    <t xml:space="preserve">	79736</t>
  </si>
  <si>
    <t>INDIANA GAS CO - LDC ALLOCATION POINT</t>
  </si>
  <si>
    <t xml:space="preserve">	79737</t>
  </si>
  <si>
    <t>HORTON HIGHWAY UTILITY DISTRICT - LDC ALLOCATION POINT</t>
  </si>
  <si>
    <t xml:space="preserve">	79738</t>
  </si>
  <si>
    <t>PEFS (MAIN PASS) - LDC ALLOCATION POINT</t>
  </si>
  <si>
    <t xml:space="preserve">	79739</t>
  </si>
  <si>
    <t>BROOKLYN UNION - LDC ALLOCATION POINT</t>
  </si>
  <si>
    <t xml:space="preserve">	79740</t>
  </si>
  <si>
    <t>AMEREN - LDC ALLOCATION POINT</t>
  </si>
  <si>
    <t>20170203 10:09:53</t>
  </si>
  <si>
    <t>AMEREN SERVICES COMPANY</t>
  </si>
  <si>
    <t xml:space="preserve">	966851875</t>
  </si>
  <si>
    <t xml:space="preserve">	79741</t>
  </si>
  <si>
    <t>UNITED CITIES MO - LDC ALLOCATION POINT</t>
  </si>
  <si>
    <t xml:space="preserve">	79742</t>
  </si>
  <si>
    <t>EAST OHIO - LDC ACCOUNTING POINT</t>
  </si>
  <si>
    <t xml:space="preserve">	79743</t>
  </si>
  <si>
    <t>PEOPLE'S LDC ALLOCATION POINT</t>
  </si>
  <si>
    <t xml:space="preserve">	79744</t>
  </si>
  <si>
    <t>LAFAYETTE ACCOUNTING POINT</t>
  </si>
  <si>
    <t xml:space="preserve">	79745</t>
  </si>
  <si>
    <t>RED BAY ACCOUNTING POINT</t>
  </si>
  <si>
    <t>TENNESSEE VALLEY AUTHORITY</t>
  </si>
  <si>
    <t xml:space="preserve">	001883032</t>
  </si>
  <si>
    <t xml:space="preserve">	79746</t>
  </si>
  <si>
    <t>DEFS ACCOUNTING POINT</t>
  </si>
  <si>
    <t>20190725 14:24:57</t>
  </si>
  <si>
    <t xml:space="preserve">	79748</t>
  </si>
  <si>
    <t>COLUMBIA GAS-PA (MFGRS.) - ZONE 3- LDC ALLOCATION POINT</t>
  </si>
  <si>
    <t xml:space="preserve">	20050901</t>
  </si>
  <si>
    <t xml:space="preserve">	79749</t>
  </si>
  <si>
    <t>COLUMBIA, KY - LDC ALLOCATION POINT</t>
  </si>
  <si>
    <t>20180918 10:36:20</t>
  </si>
  <si>
    <t xml:space="preserve">	79842</t>
  </si>
  <si>
    <t>TETCO - VIOSCA KNOLL HEAD OF  LATERAL</t>
  </si>
  <si>
    <t>MAIN PASS-SOUTH &amp; EAST</t>
  </si>
  <si>
    <t xml:space="preserve">	79879</t>
  </si>
  <si>
    <t>NGC-GILLIS FOR NOMINATION PURPOSES</t>
  </si>
  <si>
    <t>20170119 17:11:00</t>
  </si>
  <si>
    <t>DYNEGY GAS TRANSPORTATION, INC</t>
  </si>
  <si>
    <t xml:space="preserve">	611767658</t>
  </si>
  <si>
    <t xml:space="preserve">	79883</t>
  </si>
  <si>
    <t>BROOK UN-THRU 70058</t>
  </si>
  <si>
    <t xml:space="preserve">	20000401</t>
  </si>
  <si>
    <t xml:space="preserve">	79887</t>
  </si>
  <si>
    <t>LILCO-(THRU 70058)</t>
  </si>
  <si>
    <t xml:space="preserve">	79921</t>
  </si>
  <si>
    <t>COMPRESSOR STATION 21A (UNIONTOWN) - MAINLINE</t>
  </si>
  <si>
    <t>COM</t>
  </si>
  <si>
    <t xml:space="preserve">	19951127</t>
  </si>
  <si>
    <t xml:space="preserve">	79922</t>
  </si>
  <si>
    <t>EAGLE STATION</t>
  </si>
  <si>
    <t xml:space="preserve">	19960227</t>
  </si>
  <si>
    <t xml:space="preserve">	79923</t>
  </si>
  <si>
    <t>COMPRESSOR STATION 23  (CHAMBERSBURG)</t>
  </si>
  <si>
    <t xml:space="preserve">	40201</t>
  </si>
  <si>
    <t>TET-CHAMBERSBURG</t>
  </si>
  <si>
    <t xml:space="preserve">	79941</t>
  </si>
  <si>
    <t>ANR/TETCO (LEBANON LATERAL-ANR CAPACITY)</t>
  </si>
  <si>
    <t xml:space="preserve">	19990614</t>
  </si>
  <si>
    <t xml:space="preserve">	28447</t>
  </si>
  <si>
    <t>LEBANON - TEXAS EASTERN</t>
  </si>
  <si>
    <t xml:space="preserve">	79948</t>
  </si>
  <si>
    <t>TETCO/AGT NOMINATION POINT</t>
  </si>
  <si>
    <t>20161219 08:13:17</t>
  </si>
  <si>
    <t xml:space="preserve">	210</t>
  </si>
  <si>
    <t xml:space="preserve">	79950</t>
  </si>
  <si>
    <t>TOSCO ACCOUNTING POINT LINDEN</t>
  </si>
  <si>
    <t xml:space="preserve">	20161129</t>
  </si>
  <si>
    <t>20161129 15:09:54</t>
  </si>
  <si>
    <t>TOSCO REFINING, L.P.</t>
  </si>
  <si>
    <t xml:space="preserve">	0000026368</t>
  </si>
  <si>
    <t xml:space="preserve">	79951</t>
  </si>
  <si>
    <t>TETCO LEBANON LATERAL TAKEAWAY POINT - MAINLINE</t>
  </si>
  <si>
    <t xml:space="preserve">	20001027</t>
  </si>
  <si>
    <t xml:space="preserve">	79954</t>
  </si>
  <si>
    <t>IRONWOOD LATERAL ACCTG PT - MAINLINE</t>
  </si>
  <si>
    <t xml:space="preserve">	79958</t>
  </si>
  <si>
    <t>HANOVER, NJ FUEL ACCOUNTING METER</t>
  </si>
  <si>
    <t xml:space="preserve">	20040630</t>
  </si>
  <si>
    <t>20200521 16:22:50</t>
  </si>
  <si>
    <t xml:space="preserve">	79960</t>
  </si>
  <si>
    <t>SUEZ/CHOCTAW</t>
  </si>
  <si>
    <t xml:space="preserve">	20080101</t>
  </si>
  <si>
    <t xml:space="preserve">	79961</t>
  </si>
  <si>
    <t>CEDAR BAYOU LATERAL ACCOUNTING POINT</t>
  </si>
  <si>
    <t xml:space="preserve">	79962</t>
  </si>
  <si>
    <t>CEDAR BAYOU MAINLINE HEAD OF LATERAL ACCOUNTING POINT</t>
  </si>
  <si>
    <t xml:space="preserve">	79965</t>
  </si>
  <si>
    <t>MARIETTA EXTENSION H/L</t>
  </si>
  <si>
    <t xml:space="preserve">	79967</t>
  </si>
  <si>
    <t>WLA CUSTODY TRANSFER POINT</t>
  </si>
  <si>
    <t>20190722 15:24:29</t>
  </si>
  <si>
    <t xml:space="preserve">	79968</t>
  </si>
  <si>
    <t>ELA CUSTODY TRANSFER POINT</t>
  </si>
  <si>
    <t xml:space="preserve">	20140811</t>
  </si>
  <si>
    <t xml:space="preserve">	79970</t>
  </si>
  <si>
    <t>HEAD OF MANHATTAN EXTENSION - MAINLINE</t>
  </si>
  <si>
    <t xml:space="preserve">	79971</t>
  </si>
  <si>
    <t>HEAD OF MANHATTAN EXTENSION - EXTENSION</t>
  </si>
  <si>
    <t xml:space="preserve">	79974</t>
  </si>
  <si>
    <t>M1 30 INCH CUSTODY TRANSFER POINT</t>
  </si>
  <si>
    <t xml:space="preserve">	20161001</t>
  </si>
  <si>
    <t xml:space="preserve">	79975</t>
  </si>
  <si>
    <t>UNIONTOWN WEST</t>
  </si>
  <si>
    <t xml:space="preserve">	20140901</t>
  </si>
  <si>
    <t xml:space="preserve">	79976</t>
  </si>
  <si>
    <t>BAYWAY LATERAL (MAINLINE)</t>
  </si>
  <si>
    <t xml:space="preserve">	79977</t>
  </si>
  <si>
    <t>BAYWAY LATERAL</t>
  </si>
  <si>
    <t xml:space="preserve">	79978</t>
  </si>
  <si>
    <t>NUECES CONNECTOR (MAINLINE)</t>
  </si>
  <si>
    <t xml:space="preserve">	20181031</t>
  </si>
  <si>
    <t xml:space="preserve">	79979</t>
  </si>
  <si>
    <t>NUECES CONNECTOR LATERAL</t>
  </si>
  <si>
    <t xml:space="preserve">	20181221</t>
  </si>
  <si>
    <t xml:space="preserve">	79980</t>
  </si>
  <si>
    <t>UNIONTOWN NORTH</t>
  </si>
  <si>
    <t xml:space="preserve">	20160405</t>
  </si>
  <si>
    <t xml:space="preserve">	79998</t>
  </si>
  <si>
    <t>GATHERING CUSTODY TRANSFER POINT</t>
  </si>
  <si>
    <t>VERMILION-SOUTH</t>
  </si>
  <si>
    <t xml:space="preserve">	20190601</t>
  </si>
  <si>
    <t>20190725 14:25:38</t>
  </si>
  <si>
    <t xml:space="preserve">	79999</t>
  </si>
  <si>
    <t>FLNG - STRATTON RIDGE</t>
  </si>
  <si>
    <t>20191216 14:34:06</t>
  </si>
  <si>
    <t>FREEPORT LNG DEVELOPMENT, L.P.</t>
  </si>
  <si>
    <t xml:space="preserve">	140787743</t>
  </si>
  <si>
    <t>Cycle_Desc</t>
  </si>
  <si>
    <t>Post_Date</t>
  </si>
  <si>
    <t>Eff_Gas_Day</t>
  </si>
  <si>
    <t>Cap_Type_Desc</t>
  </si>
  <si>
    <t>Post_Time</t>
  </si>
  <si>
    <t>Eff_Time</t>
  </si>
  <si>
    <t>Loc_Name</t>
  </si>
  <si>
    <t>Loc_Zn</t>
  </si>
  <si>
    <t>Flow_Ind_Desc</t>
  </si>
  <si>
    <t>Loc_Purp_Desc</t>
  </si>
  <si>
    <t>Loc_QTI_Desc</t>
  </si>
  <si>
    <t>Meas_Basis_Desc</t>
  </si>
  <si>
    <t>IT</t>
  </si>
  <si>
    <t>All_Qty_Avail</t>
  </si>
  <si>
    <t>Total_Design_Capacity</t>
  </si>
  <si>
    <t>Operating_Capacity</t>
  </si>
  <si>
    <t>Total_Scheduled_Quantity</t>
  </si>
  <si>
    <t>Operationally_Available_Capacity</t>
  </si>
  <si>
    <t>TSP_Name</t>
  </si>
  <si>
    <t>INTRDY_2020-08-06_0900</t>
  </si>
  <si>
    <t>Operational Capacity</t>
  </si>
  <si>
    <t>Dominion Energy Transmission, Inc - Clarington, OH</t>
  </si>
  <si>
    <t>Delivery</t>
  </si>
  <si>
    <t>Delivery Location</t>
  </si>
  <si>
    <t>Delivery Point Quantity</t>
  </si>
  <si>
    <t>MMBtu</t>
  </si>
  <si>
    <t>TX EAST TRAN</t>
  </si>
  <si>
    <t>Columbia Gas of  PA.  - Eagle, PA</t>
  </si>
  <si>
    <t>Indiana Gas - Greensburg, IN</t>
  </si>
  <si>
    <t>Indiana Gas - Seymour, IN</t>
  </si>
  <si>
    <t>Equitrans - Waynesburg, PA</t>
  </si>
  <si>
    <t>Philadelphia Gas Works - Point Breeze,PA</t>
  </si>
  <si>
    <t>PECO Energy - Cromby Generation, PA</t>
  </si>
  <si>
    <t>Philadelphia Gas Works - Levick St., PA</t>
  </si>
  <si>
    <t>PECO Energy - Tilghman St. - Chester, PA</t>
  </si>
  <si>
    <t>PECO Energy - West Conshohocken, PA</t>
  </si>
  <si>
    <t>United Cities - Harrisburg, IL</t>
  </si>
  <si>
    <t>Central Il. - New Dennison, IL</t>
  </si>
  <si>
    <t>Columbia Gas - Lebanon, OH</t>
  </si>
  <si>
    <t>Union Elec -Cape Girardeau, MO</t>
  </si>
  <si>
    <t>Union Electric - Dexter, MO</t>
  </si>
  <si>
    <t>PEOPLES NAT - Somerset, PA</t>
  </si>
  <si>
    <t>Columbia Gas of  PA. -  (Uniontown)</t>
  </si>
  <si>
    <t>Public Service - South Plainfield, NJ</t>
  </si>
  <si>
    <t>National Grid Metro NY, Goethals Rd., Staten Island, Richmond Co.,</t>
  </si>
  <si>
    <t>Chevron - Perth Amboy, NJ</t>
  </si>
  <si>
    <t>Atmos Energy Corporation - Scott Co, MO</t>
  </si>
  <si>
    <t>Nat Gas &amp; Oil - Somerset, OH</t>
  </si>
  <si>
    <t>Huntingburg, IN</t>
  </si>
  <si>
    <t>Texas Gas Transmission - Lisbon, LA  (Delivery)</t>
  </si>
  <si>
    <t>Public Service - Sewaren, NJ</t>
  </si>
  <si>
    <t>UGI Utilities, Inc. (Columbia Gas)  - Columbia, PA</t>
  </si>
  <si>
    <t>UGI Utilities, Inc. (Columbia Gas) -Lancaster, PA</t>
  </si>
  <si>
    <t>Columbia Gas - Hooker, OH</t>
  </si>
  <si>
    <t>Atmos Energy Corporation- Jim Hill, MO</t>
  </si>
  <si>
    <t>Columbia Gas - Sabina, OH</t>
  </si>
  <si>
    <t>Algonquin - Lambertville, NJ</t>
  </si>
  <si>
    <t>Consumers Gas Co. - Carmi, IL</t>
  </si>
  <si>
    <t>Somerset Gas - Casey Co., KY</t>
  </si>
  <si>
    <t>Norris City, IL</t>
  </si>
  <si>
    <t>Jasper, IN</t>
  </si>
  <si>
    <t>Nat Gas - Caldwell, OH</t>
  </si>
  <si>
    <t>UGI CENTRAL - Shippensburg - Oxford, PA</t>
  </si>
  <si>
    <t>Fulton, MS</t>
  </si>
  <si>
    <t>Belmont, MS</t>
  </si>
  <si>
    <t>Red Bay, AL</t>
  </si>
  <si>
    <t>Lawrenceburg Gas - TN</t>
  </si>
  <si>
    <t>Unit Cities - Murfreesboro, TN</t>
  </si>
  <si>
    <t>Lafayette, TN</t>
  </si>
  <si>
    <t>Arkla Inc. - Cabot, AR</t>
  </si>
  <si>
    <t>Arkla Inc. - Beebe, AR</t>
  </si>
  <si>
    <t>Arkla Inc. - Light, AR</t>
  </si>
  <si>
    <t>Assoc Nat Gas - Piggott, AR</t>
  </si>
  <si>
    <t>Chambersburg, PA</t>
  </si>
  <si>
    <t>Cairo, Public</t>
  </si>
  <si>
    <t>Miss River Fuel Transmission - Bald Knob, AR (REC)</t>
  </si>
  <si>
    <t>Receipt</t>
  </si>
  <si>
    <t>Receipt Location</t>
  </si>
  <si>
    <t>Receipt Point Quantity</t>
  </si>
  <si>
    <t>Public Service - Linden, NJ</t>
  </si>
  <si>
    <t>Newman Corp. - Harrison Co., TX (Receipt)</t>
  </si>
  <si>
    <t>Smith (Harvey Broyle)#2 Murphy-Bryceland, Bienville Psh., LA</t>
  </si>
  <si>
    <t>Texas Gas Transmission LLC - Lebanon, OH</t>
  </si>
  <si>
    <t>Hughes Eastern - Chickasaw, MS</t>
  </si>
  <si>
    <t>Transco - Linden, NJ - DEL</t>
  </si>
  <si>
    <t>Transco - Skippack, PA - REC</t>
  </si>
  <si>
    <t>UGI CENTRAL - Huntingdon Gas - Huntingdon, PA</t>
  </si>
  <si>
    <t>Elizabethtown Gas Company - Elizabeth, NJ</t>
  </si>
  <si>
    <t>TGC Lick Creek - Williamson Co., Il (To TE)</t>
  </si>
  <si>
    <t>Anna, IL</t>
  </si>
  <si>
    <t>Mississippi Valley - McCool, MS</t>
  </si>
  <si>
    <t>Florence, AL</t>
  </si>
  <si>
    <t>UGI CENTRAL - Lewistown - Juniata Co., PA</t>
  </si>
  <si>
    <t>UGI CENTRAL - Pottsville Gas - Berks Co., PA</t>
  </si>
  <si>
    <t>Columbia, KY</t>
  </si>
  <si>
    <t>Smyrna, TN</t>
  </si>
  <si>
    <t>Hartsville Gas - Trousdale, TN</t>
  </si>
  <si>
    <t>UGI Utilities, Inc. (Columbia Gas) - Lebanon, PA</t>
  </si>
  <si>
    <t>UGI UTIL (Columbia Gas) - Reading, PA</t>
  </si>
  <si>
    <t>PEOPLES NAT - Claysburg, PA</t>
  </si>
  <si>
    <t>Union Elec. - Bloomfield, MO</t>
  </si>
  <si>
    <t>Magnum Producing, LP - May, TX</t>
  </si>
  <si>
    <t>Dominion Energy Transmission, Inc - Moundsville, WV</t>
  </si>
  <si>
    <t>United Cities - Franklin, TN</t>
  </si>
  <si>
    <t>Bernie, MO</t>
  </si>
  <si>
    <t>Gloster, MS</t>
  </si>
  <si>
    <t>Meadville, MS</t>
  </si>
  <si>
    <t>Bude, MS</t>
  </si>
  <si>
    <t>Flora, MS</t>
  </si>
  <si>
    <t>Edmonton, KY</t>
  </si>
  <si>
    <t>Tompkinsville, KY</t>
  </si>
  <si>
    <t>Pulaski, TN</t>
  </si>
  <si>
    <t>Grayville, IL</t>
  </si>
  <si>
    <t>Crossville, IL</t>
  </si>
  <si>
    <t>Public Service - Central Works, NJ</t>
  </si>
  <si>
    <t>Lawrenceburg, TN</t>
  </si>
  <si>
    <t>PEOPLES NAT - Ebensburg, PA</t>
  </si>
  <si>
    <t>UGI CENTRAL - Counties Gas Co. - Mifflin Co., PA</t>
  </si>
  <si>
    <t>Columbia Gas - Corwin, OH</t>
  </si>
  <si>
    <t>Dominion Transmission Inc - Woodsfield, OH</t>
  </si>
  <si>
    <t>Texana Midstream Company LP</t>
  </si>
  <si>
    <t>ETC Texas Pipeline, LTD-Sealy, TX- DEL (B/D 73311)</t>
  </si>
  <si>
    <t>New Harmony, IL</t>
  </si>
  <si>
    <t>Horton Highway - Triune, TN</t>
  </si>
  <si>
    <t>UGI UTIL (Columbia Gas) - Womelsdorf, PA</t>
  </si>
  <si>
    <t>PECO - Alan Wood Steel, PA</t>
  </si>
  <si>
    <t>UGI UTIL (Columbia Gas) - Dauphin Co., PA</t>
  </si>
  <si>
    <t>Duke Energy Ohio, Inc. Dicks Creek</t>
  </si>
  <si>
    <t>Atmos Energy - Amory, MS</t>
  </si>
  <si>
    <t>Atmos Energy Corporation- Benton, MO</t>
  </si>
  <si>
    <t>S.I.G. &amp; Elec -Ft. Branch, IN</t>
  </si>
  <si>
    <t>Starks Utilities - Starks, LA</t>
  </si>
  <si>
    <t>TE Todhunter - Todhunter, OH</t>
  </si>
  <si>
    <t>Batesville, IN</t>
  </si>
  <si>
    <t>Columbia Gas of  PA.  - Rockwood, PA</t>
  </si>
  <si>
    <t>Midwest Nat. - Brownstown, IN</t>
  </si>
  <si>
    <t>Midwest Nat. -North Vernon, IN</t>
  </si>
  <si>
    <t>Elizabethtown Gas Company - Ringoes, NJ</t>
  </si>
  <si>
    <t>B&amp;T Oil Co., Yoward C.P. - Bee Co., TX</t>
  </si>
  <si>
    <t>Linn Exchange Properties, LLC-Southwest Gohlke CP - Victoria, TX</t>
  </si>
  <si>
    <t>Mosbacher-Morgan #1, Live Oak Co. TX</t>
  </si>
  <si>
    <t>NOG Production &amp; Operating LLC- #1 Children's Home - Bee Co.,TX</t>
  </si>
  <si>
    <t>Inca Oil &amp; Gas Co..-#1 Wilkinson,Goliad Co., TX</t>
  </si>
  <si>
    <t>Gulf South Pipeline, LP - Huntsville, TX  (Delivery)</t>
  </si>
  <si>
    <t>Duke Energy Ohio Inc. Millville</t>
  </si>
  <si>
    <t>Britanco, LLC Wilcox - Tuleta CP, Bee Co., TX</t>
  </si>
  <si>
    <t>Texaco - Altair, Colorado Co., TX</t>
  </si>
  <si>
    <t>Consumers Gas Co. - Omaha, IL</t>
  </si>
  <si>
    <t>Indiana Gas - French Lick, IN</t>
  </si>
  <si>
    <t>Indiana Gas Co. - Westport, IN</t>
  </si>
  <si>
    <t>Lawrenceburg Gas, IN</t>
  </si>
  <si>
    <t>Public Service - Hanover, NJ</t>
  </si>
  <si>
    <t>New Jersey Natural - Freehold, NJ</t>
  </si>
  <si>
    <t>Hurst - Siloam, MS</t>
  </si>
  <si>
    <t>NGC Energy Resources - Sligo Gas Plant, LA  (Receipt)</t>
  </si>
  <si>
    <t>Dominion Transmission Inc - Powhatan Point, OH</t>
  </si>
  <si>
    <t>Columbia Gas - New Holland, OH</t>
  </si>
  <si>
    <t>Gulf South Pipeline Company, LP - West Monroe, LA  (Receipt)</t>
  </si>
  <si>
    <t>TE Princeton - Princeton, IN</t>
  </si>
  <si>
    <t>Col Gas (DPL) -Bowersville, OH</t>
  </si>
  <si>
    <t>Union Electric - Vanduser, MO</t>
  </si>
  <si>
    <t>Harrisburg, AR</t>
  </si>
  <si>
    <t>Elizabethtown Gas Company - Perth Amboy, NJ</t>
  </si>
  <si>
    <t>New Jersey Natural - Hanover, NJ</t>
  </si>
  <si>
    <t>Algonquin - Hanover, NJ</t>
  </si>
  <si>
    <t>Community Gas - Cynthiana, IN</t>
  </si>
  <si>
    <t>Assoc Natural Gas - Bernie, MO</t>
  </si>
  <si>
    <t>Vernon Faulkner-San Salvador Field - Hidalgo Co., TX  (REC)</t>
  </si>
  <si>
    <t>UGI CENTRAL - Interboro Gas - Bellville, PA</t>
  </si>
  <si>
    <t>UGI CENTRAL - Twin Gas - Bedford, PA</t>
  </si>
  <si>
    <t>Midwest Nat. Gas - Medora, IN</t>
  </si>
  <si>
    <t>UGI CENTRAL - Valley Gas - Martinsburg, PA</t>
  </si>
  <si>
    <t>Poseyville, IN</t>
  </si>
  <si>
    <t>Public Service - Bound Brook, NJ</t>
  </si>
  <si>
    <t>Targa Resources - Venice, LA</t>
  </si>
  <si>
    <t>Public Service - Wanaque, NJ</t>
  </si>
  <si>
    <t>TE - LBI Instrument Gas - Greensburg, PA</t>
  </si>
  <si>
    <t>Columbia Gas of Pa. - York co. Pa.</t>
  </si>
  <si>
    <t>PECO Energy - E. Greenville, PA</t>
  </si>
  <si>
    <t>Mississippi Gas Corp. - Reeves, LA</t>
  </si>
  <si>
    <t>Enfield, IL</t>
  </si>
  <si>
    <t>Utica, MS</t>
  </si>
  <si>
    <t>Cen Il Pub Serv -Goreville, IL</t>
  </si>
  <si>
    <t>Liberty, KY</t>
  </si>
  <si>
    <t>Gas Util Dist #2 - Lottie, LA</t>
  </si>
  <si>
    <t>Gas Util Dist #2 - New Roads, LA</t>
  </si>
  <si>
    <t>Britanco, LLC - Loma Alta Hagist CP, Duval Co., TX</t>
  </si>
  <si>
    <t>Loretto, TN</t>
  </si>
  <si>
    <t>Weir, Choctaw Co., MS</t>
  </si>
  <si>
    <t>E.Tennessee Gas - Mt. Pleasant, Giles Co. TN -DEL (B/D 76298)</t>
  </si>
  <si>
    <t>East Tenn Gas - Hartsville, TN</t>
  </si>
  <si>
    <t>Thebes, IL</t>
  </si>
  <si>
    <t>Col. Gas - East Middletown, OH</t>
  </si>
  <si>
    <t>Jonesboro, IL</t>
  </si>
  <si>
    <t>Columbia Gas of  PA.  - Pleasant Gap, PA</t>
  </si>
  <si>
    <t>Osgood, IN</t>
  </si>
  <si>
    <t>United Cities - Galatia, IL</t>
  </si>
  <si>
    <t>Creal Springs, IL</t>
  </si>
  <si>
    <t>New Jersey Natural - Montville, NJ</t>
  </si>
  <si>
    <t>New Roads, LA</t>
  </si>
  <si>
    <t>Morganza, LA</t>
  </si>
  <si>
    <t>Mantachie Gas Dist -Fulton, MS</t>
  </si>
  <si>
    <t>United Cities -Nolensville, TN</t>
  </si>
  <si>
    <t>Cleco Energy - Chireno #1, TX  (Delivery)</t>
  </si>
  <si>
    <t>Cleco Energy - Chireno #2, TX  (Delivery)</t>
  </si>
  <si>
    <t>UGI CENTRAL - Dauphin Co. Gas - Annville, PA</t>
  </si>
  <si>
    <t>Indiana Gas Co. - Dubois, IN</t>
  </si>
  <si>
    <t>UGI CENTRAL - Huntingdon Gas - Mapleton, PA</t>
  </si>
  <si>
    <t>UGI UTIL (Columbia Gas) - Rich Hill, PA</t>
  </si>
  <si>
    <t>Tamms, IL</t>
  </si>
  <si>
    <t>Public Service - Hillsborough, NJ</t>
  </si>
  <si>
    <t>Atmos Energy Corporation - Qulin, MO</t>
  </si>
  <si>
    <t>Mississippi Gas - LeBlanc, LA</t>
  </si>
  <si>
    <t>GULF SOUTH PIPELINE COMPANY - Gillis, LA</t>
  </si>
  <si>
    <t>GULF SOUTH PIPELINE COMPANY - Opelousas, LA</t>
  </si>
  <si>
    <t>GULF SOUTH PIPELINE COMPANY, LP - Canton, MS</t>
  </si>
  <si>
    <t>Henderson Petroleum Corp.-SW Lake Boeuf Lafourche Psh.,LA</t>
  </si>
  <si>
    <t>Cen Il Pub Serv -Broughton, IL</t>
  </si>
  <si>
    <t>UGI UTIL (Columbia Gas) - Lancaster, PA</t>
  </si>
  <si>
    <t>Fieldwood Energy</t>
  </si>
  <si>
    <t>Victoria Operating - Anna Barre Field, Dewitt Co., TX  (REC)</t>
  </si>
  <si>
    <t>Col. Gas - Fairfield Co., OH</t>
  </si>
  <si>
    <t>Dominion Energy Transmission, Inc - South Oakford - Oakford Storag</t>
  </si>
  <si>
    <t>Storage Withdrawal</t>
  </si>
  <si>
    <t>Withdrawal Point</t>
  </si>
  <si>
    <t>Storage withdrawal quantity</t>
  </si>
  <si>
    <t>PEOPLES NAT - Rager Mountain, PA</t>
  </si>
  <si>
    <t>Philadelphia Gas Works Penrose (Eastwick)-Philadelphia, PA</t>
  </si>
  <si>
    <t>Gulf South Pipeline Company, LP - Darnell, LA  (Delivery)</t>
  </si>
  <si>
    <t>NorAm - Shelby Co., TX  (Receipt)</t>
  </si>
  <si>
    <t>NorAm - Jefferson #2, TX  (Delivery)</t>
  </si>
  <si>
    <t>Trunkline - Beauregard Psh., LA</t>
  </si>
  <si>
    <t>Dominion Energy Transmission, Inc - Perulack, PA</t>
  </si>
  <si>
    <t>Dominion Energy Transmission, Inc - Chambersburg, PA</t>
  </si>
  <si>
    <t>Columbia Gulf - St. Landry Psh., LA</t>
  </si>
  <si>
    <t>James L. Nelson - Junker, Dewitt Co., TX</t>
  </si>
  <si>
    <t>Alcoa-Lavaca Pipeline - Calhoun, TX  (Delivery)</t>
  </si>
  <si>
    <t>ANR P/L Co. - French Lick, IN</t>
  </si>
  <si>
    <t>Ohio Intrastate Energy, LLC  (Ford) - Butler Co., OH</t>
  </si>
  <si>
    <t>Britanco, LLC - #1D Goree, Bee Co., TX</t>
  </si>
  <si>
    <t>Britlind Oil, LLC. - #1 Brown, St.Landry Psh., LA</t>
  </si>
  <si>
    <t>MAGNUM PRODUCING, LP - #1 Kean, Pt. Coupee Psh., LA</t>
  </si>
  <si>
    <t>Scorpion Oil&amp;Gas, LLC-#1 Faulkner - Pontotoc, MS</t>
  </si>
  <si>
    <t>Enbridge Pipelines (East Texas) LP -Longview/Gregg Co., TX</t>
  </si>
  <si>
    <t>UGI UTIL - (Grantville) Hershey, PA</t>
  </si>
  <si>
    <t>Cin Gas &amp; Elec -Butler Co., OH</t>
  </si>
  <si>
    <t>PECO Energy - Planebrook Chester Co., PA</t>
  </si>
  <si>
    <t>NGO (Miller) - Butler Co., OH</t>
  </si>
  <si>
    <t>#2 Oakland / Cass, TX  (Receipt)</t>
  </si>
  <si>
    <t>Great Lakes Energy Partners.- #1 Tex. Gulf-Centre Co., PA</t>
  </si>
  <si>
    <t>Welder Exploration&amp;Production- #1 Young, Bee Co., TX</t>
  </si>
  <si>
    <t>Marshall Exploration - #1 Resch / Harrison Co., TX  (REC)</t>
  </si>
  <si>
    <t>Renaissance Offshore</t>
  </si>
  <si>
    <t>Fieldwood Energy - WD 86</t>
  </si>
  <si>
    <t>Fieldwood Energy  SP 89-B</t>
  </si>
  <si>
    <t>Avery Gas - Chicksaw Co., MS</t>
  </si>
  <si>
    <t>Mar. Oil -Murphree -Monroe, MS</t>
  </si>
  <si>
    <t>Dewbre Petroleum/Allen East A</t>
  </si>
  <si>
    <t>GULF SOUTH PIPELINE COMPANY, LP - Raceland, LA</t>
  </si>
  <si>
    <t>Kennett - Dunklin Co., MO</t>
  </si>
  <si>
    <t>Cypress Gas Pipeline Co.- W. Baton Rouge Psh., LA</t>
  </si>
  <si>
    <t>New Jersey Natural - Jamesburg, NJ</t>
  </si>
  <si>
    <t>Dewbre Petroleum-Valderas #1 /  Hidalgo County, TX  (REC)</t>
  </si>
  <si>
    <t>Enterprise Texas Pipeline LLC - Lavaca County, TX  (REC)</t>
  </si>
  <si>
    <t>Tri-Union Dev. Corp.-#1 Wright /  Goliad County, TX  (REC)</t>
  </si>
  <si>
    <t>#1 Davis /  Cass County, TX  (REC)</t>
  </si>
  <si>
    <t>Public Service - Woodbridge,NJ</t>
  </si>
  <si>
    <t>Gulf Coast Pipeline Company - #1 Minarcik/ Colorado Co., TX</t>
  </si>
  <si>
    <t>Vernon E. Faulconer, Inc.- #1 Stewart, Kenedy Co., TX (REC)</t>
  </si>
  <si>
    <t>Mineral Development, Inc. - Smith / DeSoto Psh., LA</t>
  </si>
  <si>
    <t>Jeems Bayou - #1 Calhoun /  Desoto Psh., LA</t>
  </si>
  <si>
    <t>Chaparral Energy, L.L.C. -   #1 Hester, Goliad Co., TX</t>
  </si>
  <si>
    <t>Energy XXI GOM, LLC-SP 93</t>
  </si>
  <si>
    <t>Scorpion Oil&amp;Gas, LLC</t>
  </si>
  <si>
    <t>Miss. Valley Gas - Hinds Co., MS</t>
  </si>
  <si>
    <t>Seneca Resources - #1 Garza, Hidalgo Co., TX</t>
  </si>
  <si>
    <t>Houston Pipe Line Co.-Enerfin Lyondell Sys./ Harris Co., TX</t>
  </si>
  <si>
    <t>Entergy Sabine Power Station - Orange Co., TX</t>
  </si>
  <si>
    <t>PECO Energy - Hatfield, PA</t>
  </si>
  <si>
    <t>Wilmar Pipeline, Inc.  - #1 Duncan Slough, Matagorda Co., TX</t>
  </si>
  <si>
    <t>GMT Gas Marketing - #1 Val Holtz, DeWitt Co., TX (REC)</t>
  </si>
  <si>
    <t>Tracy Production Co. - #1 Fulton Fuller, Nacogdoches Co., TX</t>
  </si>
  <si>
    <t>Bowles Properties - #1 Cherry /  Rusk County, TX</t>
  </si>
  <si>
    <t>Noram - Bald Knob - White, AR</t>
  </si>
  <si>
    <t>Gibraltar Energy Company - Clay Co., MS</t>
  </si>
  <si>
    <t>Howell Oil &amp; Gas, Inc. - Gooch-Gant Fields CP, Harrison Co.,TX</t>
  </si>
  <si>
    <t>T &amp; F Exploration, LP., MM - Somerset Co., PA</t>
  </si>
  <si>
    <t>Kentucky Energy - Metcalfe, KY</t>
  </si>
  <si>
    <t>American Midstream  Tenn Intrastate - Colbert Co., AL</t>
  </si>
  <si>
    <t>Enable Gas Transmission - West Monroe, LA</t>
  </si>
  <si>
    <t>UGI UTIL (Columbia Gas) - Bally, PA</t>
  </si>
  <si>
    <t>Southcross Mississippi Pipeline, LP- Hinds, MS - DEL (B/D 76580)</t>
  </si>
  <si>
    <t>Woodward Marketing - San Jacinto County, TX</t>
  </si>
  <si>
    <t>NRG - Big Cajun Electric, Coupee Psh., LA</t>
  </si>
  <si>
    <t>TransTexas Transm Corp. - Nueces Co., TX</t>
  </si>
  <si>
    <t>MHT -Energy Mktg. -Monroe, MS</t>
  </si>
  <si>
    <t>Arkla -McRae Junct. -White, AR</t>
  </si>
  <si>
    <t>Enterprise Texas Pipeline LLC - Matagorda County, TX  (REC)</t>
  </si>
  <si>
    <t>Kinder Morgan Tejas (from TE) upRiver Rd., Nueces Co</t>
  </si>
  <si>
    <t>Entergy Louisiana,LLC Beauregard Psh., LA</t>
  </si>
  <si>
    <t>Transok - Ouachita Psh., LA</t>
  </si>
  <si>
    <t>Cantium, LLC - MP 30</t>
  </si>
  <si>
    <t>Williams Field Services  - Duval Co., TX</t>
  </si>
  <si>
    <t>Wing Corp - C.P., Dewitt County, TX (REC)</t>
  </si>
  <si>
    <t>PECO Energy - Montgomery Co., PA</t>
  </si>
  <si>
    <t>Columbia Gas - Pickaway Co. OH</t>
  </si>
  <si>
    <t>So. Ind. Gas &amp; El. -Posey, IN</t>
  </si>
  <si>
    <t>Sun R&amp;M - Philadelphia Co., PA</t>
  </si>
  <si>
    <t>BlueStone Natural Resources, LLC- Bonne Terre Field, McMullen Co.,</t>
  </si>
  <si>
    <t>Enterprise Texas Pipeline LLC - Calhoun County, TX  (REC)</t>
  </si>
  <si>
    <t>Itawamba Gas -Itawamba Co., MS</t>
  </si>
  <si>
    <t>United Gas &amp; Minerals - #1 Goff, Wharton County, TX</t>
  </si>
  <si>
    <t>Lebanon #2 - Wilson Co., TN</t>
  </si>
  <si>
    <t>Associated Natural Gas Inc. - Wilkinson Co., MS</t>
  </si>
  <si>
    <t>NCL Natural Resources, LLC (Eastern States Expl)- Centre Co., PA</t>
  </si>
  <si>
    <t>Odegard Energy - Chickasaw, MS</t>
  </si>
  <si>
    <t>Enterprise Texas Pipeline LLC Hildalgo County, TX (REC)</t>
  </si>
  <si>
    <t>Smith Oper. (Harvey Broyle M.P. 0.00) - Bienville Psh. La</t>
  </si>
  <si>
    <t>Abraxas Petroleum Corp.- Tipton Lease / Goliad Co., TX (REC)</t>
  </si>
  <si>
    <t>Rio Grande Royalty Co., Inc. - Rio Grande #1/Hidalgo Co., TX</t>
  </si>
  <si>
    <t>PECO Energy - Collegeville, PA.</t>
  </si>
  <si>
    <t>Bishop Pipeline - Estate Tract 66-72 #1, Calhoun Co., TX</t>
  </si>
  <si>
    <t>NGPL Sweet Lake - Cameron Psh., LA</t>
  </si>
  <si>
    <t>Hamilton, OH</t>
  </si>
  <si>
    <t>Dominion Exploration &amp; Production, Inc.</t>
  </si>
  <si>
    <t>Comstock Resources -  #1 Desoto - Desoto Psh., LA</t>
  </si>
  <si>
    <t>Mid Louisiana - W. Feleciana Psh., LA</t>
  </si>
  <si>
    <t>Assoc. Natural Gas, Inc. -  Lateral - Lavaca Co., TX</t>
  </si>
  <si>
    <t>City Of Fulton - Itawamba Co., MS</t>
  </si>
  <si>
    <t>RBS Gas Util. - Macon Co., TN</t>
  </si>
  <si>
    <t>Northstar Offshore- South Pass 86</t>
  </si>
  <si>
    <t>Talon Energy LLC-Paul T Ray - LaFourche Psh., LA</t>
  </si>
  <si>
    <t>Monument Pipeline, LP - Harris County, TX</t>
  </si>
  <si>
    <t>Ozark Gas - Greene Co., AR</t>
  </si>
  <si>
    <t>ENI Petroleum US LLC - 365 MC, LA</t>
  </si>
  <si>
    <t>Onalaska Water &amp; Gas Corporation - Polk County, TX</t>
  </si>
  <si>
    <t>Exchange Oil &amp; Gas - Wilkinson Co., MS</t>
  </si>
  <si>
    <t>Delmarva Power &amp; Light - New Castle, DE (Ultra Sonic Mtrs)</t>
  </si>
  <si>
    <t>NorAm -  Bodcaw, AR</t>
  </si>
  <si>
    <t>St. Joseph - Lawrence Co., TN</t>
  </si>
  <si>
    <t>Denbury Onshore, LLC</t>
  </si>
  <si>
    <t>Louisiana Intrastate Gas - Iberville Psh., LA (DEL)</t>
  </si>
  <si>
    <t>Enterprise Texas Pipeline, LLC - Panola County, TX (REC)</t>
  </si>
  <si>
    <t>Desco Oil Company - Cameron Psh., LA</t>
  </si>
  <si>
    <t>ANR - Glen Karn - (72903)</t>
  </si>
  <si>
    <t>Vectren Ohio - Glen Karn, OH (PEPL 02831)</t>
  </si>
  <si>
    <t>Dayton Pwr. &amp; Lt. -Castine, OH</t>
  </si>
  <si>
    <t>Duke Energy Ohio Inc. Springboro, Franklin, OH</t>
  </si>
  <si>
    <t>Dayton Pwr &amp; Lt - Red Lion, OH</t>
  </si>
  <si>
    <t>Gas Chrom @ CW-DTI (I-O) &amp; LEBANON, OH - (72910)</t>
  </si>
  <si>
    <t>Col. Gas (I-O) &amp; Lebanon, OH</t>
  </si>
  <si>
    <t>Talos - VK 203</t>
  </si>
  <si>
    <t>Kent. Util. - Garrard Co., KY</t>
  </si>
  <si>
    <t>PECO Energy - Eddystone, Delaware Co., PA</t>
  </si>
  <si>
    <t>Chandeleur Pipe Line Co. (Cantium, LLC) - MP 41L</t>
  </si>
  <si>
    <t>Columbia Gas (N.W.L. Corp.) - Fayette Co., PA</t>
  </si>
  <si>
    <t>Public Service - Jamesburg - Middlesex Co., NJ</t>
  </si>
  <si>
    <t>Aptian Gas Corp., K.W. Schreiner #1 - Live Oak Co., TX</t>
  </si>
  <si>
    <t>Mid Tn Gas Dist - Wilson, TN</t>
  </si>
  <si>
    <t>Auburn Enterprises - Kerlick #1, Dewitt, TX</t>
  </si>
  <si>
    <t>Elliot Oil &amp; Gas, Browder #C-1, San Jacinto Co., TX (REC)</t>
  </si>
  <si>
    <t>M.E.Operating &amp; Services- Wright #1 - Colorado Co., TX</t>
  </si>
  <si>
    <t>Atmos Energy -Monroe, MS</t>
  </si>
  <si>
    <t>Walter Oil &amp; Gas - WD 106</t>
  </si>
  <si>
    <t>PECO - Doylestown, Bucks Co., PA</t>
  </si>
  <si>
    <t>EQM Gathering Opco - Westmoreland Co., PA</t>
  </si>
  <si>
    <t>MVG - Madison Co., MS</t>
  </si>
  <si>
    <t>Edmonton #2 - Metcalfe Co., KY</t>
  </si>
  <si>
    <t>Rovig Mineral-SWLB Field,LaFourche Parish, LA, Lafourche, LA</t>
  </si>
  <si>
    <t>American Explorer - Shore Oil #1 - Lafourche Psh., La</t>
  </si>
  <si>
    <t>UGI UTIL - Mt. Pleasant, Berks Co. , PA</t>
  </si>
  <si>
    <t>Atmos Energy, TN (B/D 76025)</t>
  </si>
  <si>
    <t>Fieldwood Energy - SP 87-D</t>
  </si>
  <si>
    <t>Mississippi Valley - Clay Co., MS</t>
  </si>
  <si>
    <t>Four Square Gas Co., Inc. (Chireno #3) -  Shelby Co., TX</t>
  </si>
  <si>
    <t>Atlas America - Joseph MM, Fayette Co., Pa</t>
  </si>
  <si>
    <t>PGW - Harkness Point - Philadelphia, PA</t>
  </si>
  <si>
    <t>Elizabethtown Gas Company - Union Co., NJ</t>
  </si>
  <si>
    <t>Brammer Engineering, Inc. -Green Gas Unit #1 - Harrison Co., TX</t>
  </si>
  <si>
    <t>Centana Gathering Co. MP 225,LA</t>
  </si>
  <si>
    <t>Noble - VK 826</t>
  </si>
  <si>
    <t>W &amp; T Offshore,Inc. Blk 279 Verm. LAO</t>
  </si>
  <si>
    <t>Shell Offshore , WD 143, - LAO</t>
  </si>
  <si>
    <t>Atmos Energy - Columbia, TN</t>
  </si>
  <si>
    <t>Eagle Natural Gas -Lake Boeuf, Lafourche Psh., LA - TEST</t>
  </si>
  <si>
    <t>Smyrna #3 - Rutherford Co., TN</t>
  </si>
  <si>
    <t>venice-Delivery into Plant</t>
  </si>
  <si>
    <t>Interstate Energy Company (I.E.C.) - Bucks Co., PA</t>
  </si>
  <si>
    <t>Verado Energy, Inc. - Young #3 - Rusk County, TX</t>
  </si>
  <si>
    <t>Dayton Pwr &amp; Lt - Clinton, OH</t>
  </si>
  <si>
    <t>Federal Bureau of Prison - Yazoo Co. MS</t>
  </si>
  <si>
    <t>Horton Hwy Dist #2 - Maury, TN</t>
  </si>
  <si>
    <t>Red Bay #2, Franklin Co. Al.</t>
  </si>
  <si>
    <t>Great Lake Energy - Fayette Co. ,PA</t>
  </si>
  <si>
    <t>Enterprise Texas Pipeline LLC - Hidalgo County, TX</t>
  </si>
  <si>
    <t>Douglas Oil &amp; Gas - Fayette Co., PA</t>
  </si>
  <si>
    <t>Shell Gulf of Mexico- Hidalgo Co., TX</t>
  </si>
  <si>
    <t>Paulsboro Refinery</t>
  </si>
  <si>
    <t>Delta Nat Gas - Madison Co, KY</t>
  </si>
  <si>
    <t>Atlas Pipeline Pa. LLC - Fayette Co., PA</t>
  </si>
  <si>
    <t>PanEnergy Field Services - Lincoln Parish, LA</t>
  </si>
  <si>
    <t>PECO Energy - MONTGOMERY CO., PA (Center Point)</t>
  </si>
  <si>
    <t>DCP Midstream, LP- #1 Diebel, Goliad CO., TX</t>
  </si>
  <si>
    <t>MISSISSIPPI CHEMICAL - Yazoo City, MS</t>
  </si>
  <si>
    <t>Centana Intrastate Pipeline Co. - Orange Co., TX</t>
  </si>
  <si>
    <t>Deep Rock Resources - Flowers / Matagorda Co., TX - RUN 01</t>
  </si>
  <si>
    <t>Wynn-Crosby Energy, Inc. - Willacy Co., TX</t>
  </si>
  <si>
    <t>Arkla - Pulaski Co. AR.</t>
  </si>
  <si>
    <t>PECO -- Brookhaven, PA</t>
  </si>
  <si>
    <t>Peco Energy Company - Hershey Mills, Chester Co., PA</t>
  </si>
  <si>
    <t>UGI CENTRAL - Penn Fuel - McConnellsburg, Fulton Co., PA</t>
  </si>
  <si>
    <t>Lafayette #2 - Macon Co., TN</t>
  </si>
  <si>
    <t>Clay Gas Util. - Monroe Co, KY</t>
  </si>
  <si>
    <t>DCP Midstream, LP - Goliad Co., TX</t>
  </si>
  <si>
    <t>Willamette Industries -  Bienville Parish, LA</t>
  </si>
  <si>
    <t>AK Steel - Warren Co., OH</t>
  </si>
  <si>
    <t>East Cape Girardeau, IL</t>
  </si>
  <si>
    <t>Bluestone - Hidalgo Co., TX</t>
  </si>
  <si>
    <t>DCP Midstream, LP -- Lavaca Co., TX</t>
  </si>
  <si>
    <t>Elizabethtown Gas Company - Linden, NJ</t>
  </si>
  <si>
    <t>St Francis Pwr Plt -Dunkin, MO</t>
  </si>
  <si>
    <t>Miss Riv Trans - Stoddard, MO</t>
  </si>
  <si>
    <t>Col. Gas - Montgomery Co., KY</t>
  </si>
  <si>
    <t>Delta Nat Gas -Madison Co., KY</t>
  </si>
  <si>
    <t>Tenn. Gas P/L - Casey Co., KY</t>
  </si>
  <si>
    <t>DCP Midstream, LP - Bee Co., TX</t>
  </si>
  <si>
    <t>Columbia Gas - Franklin Co. PA (Delivery)</t>
  </si>
  <si>
    <t>Middle Tn Nat Gas -Wilson, TN</t>
  </si>
  <si>
    <t>AECI Plant Sto - Essex Pwr Plt -Stoddard Co, MO</t>
  </si>
  <si>
    <t>NorAm Field Services - Shelby Co., TX (REC)</t>
  </si>
  <si>
    <t>Gas Chromatograph @ 73210 Great Lake Energy - Fayette Co., PA. - (</t>
  </si>
  <si>
    <t>PECO - EAGLE, CHESTER CO., PA. (del)</t>
  </si>
  <si>
    <t>DEFS - Pettus, Bee Co., TX</t>
  </si>
  <si>
    <t>Town of Shannon - Monroe Co., MS</t>
  </si>
  <si>
    <t>FINA - Georgia Pacific #1, Oktibbeha Co., MS</t>
  </si>
  <si>
    <t>DEFS - EDINBURG POWER PLANT - Hidalgo Co., TX</t>
  </si>
  <si>
    <t>Nat'l Gas  -Perry Co., OH</t>
  </si>
  <si>
    <t>Jonesboro City, Water &amp; Light - Greene, AR</t>
  </si>
  <si>
    <t>DEFS - Goliad County, TX</t>
  </si>
  <si>
    <t>Duke Energy Indiana</t>
  </si>
  <si>
    <t>National Energy &amp; Trad. - W. Feliciana Psh, LA.</t>
  </si>
  <si>
    <t>Talen Energy Marketing, LLC - (Ironwood) Lebanon Co., PA.</t>
  </si>
  <si>
    <t>TransCoastal Corp. - Dillard #1 /  Shelby Co., TX</t>
  </si>
  <si>
    <t>Coastal Oil &amp; Gas - Pawlik #1, Live Oak Co., Tx</t>
  </si>
  <si>
    <t>Winn Exploration/Kerlick #1 - Dewitt County, TX (REC)</t>
  </si>
  <si>
    <t>Entergy - Lewis Creek / Montgomery County, TX</t>
  </si>
  <si>
    <t>Attala Generating Company  LLC (DEL)</t>
  </si>
  <si>
    <t>Hinds Power Plant</t>
  </si>
  <si>
    <t>ETC Texas Pipeline, LTD-Henderson #1 / Nacogdoches Co., TX (REC)</t>
  </si>
  <si>
    <t>High Point Gas Gathering, L.P.-Iberville Parish, LA</t>
  </si>
  <si>
    <t>Knox Energy Cooperative Association, Inc.</t>
  </si>
  <si>
    <t>Farmersville-Derby Delivery - (73269)</t>
  </si>
  <si>
    <t>Farmersville-Tait - (73270)</t>
  </si>
  <si>
    <t>Sonerra Resources - Melrose Gathering (Kendrick #1-H) (REC)</t>
  </si>
  <si>
    <t>Hurd Enterprises - Luker #2, Goliad Co., TX (REC)</t>
  </si>
  <si>
    <t>Hurd Enterprises-Appling Farms-Lavaca Co., TX (REC)</t>
  </si>
  <si>
    <t>Duke Energy Kentucky</t>
  </si>
  <si>
    <t>Sonerra Resources - Mountain West, Nacog. Co., TX (REC)</t>
  </si>
  <si>
    <t>Union Petroleum, LTD (Line 16LL) - Brazoria Co., TX</t>
  </si>
  <si>
    <t>Onyx P/L - Nueces Co., Tx (Lat. 16-K)</t>
  </si>
  <si>
    <t>Dynegy- Ontelaunee, PA</t>
  </si>
  <si>
    <t>Dynegy Washington II, LLC</t>
  </si>
  <si>
    <t>Cottonwood Energy Company, LP - Newton Co., TX</t>
  </si>
  <si>
    <t>Alleghney Energy, Chambersburg-Franklin Co., PA (Del)</t>
  </si>
  <si>
    <t>South Shore P/L (NE&amp;T), Nueces Co., TX</t>
  </si>
  <si>
    <t>MME DeSoto Pipeline, L.P. - Austin Co. -- Sealy, TX (REC) -- B/D 7</t>
  </si>
  <si>
    <t>Headington Oil-Hutchins Pearson #1-Wharton Co., TX   (REC)</t>
  </si>
  <si>
    <t>Arcadia Operating - Beauregard Psh., LA</t>
  </si>
  <si>
    <t>Aspect Energy, LLC / #1 Griggs - Beauregard Psh., LA</t>
  </si>
  <si>
    <t>Petrochem Operating / Lott #1 - Bossier Parish, LA (REC)</t>
  </si>
  <si>
    <t>CGT/NiSource-KY - Clark Co., KY</t>
  </si>
  <si>
    <t>Finite Resources LTD-Morris #1, Saline Co., IL</t>
  </si>
  <si>
    <t>Tanos Exploration II,LLC.-RC Hill #1-Nac. Co/., Tx.</t>
  </si>
  <si>
    <t>SantosUSA Corp</t>
  </si>
  <si>
    <t>Entergy Mississippi, LLC-Choctaw Co., MS</t>
  </si>
  <si>
    <t>CIMA Energy LTD - Gath. System / Dewitt Co., TX  (REC)</t>
  </si>
  <si>
    <t>DEFS/Santa Fe Ranch Gathering - Kleberg Co., TX (REC)</t>
  </si>
  <si>
    <t>Dynegy Fayette ll, LLC  (Dynegy Faye)</t>
  </si>
  <si>
    <t>Dynegy Hanging Rock II, LLC</t>
  </si>
  <si>
    <t>Suemaur E&amp;P-Pedraza #1 - Hidalgo Co., TX (REC)</t>
  </si>
  <si>
    <t>Brammer-Browder Gathering-San Jacinto Co., TX (REC)</t>
  </si>
  <si>
    <t>East Kentucky Power Co-op-Clark Co., KY</t>
  </si>
  <si>
    <t>Suemaur E &amp; P - Goldsberry Gathering / Hidalgo Co., TX (REC)</t>
  </si>
  <si>
    <t>Montgomery Gas Transmission, Inc. - Montgomery Co., TX (DEL)</t>
  </si>
  <si>
    <t>Arcadia Operating,LLC- Golden Miner #1 / San Jacinto Co., TX (REC)</t>
  </si>
  <si>
    <t>Fieldwood Energy - SP 89-B Buyback</t>
  </si>
  <si>
    <t>FFA Petroleum-Kramer Gathering, Jackson Co., TX</t>
  </si>
  <si>
    <t>Great Lakes(Voytek) Energy Interconnect-Fayette Co., PA</t>
  </si>
  <si>
    <t>Chesapeake Operating Inc-Ankenmen Gathering, Brazoria Co., TX</t>
  </si>
  <si>
    <t>Fossil Resources - Brown #1H / Nacogdoches Co., TX</t>
  </si>
  <si>
    <t>Centerpoint Energy-Gathering System, Shelby Co., TX (REC)</t>
  </si>
  <si>
    <t>Discovery/Transco Delivery, LaFourche Parish, LA</t>
  </si>
  <si>
    <t>Buckeye Ranch Gathering - Matagorda Co., TX</t>
  </si>
  <si>
    <t>Hesco - Denali Gathering / Hidalgo Co., TX (REC)</t>
  </si>
  <si>
    <t>Copano Processing - Houston Central / Colorado Co., TX (REC)</t>
  </si>
  <si>
    <t>C&amp;E Operating-Foester Gathering-Calhoun Co., TX</t>
  </si>
  <si>
    <t>Woodward Pipeline-Apple Springs / Angelina Co., TX (REC)</t>
  </si>
  <si>
    <t>Piedmont Natural Gas - Rutherford</t>
  </si>
  <si>
    <t>Great Lakes Energy - Layman Gathering/Westmoreland, PA.</t>
  </si>
  <si>
    <t>Williams Pipeline/Lacy Crossover - Hidalgo Co., TX (REC)</t>
  </si>
  <si>
    <t>Houston Pipeline Vidor</t>
  </si>
  <si>
    <t>MIDWESTERN INTERCONNECT - WINSLOW, PIKE CO., IN</t>
  </si>
  <si>
    <t>DEFS, LP, Speaks Inlet-Provident City Plant/Lavaca Co., TX</t>
  </si>
  <si>
    <t>Vessels Coal - Gathering System - Saline Co., IL (REC)</t>
  </si>
  <si>
    <t>Atlas America-Fayette, CO., PA - (73449)</t>
  </si>
  <si>
    <t>DEFS/Southern Resources Gath. - Bee Co., TX (REC)</t>
  </si>
  <si>
    <t>Kaler Energy-Carpenter #1/Bee Co., TX (REC)</t>
  </si>
  <si>
    <t>McBee Operating Company, LLC-Rippy #1 Nacog. Co., TX (REC)</t>
  </si>
  <si>
    <t>XTO Energy - Anico #4 - Polk Co., TX (REC)</t>
  </si>
  <si>
    <t>Universal Natural Gas/Interconnect - Montgomery Co., TX (DEL)</t>
  </si>
  <si>
    <t>Greylock Pipeline, LLC, Jefferson IC  PA</t>
  </si>
  <si>
    <t>Alliance Petroleum Corp - Nicholson Field Interconnect-PA. - (7346</t>
  </si>
  <si>
    <t>Discovery-LaRose Station Interconnect, Lafourche Psh., LA</t>
  </si>
  <si>
    <t>Samson Lonestar - Herrera #2 Gathering, Nacogdoches Co., TX  (Rece</t>
  </si>
  <si>
    <t>XTO Energy - O"Brien Interconnect - (73476)</t>
  </si>
  <si>
    <t>Prime Operating Company - Money Wort #1 - Walker Co., TX (REC)</t>
  </si>
  <si>
    <t>Aspect Energy - Bintliff Gathering - Brazoria Co., TX</t>
  </si>
  <si>
    <t>MAGNUM LP - Chicolete Creek - Lavaca Co., TX (REC)</t>
  </si>
  <si>
    <t>Samson Resources - Cherokee Oak Hill - Rusk Co. TX. (REC)</t>
  </si>
  <si>
    <t>Amerada Hess (Port Reading interconnect)  Middlesex Co., N.J.</t>
  </si>
  <si>
    <t>Dominion E&amp;P - Brown Gathering-Orange Co., TX</t>
  </si>
  <si>
    <t>Rovig Mineral-Lake Boeuf Field,LaFourche Parish, LA</t>
  </si>
  <si>
    <t>Buffco Production, Inc - Oak Hill Cotton Valley</t>
  </si>
  <si>
    <t>Windrush Operator/Huff -Kleberg Co., TX</t>
  </si>
  <si>
    <t>Walter Oil &amp; Gas-Kasman Gathering -  Matagorda Co., TX</t>
  </si>
  <si>
    <t>DESF-Angel City Gathering-Goliad Co. TX</t>
  </si>
  <si>
    <t>PECO - Skippack Delivery - Montgomery, PA.</t>
  </si>
  <si>
    <t>Atmos Energy/Roxie-Fayette Delivery-Franklin Co., MS</t>
  </si>
  <si>
    <t>CNX Gas Co. LLC - Green Hill Field - Greene C0., PA</t>
  </si>
  <si>
    <t>Palmer Petroleum Inc.-Lumber Gathering - Angelina Co., TX</t>
  </si>
  <si>
    <t>Encana O&amp;G Inc. - Green Gathering - Nacogdoches Co.,TX</t>
  </si>
  <si>
    <t>Fossil Resources-Cardinal Gathering-Nacogdoches Co., TX</t>
  </si>
  <si>
    <t>Palmer Petroleum-Angelina #2-Angelina Co., TX</t>
  </si>
  <si>
    <t>Enterprise Gathering LLC/Bethany-Desoto Parish, LA-Run 1</t>
  </si>
  <si>
    <t>Aspect Energy - Bintliff #3 Buy Back-Brazoria Co., TX</t>
  </si>
  <si>
    <t>NET LP - Monument Pipeline - Harris County, TX</t>
  </si>
  <si>
    <t>Blackhawk Energy, LLC -  Entriken Interconnect, PA</t>
  </si>
  <si>
    <t>Alliance Petroleum Corp - East Wheatfield Interconnect - Cambria C</t>
  </si>
  <si>
    <t>Sheridan Holding Company III,LLC-Shelby Gathering-Shelby Co., TX</t>
  </si>
  <si>
    <t>Noble Energy-Oliver Creek-Shelby Co., TX</t>
  </si>
  <si>
    <t>Golden Pass Pipeline - Calcasieu Parish,  LA</t>
  </si>
  <si>
    <t>Gulf South Hinds/Raymond</t>
  </si>
  <si>
    <t>Compressed Energy Systems LLC  - Saline Co., IL</t>
  </si>
  <si>
    <t>Samson Resources - Cherokee Oak Hill -Low Flow</t>
  </si>
  <si>
    <t>Tanos Exploration II,LLC/Parmer Gathering</t>
  </si>
  <si>
    <t>Kinder Morgan LNG</t>
  </si>
  <si>
    <t>Midcontinent Express</t>
  </si>
  <si>
    <t>Texas Gas- Kosciusko, MS</t>
  </si>
  <si>
    <t>Texas Gas/Fayetville, AR.</t>
  </si>
  <si>
    <t>REX Clarington, Monroe Co., OH</t>
  </si>
  <si>
    <t>REX Lebanon (REC), Warren Co., OH</t>
  </si>
  <si>
    <t>Samson Lonestar - Herrera #3, Nacogdoches Co., TX</t>
  </si>
  <si>
    <t>NRG - Cedar Bayou</t>
  </si>
  <si>
    <t>Energy XXI - MP 107</t>
  </si>
  <si>
    <t>Fossil Resources/Cardinal II Gathering-Nacogdoches Co., TX</t>
  </si>
  <si>
    <t>Fortune Resources LLC/TARANTULA GATHERING</t>
  </si>
  <si>
    <t>Targa Louisiana Field Services, LLC-Calcasieu, LA</t>
  </si>
  <si>
    <t>NFR Energy/Gatlin Gathering, Harrison Co. TX</t>
  </si>
  <si>
    <t>Flint Interests, LLC/Wright Materials-Goliad Co., TX</t>
  </si>
  <si>
    <t>TGG Pipeline - Central Delivery Point</t>
  </si>
  <si>
    <t>Williams - LMM Davis (Valley View Rd Interconnect)  Greene Co., PA</t>
  </si>
  <si>
    <t>CNX Gas Co. LLC - McQuay, Locust Hill I, Greene Co., PA</t>
  </si>
  <si>
    <t>Buffco Prod./Jo Allison #1-Harrison Co., TX</t>
  </si>
  <si>
    <t>Buffco Prod./Southern Egg Ranch-Shelby Co., TX</t>
  </si>
  <si>
    <t>Kinder Morgan Tejas- Nueces Bay</t>
  </si>
  <si>
    <t>Kinder Morgan Tejas- Barney Davis</t>
  </si>
  <si>
    <t>AB-Fayette-Nelson Rd Interconnect, PA.</t>
  </si>
  <si>
    <t>Williams - LMM Clark Rd.,  PA.</t>
  </si>
  <si>
    <t>Williams Mid-Penn Midstream- Clyde- HORSE THIEF RD., Indiana  Co.,</t>
  </si>
  <si>
    <t>Dominion - Cryane School Rd., Greene Co., PA.</t>
  </si>
  <si>
    <t>Davis Southern/Bintliff #1</t>
  </si>
  <si>
    <t>Acadian/False River - Baton Rouge, LA</t>
  </si>
  <si>
    <t>Sawtooth Oil and Gas/Biggs Gathering Receipt</t>
  </si>
  <si>
    <t>Sanchez Oil and Gas/Patman Gathering, Jackson Co., TX</t>
  </si>
  <si>
    <t>Enerquest/Scott Gathering</t>
  </si>
  <si>
    <t>Southwestern Energy/Jebel Gathering</t>
  </si>
  <si>
    <t>XTO Energy/Barfield Ward Gathering</t>
  </si>
  <si>
    <t>Noble Energy-Harris Yates-Shelby Co., TX</t>
  </si>
  <si>
    <t>ENI MC 365 Buy Back Meter</t>
  </si>
  <si>
    <t>Arena Offshore, LP -EC 328</t>
  </si>
  <si>
    <t>Access Midstream/Carzenava Gathering</t>
  </si>
  <si>
    <t>XTO Energy - Mill Run / Stewarton Raod, Fayette, PA.</t>
  </si>
  <si>
    <t>Samson Menhorne, Somerset CO., PA</t>
  </si>
  <si>
    <t>Sheridan Holding Company III,LLC-Warr Gathering</t>
  </si>
  <si>
    <t>TEPPCO/Beaumont Vapor Recovery</t>
  </si>
  <si>
    <t>Fieldwood Energy - CA 43</t>
  </si>
  <si>
    <t>Williams Ohio Valley Midstream LLC.-Gosney Hill Road, Marshall CO.</t>
  </si>
  <si>
    <t>Anadarko-Marsh Creek Trail - Centre, PA</t>
  </si>
  <si>
    <t>Samson Charlton/Hillegass, Somerset CO., PA</t>
  </si>
  <si>
    <t>Hot Spring Power Plant, Hot Spring Co, AR</t>
  </si>
  <si>
    <t>Texana Operating/Massey Ferguson Gathering, San Jacinto Co., TX</t>
  </si>
  <si>
    <t>Sheridan Holding Company III,LLC/King Williams, Shelby Co., TX</t>
  </si>
  <si>
    <t>CNX Gas Co. LLC - McQuay, Locust Hill ll, Greene Co., PA</t>
  </si>
  <si>
    <t>Energy Transfer/Tiger Pipeline Bienville, LA</t>
  </si>
  <si>
    <t>Williams/Shamrock N. Salem Rd, Fayette Co., PA.</t>
  </si>
  <si>
    <t>Tarpon, WC 487, LAO</t>
  </si>
  <si>
    <t>Kinder Morgan-Tejas/Petronilla Gathering</t>
  </si>
  <si>
    <t>Eastern Shore Natural Gas Honeybrook - Lancaster County, PA</t>
  </si>
  <si>
    <t>Dominion Energy Transmission, Inc - Crooked Run, Westmoreland Co.,</t>
  </si>
  <si>
    <t>XTO Energy. - Elsie Adams #2 - PA.</t>
  </si>
  <si>
    <t>ETX-Enbridge/Wells Landing - Polk</t>
  </si>
  <si>
    <t>ETX-Enbridge/Zider - Shelby</t>
  </si>
  <si>
    <t>Rice Poseidon Midstream - Waynesburg</t>
  </si>
  <si>
    <t>Williams-LMM,(Longfellow) Donegal, Sire Rd. Fayette Co., PA.</t>
  </si>
  <si>
    <t>Sweeny Plant-Conoco Pipeline</t>
  </si>
  <si>
    <t>GoMex VR 282</t>
  </si>
  <si>
    <t>Bachtell O&amp;G/Keahey Gathering-Marion Co., TX</t>
  </si>
  <si>
    <t>Acadian Gas-Haynesville Extension P/L, Pt.Coupee Parish, LA</t>
  </si>
  <si>
    <t>Dominion Energy Transmission, Inc - Appalchian Gateway, Westmorela</t>
  </si>
  <si>
    <t>Arena Offshore, LP -  EC 328B Start-Up Gas</t>
  </si>
  <si>
    <t>Williams-Transco, Lower Chanceford-York Co., PA.</t>
  </si>
  <si>
    <t>Williams Cantaral - Rt 18, Greene Co., PA.</t>
  </si>
  <si>
    <t>EQT - /Morris II, Greene Co., PA.</t>
  </si>
  <si>
    <t>EQT- Braden Run, Greene Co., PA.</t>
  </si>
  <si>
    <t>Ventex Operating, Lincoln Co., Ms</t>
  </si>
  <si>
    <t>NTE Middletown Energy Center, Butler CO, OH</t>
  </si>
  <si>
    <t>Energy Corporation of America-Ridge Rd., Greene Co., PA.</t>
  </si>
  <si>
    <t>EQT - Jefferson, Greene Co., PA.</t>
  </si>
  <si>
    <t>DTE Appalachia Gathering  High Noon</t>
  </si>
  <si>
    <t>Lancaster Municipal Gas Company, Fairfield Co., OH</t>
  </si>
  <si>
    <t>Caiman Energy - Kingwood Road, Somerset Co., PA.</t>
  </si>
  <si>
    <t>Esenjay Petroleum/Hoblit Unit #1-Run 1</t>
  </si>
  <si>
    <t>Columbia-Marietta, Lancaster Co., PA</t>
  </si>
  <si>
    <t>T2 Gas Utility LLC/Refugio Interconnect</t>
  </si>
  <si>
    <t>PSEG-Bayonne, Hudson Co., NJ</t>
  </si>
  <si>
    <t>ConEd-Manhattan Delivery</t>
  </si>
  <si>
    <t>Columbia Midstream Big Pine  Westmoreland Co.,  PA</t>
  </si>
  <si>
    <t>EQT/Morris III, Greene Co., PA</t>
  </si>
  <si>
    <t>Centerpoint Energy - Granite Mountain Quarry, Pulaski Co., AR</t>
  </si>
  <si>
    <t>TGP - Wheelersburg Interconnect</t>
  </si>
  <si>
    <t>Caiman Energy-Ritchie Rd/Burkett Hollow, Blair Co., PA</t>
  </si>
  <si>
    <t>Blue Racer Midstream-Berne, Monroe Co.,OH</t>
  </si>
  <si>
    <t>CNX - McQuay III - Cone Gathering, Greene Co., PA.</t>
  </si>
  <si>
    <t>Mark West - Majorsville, Marshall Co., WVA</t>
  </si>
  <si>
    <t>Bonanza - Strike Force Midstream</t>
  </si>
  <si>
    <t>Williams OVM / Oak Grove, Clay WVA</t>
  </si>
  <si>
    <t>Dominion Energy Transmission, Inc - Crayne II, Rt 188 Greene Co.,</t>
  </si>
  <si>
    <t>Monroe Pipeline, Reeds Road, Monroe Co, OH</t>
  </si>
  <si>
    <t>James L Nelson Operating/Goehring Gathering-FM 584-Goliad Co., TX</t>
  </si>
  <si>
    <t>Enterprise Products/Wallace Junction</t>
  </si>
  <si>
    <t>Markwest Utica Seneca  Monroe Co., OH</t>
  </si>
  <si>
    <t>Rice Poseidon Midstream - McNay Ridge Road - Greene Co., PA.</t>
  </si>
  <si>
    <t>Graymont - Pleasant Gap / Weaver Hill Road, Centre Co., PA</t>
  </si>
  <si>
    <t>Rice Poseidon Midstream / Rogersville - Barton Hollow Road, Centre</t>
  </si>
  <si>
    <t>Regency-Big Run /Twp. Road 964, Monroe Co.OH</t>
  </si>
  <si>
    <t>KMK Oil &amp; Gas/Benton #1</t>
  </si>
  <si>
    <t>Dewbre Petroleum/McGill Heirs #1-Santa Rose Ranch-Kenedy Co., TX</t>
  </si>
  <si>
    <t>NRG Energy/Big Cajun II Power Plant-Woodmen Lane</t>
  </si>
  <si>
    <t>Rice Energy-Alpha/Pettit Road, Greene Co. PA</t>
  </si>
  <si>
    <t>Rice Energy-Ohio/Boltz Ridge Road, Monroe Co., OH</t>
  </si>
  <si>
    <t>Rice Energy-Denex (Tombstone) Akron Road, Greene Co., PA</t>
  </si>
  <si>
    <t>Dominion East Ohio-Switzerland, Monroe Co., OH</t>
  </si>
  <si>
    <t>DOMINION-TL 558/WV Rt. 2, MARSHALL CO., WVA</t>
  </si>
  <si>
    <t>Eureka Hunter/Krebs Ridge Road, Monroe Co., OH</t>
  </si>
  <si>
    <t>MarkWest-Beallsville/Bolon Ridge Road, Monroe Co., OH</t>
  </si>
  <si>
    <t>Elliott Oil&amp;Gas/Steindorf #1-FM 799-Bee Co.,TX</t>
  </si>
  <si>
    <t>Pennington O&amp;G/JS Kean et al #1 Shell Road-Pt Coupee Parish,LA</t>
  </si>
  <si>
    <t>Goliad Midstream Energy/City of Magnolia,TX-Enderli Street,Montgom</t>
  </si>
  <si>
    <t>First Energy Corp Of America Ridge Road North, Greene Co., PA</t>
  </si>
  <si>
    <t>Texas Gas - Lebanon Lateral, Warren  Co., OH</t>
  </si>
  <si>
    <t>Sempra/Cameron -Gulf Market</t>
  </si>
  <si>
    <t>Centerpoint Energy/IP Orange Mill-Owens Illinois Rd-Orange Co.,TX</t>
  </si>
  <si>
    <t>Alegacy/CNG Industrial Campus-Bus US 290-Waller Co.,TX</t>
  </si>
  <si>
    <t>Hilcorp Energy/St. Charles Refuge Gathering-Backgate Road-Refugio</t>
  </si>
  <si>
    <t>Talen - Brunner Island/Jerusalem School Rd, York Co., PA</t>
  </si>
  <si>
    <t>DTI Taylors Ridge Road</t>
  </si>
  <si>
    <t>DTI-Arman Hill (Mullet) / Twp. Road 964, Monroe Co., OH</t>
  </si>
  <si>
    <t>Eastman Chemical/TXO-Callahan Rd., Harrison Co., TX</t>
  </si>
  <si>
    <t>Bayonne Energy Center - NJ Route 440</t>
  </si>
  <si>
    <t>Town of Centreville, Wilkinson Co., MS</t>
  </si>
  <si>
    <t>Gas Utilities District #1 Angola Del., State Hwy 10, W.Feliciana P</t>
  </si>
  <si>
    <t>Gas Utilities District #1 Spillman Delivery State Hwy 421;W.Felici</t>
  </si>
  <si>
    <t>Southern Natural Gas Kosciusko Reversal</t>
  </si>
  <si>
    <t>Fieldwood EC 250</t>
  </si>
  <si>
    <t>EQT- Braden Run II, Greene Co., PA.</t>
  </si>
  <si>
    <t>WG Gas Rich Land Seed Gathering-Swan Lake Road-Morehouse, LA</t>
  </si>
  <si>
    <t>Linden Cogen Bayway</t>
  </si>
  <si>
    <t>Phillips 66 Bayway</t>
  </si>
  <si>
    <t>CPV-Fairview, Jackson Township, PA</t>
  </si>
  <si>
    <t>BIG Pipeline-TETCO Delivery, Brazoria Co., TX</t>
  </si>
  <si>
    <t>Tenaska Pennsylvania Partners, LLC - Westmoreland Co., PA</t>
  </si>
  <si>
    <t>DTE - Rockland, Forgedale Rd, Berks Co, PA</t>
  </si>
  <si>
    <t>Rice Energy - Bambino, Greene Co., PA</t>
  </si>
  <si>
    <t>Columbia Gas Johnson Road, York Co., PA</t>
  </si>
  <si>
    <t>EQT Redband, Strope Rd, Greene Co., PA</t>
  </si>
  <si>
    <t>Transco Williams-Cajun Rd (St.James) Pointe Coupee LA</t>
  </si>
  <si>
    <t>Midcoast Vidor Interconnect Mansfield Ferry Road Orange Co TX</t>
  </si>
  <si>
    <t>Entergy Services/Hinds 2 Delivery-Beasley Rd</t>
  </si>
  <si>
    <t>XCL Midstream Blue Ridge, Marshall County WV</t>
  </si>
  <si>
    <t>CNX Rich Hill, Green Co. PA</t>
  </si>
  <si>
    <t>Kudo Midstream-Martinsville Gathering-CR 342-Nacogdoches Co., Tx</t>
  </si>
  <si>
    <t>Planet Operationg/Savoy 1 Hwy 758-St.Landry Parish, LA</t>
  </si>
  <si>
    <t>East Ohio Gas - Clarington, OH</t>
  </si>
  <si>
    <t>BUG CO NAT- Brooklyn Union Gas Company (National Grid NY)</t>
  </si>
  <si>
    <t>DEFS (Line #23 - Inlet Bypass) - Provident City, TX</t>
  </si>
  <si>
    <t>DEFS - Guadalupe Delivery - Lavaca Co., TX</t>
  </si>
  <si>
    <t>Momentum Kensington / Highway 644, Columbiana Co., OH</t>
  </si>
  <si>
    <t>Access Midstream Clarks Mill Road-Jefferson Co., OH</t>
  </si>
  <si>
    <t>Access Midstream Highway 219 - Jefferson Co., OH</t>
  </si>
  <si>
    <t>DTI- Clarks Mill Road, Jefferson Co, OH</t>
  </si>
  <si>
    <t>Gulf South-Kosciusko, Attala Co., MS (Bi-Dir Rec 70217)</t>
  </si>
  <si>
    <t>DEFS (Wallace By-pass) - Lavaca Co., TX. (REC)</t>
  </si>
  <si>
    <t>CMS - Gas City - Grant Co., IN</t>
  </si>
  <si>
    <t>PEPL-Gas City Delivery/Route 26, Grant co., IN</t>
  </si>
  <si>
    <t>Storage Injection</t>
  </si>
  <si>
    <t>Injection Point</t>
  </si>
  <si>
    <t>Storage injection quantity</t>
  </si>
  <si>
    <t>TETCO - ACCIDENT FIELD, M.M., MD</t>
  </si>
  <si>
    <t>PEMEX - REYNOSA, MX (D 70333/R 76333)</t>
  </si>
  <si>
    <t>COLUMBIA GULF-TETCO INTERCONNECT-ADAIR CO. KY (D73806/R73506)</t>
  </si>
  <si>
    <t>Atmos Energy, TN (B/D 73025)</t>
  </si>
  <si>
    <t>Algonquin - Lambertville, NJ (Receipt)</t>
  </si>
  <si>
    <t>East Tennessee Gas - Mt. Pleasant,TN-REC (B/D71298)</t>
  </si>
  <si>
    <t>Williams Energy LLC - Lafourche Psh., LA-REC</t>
  </si>
  <si>
    <t>PEOPLES NAT - Rager Mountain, PA (Rec.)</t>
  </si>
  <si>
    <t>AGT to TE Hanover</t>
  </si>
  <si>
    <t>Louisiana Intrastate Gas - Iberville Psh.,LA - REC</t>
  </si>
  <si>
    <t>ANR, DEL- Glen Karn, OH</t>
  </si>
  <si>
    <t>Dominion Energy Transmission, Inc - LEBANON, WARREN CO, OH</t>
  </si>
  <si>
    <t>NEXUS INTERCONNECT WITH TETLP,OPEN LATERAL,AT HEAD OF OPEN LATERAL</t>
  </si>
  <si>
    <t>NEXUS INTERCONNECT WITH TETLP MAINLINE, MONROE CO., OH</t>
  </si>
  <si>
    <t>STRATTON RIDGE</t>
  </si>
  <si>
    <t>Pipe</t>
  </si>
  <si>
    <t>Zone</t>
  </si>
  <si>
    <t>TETCO-ELA</t>
  </si>
  <si>
    <t>TETCO-ETX</t>
  </si>
  <si>
    <t>TETCO-STX</t>
  </si>
  <si>
    <t>TETCO-WLA</t>
  </si>
  <si>
    <t>TETCO-M1</t>
  </si>
  <si>
    <t>TETCO-M2</t>
  </si>
  <si>
    <t>TETCO-M3</t>
  </si>
  <si>
    <t>Loc#</t>
  </si>
  <si>
    <t>Loc Type</t>
  </si>
  <si>
    <t>GTH</t>
  </si>
  <si>
    <t>Cmprssr</t>
  </si>
  <si>
    <t>EndUsr</t>
  </si>
  <si>
    <t>GsPlnt</t>
  </si>
  <si>
    <t>Gathr</t>
  </si>
  <si>
    <t>Intrcnnct</t>
  </si>
  <si>
    <t>Other</t>
  </si>
  <si>
    <t>Pool</t>
  </si>
  <si>
    <t>Station</t>
  </si>
  <si>
    <t>Stor</t>
  </si>
  <si>
    <t>Virtual</t>
  </si>
  <si>
    <t>Wellhead</t>
  </si>
  <si>
    <t>Scheduled Quantity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</si>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</sst>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33" borderId="0" xfId="0" applyFill="1"/>
    <xf numFmtId="3" fontId="0" fillId="0" borderId="0" xfId="0" applyNumberFormat="1"/>
    <xf numFmtId="0" fontId="0" fillId="34" borderId="0" xfId="0" applyFill="1"/>
    <xf numFmtId="0" fontId="0" fillId="0" borderId="11" xfId="0" applyBorder="1"/>
    <xf numFmtId="0" fontId="0" fillId="35" borderId="10" xfId="0" applyFill="1" applyBorder="1"/>
    <xf numFmtId="0" fontId="0" fillId="35" borderId="11" xfId="0" applyFill="1" applyBorder="1"/>
    <xf numFmtId="14" fontId="0" fillId="35" borderId="11" xfId="0" applyNumberFormat="1" applyFill="1" applyBorder="1" applyAlignment="1">
      <alignment horizontal="center"/>
    </xf>
    <xf numFmtId="0" fontId="0" fillId="36" borderId="0" xfId="0" applyFill="1"/>
    <xf numFmtId="14" fontId="0" fillId="36" borderId="0" xfId="0" applyNumberFormat="1" applyFill="1"/>
    <xf numFmtId="20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957"/>
  <sheetViews>
    <sheetView topLeftCell="A306" workbookViewId="0">
      <selection activeCell="C324" sqref="C324"/>
    </sheetView>
  </sheetViews>
  <sheetFormatPr defaultRowHeight="15" x14ac:dyDescent="0.25"/>
  <cols>
    <col min="1" max="1" width="7.140625" bestFit="1" customWidth="1"/>
    <col min="2" max="2" width="8.42578125" style="4" bestFit="1" customWidth="1"/>
    <col min="3" max="3" width="70.28515625" bestFit="1" customWidth="1"/>
    <col min="4" max="4" width="12.85546875" bestFit="1" customWidth="1"/>
    <col min="5" max="5" width="24.5703125" bestFit="1" customWidth="1"/>
    <col min="6" max="6" width="8.7109375" bestFit="1" customWidth="1"/>
    <col min="7" max="7" width="6.7109375" bestFit="1" customWidth="1"/>
    <col min="8" max="8" width="11" style="2" bestFit="1" customWidth="1"/>
    <col min="9" max="9" width="11.85546875" bestFit="1" customWidth="1"/>
    <col min="10" max="11" width="10.140625" style="2" bestFit="1" customWidth="1"/>
    <col min="12" max="12" width="11.140625" style="2" bestFit="1" customWidth="1"/>
    <col min="13" max="13" width="28.5703125" style="2" bestFit="1" customWidth="1"/>
    <col min="14" max="14" width="12.28515625" style="2" bestFit="1" customWidth="1"/>
    <col min="15" max="15" width="16.7109375" style="2" bestFit="1" customWidth="1"/>
    <col min="16" max="16" width="10" style="2" bestFit="1" customWidth="1"/>
    <col min="17" max="17" width="76.85546875" bestFit="1" customWidth="1"/>
    <col min="18" max="18" width="11.140625" style="2" bestFit="1" customWidth="1"/>
    <col min="19" max="19" width="13.7109375" style="2" bestFit="1" customWidth="1"/>
    <col min="20" max="20" width="18.42578125" style="2" bestFit="1" customWidth="1"/>
    <col min="21" max="21" width="15" style="2" bestFit="1" customWidth="1"/>
    <col min="22" max="22" width="43.5703125" style="2" bestFit="1" customWidth="1"/>
    <col min="23" max="23" width="112" bestFit="1" customWidth="1"/>
  </cols>
  <sheetData>
    <row r="1" spans="1:23" x14ac:dyDescent="0.25">
      <c r="A1" t="s">
        <v>0</v>
      </c>
      <c r="B1" s="4" t="s">
        <v>5113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2" t="s">
        <v>6</v>
      </c>
      <c r="I1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t="s">
        <v>21</v>
      </c>
    </row>
    <row r="2" spans="1:23" x14ac:dyDescent="0.25">
      <c r="A2" t="s">
        <v>22</v>
      </c>
      <c r="B2" s="4">
        <f>REPLACE(A2, 1, 1, "")+0</f>
        <v>70004</v>
      </c>
      <c r="C2" t="s">
        <v>23</v>
      </c>
      <c r="D2" t="s">
        <v>24</v>
      </c>
      <c r="E2" t="s">
        <v>25</v>
      </c>
      <c r="F2">
        <v>2</v>
      </c>
      <c r="G2" t="s">
        <v>26</v>
      </c>
      <c r="H2" s="2" t="s">
        <v>27</v>
      </c>
      <c r="I2" t="s">
        <v>28</v>
      </c>
      <c r="J2" s="2" t="s">
        <v>29</v>
      </c>
      <c r="L2" s="2" t="s">
        <v>30</v>
      </c>
      <c r="M2" s="2" t="s">
        <v>31</v>
      </c>
      <c r="N2" s="2" t="s">
        <v>32</v>
      </c>
      <c r="O2" s="2" t="s">
        <v>33</v>
      </c>
      <c r="P2" s="2" t="s">
        <v>34</v>
      </c>
      <c r="Q2" t="s">
        <v>35</v>
      </c>
      <c r="R2" s="2" t="s">
        <v>36</v>
      </c>
      <c r="T2" s="2" t="s">
        <v>34</v>
      </c>
      <c r="U2" s="2" t="s">
        <v>37</v>
      </c>
      <c r="V2" s="2" t="s">
        <v>38</v>
      </c>
      <c r="W2" t="s">
        <v>39</v>
      </c>
    </row>
    <row r="3" spans="1:23" x14ac:dyDescent="0.25">
      <c r="A3" t="s">
        <v>40</v>
      </c>
      <c r="B3" s="4">
        <f t="shared" ref="B3:B66" si="0">REPLACE(A3, 1, 1, "")+0</f>
        <v>70011</v>
      </c>
      <c r="C3" t="s">
        <v>41</v>
      </c>
      <c r="D3" t="s">
        <v>42</v>
      </c>
      <c r="E3" t="s">
        <v>43</v>
      </c>
      <c r="F3">
        <v>3</v>
      </c>
      <c r="G3" t="s">
        <v>26</v>
      </c>
      <c r="H3" s="2" t="s">
        <v>27</v>
      </c>
      <c r="I3" t="s">
        <v>28</v>
      </c>
      <c r="J3" s="2" t="s">
        <v>44</v>
      </c>
      <c r="L3" s="2" t="s">
        <v>30</v>
      </c>
      <c r="M3" s="2" t="s">
        <v>31</v>
      </c>
      <c r="N3" s="2" t="s">
        <v>32</v>
      </c>
      <c r="O3" s="2" t="s">
        <v>45</v>
      </c>
      <c r="P3" s="2" t="s">
        <v>34</v>
      </c>
      <c r="Q3" t="s">
        <v>46</v>
      </c>
      <c r="R3" s="2" t="s">
        <v>47</v>
      </c>
      <c r="T3" s="2" t="s">
        <v>34</v>
      </c>
      <c r="U3" s="2" t="s">
        <v>48</v>
      </c>
      <c r="V3" s="2" t="s">
        <v>49</v>
      </c>
      <c r="W3" t="s">
        <v>50</v>
      </c>
    </row>
    <row r="4" spans="1:23" x14ac:dyDescent="0.25">
      <c r="A4" t="s">
        <v>51</v>
      </c>
      <c r="B4" s="4">
        <f t="shared" si="0"/>
        <v>70017</v>
      </c>
      <c r="C4" t="s">
        <v>52</v>
      </c>
      <c r="D4" t="s">
        <v>53</v>
      </c>
      <c r="E4" t="s">
        <v>54</v>
      </c>
      <c r="F4">
        <v>2</v>
      </c>
      <c r="G4" t="s">
        <v>26</v>
      </c>
      <c r="H4" s="2" t="s">
        <v>27</v>
      </c>
      <c r="I4" t="s">
        <v>55</v>
      </c>
      <c r="J4" s="2" t="s">
        <v>56</v>
      </c>
      <c r="L4" s="2" t="s">
        <v>30</v>
      </c>
      <c r="M4" s="2" t="s">
        <v>31</v>
      </c>
      <c r="N4" s="2" t="s">
        <v>32</v>
      </c>
      <c r="O4" s="2" t="s">
        <v>57</v>
      </c>
      <c r="P4" s="2" t="s">
        <v>34</v>
      </c>
      <c r="Q4" t="s">
        <v>58</v>
      </c>
      <c r="R4" s="2" t="s">
        <v>59</v>
      </c>
      <c r="T4" s="2" t="s">
        <v>60</v>
      </c>
    </row>
    <row r="5" spans="1:23" x14ac:dyDescent="0.25">
      <c r="A5" t="s">
        <v>61</v>
      </c>
      <c r="B5" s="4">
        <f t="shared" si="0"/>
        <v>70018</v>
      </c>
      <c r="C5" t="s">
        <v>62</v>
      </c>
      <c r="D5" t="s">
        <v>53</v>
      </c>
      <c r="E5" t="s">
        <v>63</v>
      </c>
      <c r="F5">
        <v>2</v>
      </c>
      <c r="G5" t="s">
        <v>26</v>
      </c>
      <c r="H5" s="2" t="s">
        <v>27</v>
      </c>
      <c r="I5" t="s">
        <v>55</v>
      </c>
      <c r="J5" s="2" t="s">
        <v>64</v>
      </c>
      <c r="L5" s="2" t="s">
        <v>30</v>
      </c>
      <c r="M5" s="2" t="s">
        <v>31</v>
      </c>
      <c r="N5" s="2" t="s">
        <v>32</v>
      </c>
      <c r="O5" s="2" t="s">
        <v>57</v>
      </c>
      <c r="P5" s="2" t="s">
        <v>34</v>
      </c>
      <c r="Q5" t="s">
        <v>58</v>
      </c>
      <c r="R5" s="2" t="s">
        <v>59</v>
      </c>
      <c r="T5" s="2" t="s">
        <v>60</v>
      </c>
    </row>
    <row r="6" spans="1:23" x14ac:dyDescent="0.25">
      <c r="A6" t="s">
        <v>65</v>
      </c>
      <c r="B6" s="4">
        <f t="shared" si="0"/>
        <v>70020</v>
      </c>
      <c r="C6" t="s">
        <v>66</v>
      </c>
      <c r="D6" t="s">
        <v>42</v>
      </c>
      <c r="E6" t="s">
        <v>67</v>
      </c>
      <c r="F6">
        <v>2</v>
      </c>
      <c r="G6" t="s">
        <v>26</v>
      </c>
      <c r="H6" s="2" t="s">
        <v>27</v>
      </c>
      <c r="I6" t="s">
        <v>28</v>
      </c>
      <c r="J6" s="2" t="s">
        <v>68</v>
      </c>
      <c r="L6" s="2" t="s">
        <v>30</v>
      </c>
      <c r="M6" s="2" t="s">
        <v>31</v>
      </c>
      <c r="N6" s="2" t="s">
        <v>32</v>
      </c>
      <c r="O6" s="2" t="s">
        <v>69</v>
      </c>
      <c r="P6" s="2" t="s">
        <v>34</v>
      </c>
      <c r="Q6" t="s">
        <v>70</v>
      </c>
      <c r="R6" s="2" t="s">
        <v>71</v>
      </c>
      <c r="T6" s="2" t="s">
        <v>34</v>
      </c>
      <c r="U6" s="2" t="s">
        <v>72</v>
      </c>
      <c r="V6" s="2" t="s">
        <v>73</v>
      </c>
      <c r="W6" t="s">
        <v>74</v>
      </c>
    </row>
    <row r="7" spans="1:23" x14ac:dyDescent="0.25">
      <c r="A7" t="s">
        <v>75</v>
      </c>
      <c r="B7" s="4">
        <f t="shared" si="0"/>
        <v>70030</v>
      </c>
      <c r="C7" t="s">
        <v>76</v>
      </c>
      <c r="D7" t="s">
        <v>42</v>
      </c>
      <c r="E7" t="s">
        <v>77</v>
      </c>
      <c r="F7">
        <v>3</v>
      </c>
      <c r="G7" t="s">
        <v>26</v>
      </c>
      <c r="H7" s="2" t="s">
        <v>27</v>
      </c>
      <c r="I7" t="s">
        <v>55</v>
      </c>
      <c r="J7" s="2" t="s">
        <v>78</v>
      </c>
      <c r="L7" s="2" t="s">
        <v>30</v>
      </c>
      <c r="M7" s="2" t="s">
        <v>31</v>
      </c>
      <c r="N7" s="2" t="s">
        <v>32</v>
      </c>
      <c r="O7" s="2" t="s">
        <v>79</v>
      </c>
      <c r="P7" s="2" t="s">
        <v>34</v>
      </c>
      <c r="Q7" t="s">
        <v>80</v>
      </c>
      <c r="R7" s="2" t="s">
        <v>81</v>
      </c>
      <c r="T7" s="2" t="s">
        <v>60</v>
      </c>
    </row>
    <row r="8" spans="1:23" x14ac:dyDescent="0.25">
      <c r="A8" t="s">
        <v>82</v>
      </c>
      <c r="B8" s="4">
        <f t="shared" si="0"/>
        <v>70033</v>
      </c>
      <c r="C8" t="s">
        <v>83</v>
      </c>
      <c r="D8" t="s">
        <v>42</v>
      </c>
      <c r="E8" t="s">
        <v>43</v>
      </c>
      <c r="F8">
        <v>3</v>
      </c>
      <c r="G8" t="s">
        <v>26</v>
      </c>
      <c r="H8" s="2" t="s">
        <v>27</v>
      </c>
      <c r="I8" t="s">
        <v>55</v>
      </c>
      <c r="J8" s="2" t="s">
        <v>84</v>
      </c>
      <c r="L8" s="2" t="s">
        <v>30</v>
      </c>
      <c r="M8" s="2" t="s">
        <v>31</v>
      </c>
      <c r="N8" s="2" t="s">
        <v>32</v>
      </c>
      <c r="O8" s="2" t="s">
        <v>85</v>
      </c>
      <c r="P8" s="2" t="s">
        <v>34</v>
      </c>
      <c r="Q8" t="s">
        <v>86</v>
      </c>
      <c r="R8" s="2" t="s">
        <v>87</v>
      </c>
      <c r="T8" s="2" t="s">
        <v>60</v>
      </c>
    </row>
    <row r="9" spans="1:23" x14ac:dyDescent="0.25">
      <c r="A9" t="s">
        <v>88</v>
      </c>
      <c r="B9" s="4">
        <f t="shared" si="0"/>
        <v>70034</v>
      </c>
      <c r="C9" t="s">
        <v>89</v>
      </c>
      <c r="D9" t="s">
        <v>42</v>
      </c>
      <c r="E9" t="s">
        <v>90</v>
      </c>
      <c r="F9">
        <v>3</v>
      </c>
      <c r="G9" t="s">
        <v>26</v>
      </c>
      <c r="H9" s="2" t="s">
        <v>27</v>
      </c>
      <c r="I9" t="s">
        <v>55</v>
      </c>
      <c r="J9" s="2" t="s">
        <v>91</v>
      </c>
      <c r="L9" s="2" t="s">
        <v>30</v>
      </c>
      <c r="M9" s="2" t="s">
        <v>31</v>
      </c>
      <c r="N9" s="2" t="s">
        <v>32</v>
      </c>
      <c r="O9" s="2" t="s">
        <v>92</v>
      </c>
      <c r="P9" s="2" t="s">
        <v>34</v>
      </c>
      <c r="Q9" t="s">
        <v>80</v>
      </c>
      <c r="R9" s="2" t="s">
        <v>81</v>
      </c>
      <c r="T9" s="2" t="s">
        <v>60</v>
      </c>
    </row>
    <row r="10" spans="1:23" x14ac:dyDescent="0.25">
      <c r="A10" t="s">
        <v>93</v>
      </c>
      <c r="B10" s="4">
        <f t="shared" si="0"/>
        <v>70035</v>
      </c>
      <c r="C10" t="s">
        <v>94</v>
      </c>
      <c r="D10" t="s">
        <v>42</v>
      </c>
      <c r="E10" t="s">
        <v>95</v>
      </c>
      <c r="F10">
        <v>3</v>
      </c>
      <c r="G10" t="s">
        <v>26</v>
      </c>
      <c r="H10" s="2" t="s">
        <v>27</v>
      </c>
      <c r="I10" t="s">
        <v>55</v>
      </c>
      <c r="J10" s="2" t="s">
        <v>96</v>
      </c>
      <c r="L10" s="2" t="s">
        <v>30</v>
      </c>
      <c r="M10" s="2" t="s">
        <v>31</v>
      </c>
      <c r="N10" s="2" t="s">
        <v>32</v>
      </c>
      <c r="O10" s="2" t="s">
        <v>79</v>
      </c>
      <c r="P10" s="2" t="s">
        <v>34</v>
      </c>
      <c r="Q10" t="s">
        <v>86</v>
      </c>
      <c r="R10" s="2" t="s">
        <v>87</v>
      </c>
      <c r="T10" s="2" t="s">
        <v>60</v>
      </c>
    </row>
    <row r="11" spans="1:23" x14ac:dyDescent="0.25">
      <c r="A11" t="s">
        <v>97</v>
      </c>
      <c r="B11" s="4">
        <f t="shared" si="0"/>
        <v>70036</v>
      </c>
      <c r="C11" t="s">
        <v>98</v>
      </c>
      <c r="D11" t="s">
        <v>42</v>
      </c>
      <c r="E11" t="s">
        <v>90</v>
      </c>
      <c r="F11">
        <v>3</v>
      </c>
      <c r="G11" t="s">
        <v>26</v>
      </c>
      <c r="H11" s="2" t="s">
        <v>27</v>
      </c>
      <c r="I11" t="s">
        <v>55</v>
      </c>
      <c r="J11" s="2" t="s">
        <v>99</v>
      </c>
      <c r="L11" s="2" t="s">
        <v>30</v>
      </c>
      <c r="M11" s="2" t="s">
        <v>31</v>
      </c>
      <c r="N11" s="2" t="s">
        <v>32</v>
      </c>
      <c r="O11" s="2" t="s">
        <v>100</v>
      </c>
      <c r="P11" s="2" t="s">
        <v>34</v>
      </c>
      <c r="Q11" t="s">
        <v>86</v>
      </c>
      <c r="R11" s="2" t="s">
        <v>87</v>
      </c>
      <c r="T11" s="2" t="s">
        <v>60</v>
      </c>
    </row>
    <row r="12" spans="1:23" x14ac:dyDescent="0.25">
      <c r="A12" t="s">
        <v>101</v>
      </c>
      <c r="B12" s="4">
        <f t="shared" si="0"/>
        <v>70039</v>
      </c>
      <c r="C12" t="s">
        <v>102</v>
      </c>
      <c r="D12" t="s">
        <v>103</v>
      </c>
      <c r="E12" t="s">
        <v>104</v>
      </c>
      <c r="F12">
        <v>1</v>
      </c>
      <c r="G12" t="s">
        <v>26</v>
      </c>
      <c r="H12" s="2" t="s">
        <v>27</v>
      </c>
      <c r="I12" t="s">
        <v>55</v>
      </c>
      <c r="J12" s="2" t="s">
        <v>105</v>
      </c>
      <c r="L12" s="2" t="s">
        <v>30</v>
      </c>
      <c r="M12" s="2" t="s">
        <v>31</v>
      </c>
      <c r="N12" s="2" t="s">
        <v>32</v>
      </c>
      <c r="O12" s="2" t="s">
        <v>106</v>
      </c>
      <c r="P12" s="2" t="s">
        <v>34</v>
      </c>
      <c r="Q12" t="s">
        <v>107</v>
      </c>
      <c r="R12" s="2" t="s">
        <v>108</v>
      </c>
      <c r="T12" s="2" t="s">
        <v>34</v>
      </c>
      <c r="U12" s="2" t="s">
        <v>109</v>
      </c>
      <c r="V12" s="2" t="s">
        <v>101</v>
      </c>
      <c r="W12" t="s">
        <v>110</v>
      </c>
    </row>
    <row r="13" spans="1:23" x14ac:dyDescent="0.25">
      <c r="A13" t="s">
        <v>111</v>
      </c>
      <c r="B13" s="4">
        <f t="shared" si="0"/>
        <v>70041</v>
      </c>
      <c r="C13" t="s">
        <v>112</v>
      </c>
      <c r="D13" t="s">
        <v>24</v>
      </c>
      <c r="E13" t="s">
        <v>113</v>
      </c>
      <c r="F13">
        <v>2</v>
      </c>
      <c r="G13" t="s">
        <v>26</v>
      </c>
      <c r="H13" s="2" t="s">
        <v>27</v>
      </c>
      <c r="I13" t="s">
        <v>28</v>
      </c>
      <c r="J13" s="2" t="s">
        <v>114</v>
      </c>
      <c r="L13" s="2" t="s">
        <v>30</v>
      </c>
      <c r="M13" s="2" t="s">
        <v>31</v>
      </c>
      <c r="N13" s="2" t="s">
        <v>32</v>
      </c>
      <c r="O13" s="2" t="s">
        <v>115</v>
      </c>
      <c r="P13" s="2" t="s">
        <v>34</v>
      </c>
      <c r="Q13" t="s">
        <v>46</v>
      </c>
      <c r="R13" s="2" t="s">
        <v>47</v>
      </c>
      <c r="T13" s="2" t="s">
        <v>34</v>
      </c>
      <c r="U13" s="2" t="s">
        <v>48</v>
      </c>
      <c r="V13" s="2" t="s">
        <v>116</v>
      </c>
      <c r="W13" t="s">
        <v>117</v>
      </c>
    </row>
    <row r="14" spans="1:23" x14ac:dyDescent="0.25">
      <c r="A14" t="s">
        <v>118</v>
      </c>
      <c r="B14" s="4">
        <f t="shared" si="0"/>
        <v>70042</v>
      </c>
      <c r="C14" t="s">
        <v>119</v>
      </c>
      <c r="D14" t="s">
        <v>120</v>
      </c>
      <c r="E14" t="s">
        <v>121</v>
      </c>
      <c r="F14">
        <v>1</v>
      </c>
      <c r="G14" t="s">
        <v>26</v>
      </c>
      <c r="H14" s="2" t="s">
        <v>27</v>
      </c>
      <c r="I14" t="s">
        <v>55</v>
      </c>
      <c r="J14" s="2" t="s">
        <v>122</v>
      </c>
      <c r="L14" s="2" t="s">
        <v>30</v>
      </c>
      <c r="M14" s="2" t="s">
        <v>31</v>
      </c>
      <c r="N14" s="2" t="s">
        <v>32</v>
      </c>
      <c r="O14" s="2" t="s">
        <v>123</v>
      </c>
      <c r="P14" s="2" t="s">
        <v>34</v>
      </c>
      <c r="Q14" t="s">
        <v>124</v>
      </c>
      <c r="R14" s="2" t="s">
        <v>125</v>
      </c>
      <c r="T14" s="2" t="s">
        <v>60</v>
      </c>
    </row>
    <row r="15" spans="1:23" x14ac:dyDescent="0.25">
      <c r="A15" t="s">
        <v>126</v>
      </c>
      <c r="B15" s="4">
        <f t="shared" si="0"/>
        <v>70043</v>
      </c>
      <c r="C15" t="s">
        <v>127</v>
      </c>
      <c r="D15" t="s">
        <v>120</v>
      </c>
      <c r="E15" t="s">
        <v>128</v>
      </c>
      <c r="F15">
        <v>1</v>
      </c>
      <c r="G15" t="s">
        <v>26</v>
      </c>
      <c r="H15" s="2" t="s">
        <v>27</v>
      </c>
      <c r="I15" t="s">
        <v>55</v>
      </c>
      <c r="J15" s="2" t="s">
        <v>129</v>
      </c>
      <c r="L15" s="2" t="s">
        <v>30</v>
      </c>
      <c r="M15" s="2" t="s">
        <v>31</v>
      </c>
      <c r="N15" s="2" t="s">
        <v>32</v>
      </c>
      <c r="O15" s="2" t="s">
        <v>130</v>
      </c>
      <c r="P15" s="2" t="s">
        <v>34</v>
      </c>
      <c r="Q15" t="s">
        <v>124</v>
      </c>
      <c r="R15" s="2" t="s">
        <v>125</v>
      </c>
      <c r="T15" s="2" t="s">
        <v>60</v>
      </c>
    </row>
    <row r="16" spans="1:23" x14ac:dyDescent="0.25">
      <c r="A16" t="s">
        <v>131</v>
      </c>
      <c r="B16" s="4">
        <f t="shared" si="0"/>
        <v>70051</v>
      </c>
      <c r="C16" t="s">
        <v>132</v>
      </c>
      <c r="D16" t="s">
        <v>42</v>
      </c>
      <c r="E16" t="s">
        <v>133</v>
      </c>
      <c r="F16">
        <v>2</v>
      </c>
      <c r="G16" t="s">
        <v>26</v>
      </c>
      <c r="H16" s="2" t="s">
        <v>27</v>
      </c>
      <c r="I16" t="s">
        <v>55</v>
      </c>
      <c r="J16" s="2" t="s">
        <v>134</v>
      </c>
      <c r="L16" s="2" t="s">
        <v>30</v>
      </c>
      <c r="M16" s="2" t="s">
        <v>31</v>
      </c>
      <c r="N16" s="2" t="s">
        <v>32</v>
      </c>
      <c r="O16" s="2" t="s">
        <v>135</v>
      </c>
      <c r="P16" s="2" t="s">
        <v>34</v>
      </c>
      <c r="Q16" t="s">
        <v>136</v>
      </c>
      <c r="R16" s="2" t="s">
        <v>137</v>
      </c>
      <c r="T16" s="2" t="s">
        <v>34</v>
      </c>
      <c r="U16" s="2" t="s">
        <v>138</v>
      </c>
      <c r="V16" s="2" t="s">
        <v>131</v>
      </c>
      <c r="W16" t="s">
        <v>139</v>
      </c>
    </row>
    <row r="17" spans="1:23" x14ac:dyDescent="0.25">
      <c r="A17" t="s">
        <v>140</v>
      </c>
      <c r="B17" s="4">
        <f t="shared" si="0"/>
        <v>70056</v>
      </c>
      <c r="C17" t="s">
        <v>141</v>
      </c>
      <c r="D17" t="s">
        <v>42</v>
      </c>
      <c r="E17" t="s">
        <v>142</v>
      </c>
      <c r="F17">
        <v>2</v>
      </c>
      <c r="G17" t="s">
        <v>26</v>
      </c>
      <c r="H17" s="2" t="s">
        <v>27</v>
      </c>
      <c r="I17" t="s">
        <v>28</v>
      </c>
      <c r="J17" s="2" t="s">
        <v>143</v>
      </c>
      <c r="L17" s="2" t="s">
        <v>30</v>
      </c>
      <c r="M17" s="2" t="s">
        <v>31</v>
      </c>
      <c r="N17" s="2" t="s">
        <v>32</v>
      </c>
      <c r="O17" s="2" t="s">
        <v>144</v>
      </c>
      <c r="P17" s="2" t="s">
        <v>34</v>
      </c>
      <c r="Q17" t="s">
        <v>145</v>
      </c>
      <c r="R17" s="2" t="s">
        <v>146</v>
      </c>
      <c r="T17" s="2" t="s">
        <v>60</v>
      </c>
    </row>
    <row r="18" spans="1:23" x14ac:dyDescent="0.25">
      <c r="A18" t="s">
        <v>147</v>
      </c>
      <c r="B18" s="4">
        <f t="shared" si="0"/>
        <v>70057</v>
      </c>
      <c r="C18" t="s">
        <v>148</v>
      </c>
      <c r="D18" t="s">
        <v>149</v>
      </c>
      <c r="E18" t="s">
        <v>150</v>
      </c>
      <c r="F18">
        <v>3</v>
      </c>
      <c r="G18" t="s">
        <v>26</v>
      </c>
      <c r="H18" s="2" t="s">
        <v>27</v>
      </c>
      <c r="I18" t="s">
        <v>55</v>
      </c>
      <c r="J18" s="2" t="s">
        <v>151</v>
      </c>
      <c r="L18" s="2" t="s">
        <v>30</v>
      </c>
      <c r="M18" s="2" t="s">
        <v>31</v>
      </c>
      <c r="N18" s="2" t="s">
        <v>32</v>
      </c>
      <c r="O18" s="2" t="s">
        <v>152</v>
      </c>
      <c r="P18" s="2" t="s">
        <v>34</v>
      </c>
      <c r="Q18" t="s">
        <v>153</v>
      </c>
      <c r="R18" s="2" t="s">
        <v>154</v>
      </c>
      <c r="T18" s="2" t="s">
        <v>60</v>
      </c>
    </row>
    <row r="19" spans="1:23" x14ac:dyDescent="0.25">
      <c r="A19" t="s">
        <v>155</v>
      </c>
      <c r="B19" s="4">
        <f t="shared" si="0"/>
        <v>70058</v>
      </c>
      <c r="C19" t="s">
        <v>156</v>
      </c>
      <c r="D19" t="s">
        <v>157</v>
      </c>
      <c r="E19" t="s">
        <v>158</v>
      </c>
      <c r="F19">
        <v>3</v>
      </c>
      <c r="G19" t="s">
        <v>26</v>
      </c>
      <c r="H19" s="2" t="s">
        <v>27</v>
      </c>
      <c r="I19" t="s">
        <v>55</v>
      </c>
      <c r="J19" s="2" t="s">
        <v>159</v>
      </c>
      <c r="L19" s="2" t="s">
        <v>30</v>
      </c>
      <c r="M19" s="2" t="s">
        <v>31</v>
      </c>
      <c r="N19" s="2" t="s">
        <v>32</v>
      </c>
      <c r="O19" s="2" t="s">
        <v>160</v>
      </c>
      <c r="P19" s="2" t="s">
        <v>34</v>
      </c>
      <c r="Q19" t="s">
        <v>161</v>
      </c>
      <c r="R19" s="2" t="s">
        <v>162</v>
      </c>
      <c r="T19" s="2" t="s">
        <v>34</v>
      </c>
      <c r="U19" s="2" t="s">
        <v>163</v>
      </c>
      <c r="V19" s="2" t="s">
        <v>155</v>
      </c>
      <c r="W19" t="s">
        <v>164</v>
      </c>
    </row>
    <row r="20" spans="1:23" x14ac:dyDescent="0.25">
      <c r="A20" t="s">
        <v>165</v>
      </c>
      <c r="B20" s="4">
        <f t="shared" si="0"/>
        <v>70061</v>
      </c>
      <c r="C20" t="s">
        <v>166</v>
      </c>
      <c r="D20" t="s">
        <v>120</v>
      </c>
      <c r="E20" t="s">
        <v>121</v>
      </c>
      <c r="F20">
        <v>1</v>
      </c>
      <c r="G20" t="s">
        <v>26</v>
      </c>
      <c r="H20" s="2" t="s">
        <v>27</v>
      </c>
      <c r="I20" t="s">
        <v>55</v>
      </c>
      <c r="J20" s="2" t="s">
        <v>167</v>
      </c>
      <c r="L20" s="2" t="s">
        <v>30</v>
      </c>
      <c r="M20" s="2" t="s">
        <v>31</v>
      </c>
      <c r="N20" s="2" t="s">
        <v>32</v>
      </c>
      <c r="O20" s="2" t="s">
        <v>130</v>
      </c>
      <c r="P20" s="2" t="s">
        <v>34</v>
      </c>
      <c r="Q20" t="s">
        <v>107</v>
      </c>
      <c r="R20" s="2" t="s">
        <v>108</v>
      </c>
      <c r="T20" s="2" t="s">
        <v>34</v>
      </c>
      <c r="U20" s="2" t="s">
        <v>109</v>
      </c>
      <c r="V20" s="2" t="s">
        <v>165</v>
      </c>
      <c r="W20" t="s">
        <v>168</v>
      </c>
    </row>
    <row r="21" spans="1:23" x14ac:dyDescent="0.25">
      <c r="A21" t="s">
        <v>169</v>
      </c>
      <c r="B21" s="4">
        <f t="shared" si="0"/>
        <v>70062</v>
      </c>
      <c r="C21" t="s">
        <v>170</v>
      </c>
      <c r="D21" t="s">
        <v>24</v>
      </c>
      <c r="E21" t="s">
        <v>171</v>
      </c>
      <c r="F21">
        <v>2</v>
      </c>
      <c r="G21" t="s">
        <v>26</v>
      </c>
      <c r="H21" s="2" t="s">
        <v>27</v>
      </c>
      <c r="I21" t="s">
        <v>55</v>
      </c>
      <c r="J21" s="2" t="s">
        <v>172</v>
      </c>
      <c r="L21" s="2" t="s">
        <v>30</v>
      </c>
      <c r="M21" s="2" t="s">
        <v>31</v>
      </c>
      <c r="N21" s="2" t="s">
        <v>32</v>
      </c>
      <c r="O21" s="2" t="s">
        <v>173</v>
      </c>
      <c r="P21" s="2" t="s">
        <v>34</v>
      </c>
      <c r="Q21" t="s">
        <v>174</v>
      </c>
      <c r="R21" s="2" t="s">
        <v>175</v>
      </c>
      <c r="T21" s="2" t="s">
        <v>60</v>
      </c>
    </row>
    <row r="22" spans="1:23" x14ac:dyDescent="0.25">
      <c r="A22" t="s">
        <v>176</v>
      </c>
      <c r="B22" s="4">
        <f t="shared" si="0"/>
        <v>70063</v>
      </c>
      <c r="C22" t="s">
        <v>177</v>
      </c>
      <c r="D22" t="s">
        <v>53</v>
      </c>
      <c r="E22" t="s">
        <v>178</v>
      </c>
      <c r="F22">
        <v>2</v>
      </c>
      <c r="G22" t="s">
        <v>26</v>
      </c>
      <c r="H22" s="2" t="s">
        <v>27</v>
      </c>
      <c r="I22" t="s">
        <v>55</v>
      </c>
      <c r="J22" s="2" t="s">
        <v>179</v>
      </c>
      <c r="L22" s="2" t="s">
        <v>30</v>
      </c>
      <c r="M22" s="2" t="s">
        <v>31</v>
      </c>
      <c r="N22" s="2" t="s">
        <v>32</v>
      </c>
      <c r="O22" s="2" t="s">
        <v>180</v>
      </c>
      <c r="P22" s="2" t="s">
        <v>34</v>
      </c>
      <c r="Q22" t="s">
        <v>181</v>
      </c>
      <c r="R22" s="2" t="s">
        <v>182</v>
      </c>
      <c r="T22" s="2" t="s">
        <v>60</v>
      </c>
    </row>
    <row r="23" spans="1:23" x14ac:dyDescent="0.25">
      <c r="A23" t="s">
        <v>183</v>
      </c>
      <c r="B23" s="4">
        <f t="shared" si="0"/>
        <v>70065</v>
      </c>
      <c r="C23" t="s">
        <v>184</v>
      </c>
      <c r="D23" t="s">
        <v>185</v>
      </c>
      <c r="E23" t="s">
        <v>186</v>
      </c>
      <c r="F23" t="s">
        <v>187</v>
      </c>
      <c r="G23" t="s">
        <v>26</v>
      </c>
      <c r="H23" s="2" t="s">
        <v>27</v>
      </c>
      <c r="I23" t="s">
        <v>28</v>
      </c>
      <c r="J23" s="2" t="s">
        <v>188</v>
      </c>
      <c r="L23" s="2" t="s">
        <v>30</v>
      </c>
      <c r="M23" s="2" t="s">
        <v>31</v>
      </c>
      <c r="N23" s="2" t="s">
        <v>32</v>
      </c>
      <c r="O23" s="2" t="s">
        <v>189</v>
      </c>
      <c r="P23" s="2" t="s">
        <v>34</v>
      </c>
      <c r="Q23" t="s">
        <v>190</v>
      </c>
      <c r="R23" s="2" t="s">
        <v>191</v>
      </c>
      <c r="T23" s="2" t="s">
        <v>34</v>
      </c>
      <c r="U23" s="2" t="s">
        <v>192</v>
      </c>
      <c r="V23" s="2" t="s">
        <v>193</v>
      </c>
      <c r="W23" t="s">
        <v>194</v>
      </c>
    </row>
    <row r="24" spans="1:23" x14ac:dyDescent="0.25">
      <c r="A24" t="s">
        <v>195</v>
      </c>
      <c r="B24" s="4">
        <f t="shared" si="0"/>
        <v>70066</v>
      </c>
      <c r="C24" t="s">
        <v>196</v>
      </c>
      <c r="D24" t="s">
        <v>149</v>
      </c>
      <c r="E24" t="s">
        <v>150</v>
      </c>
      <c r="F24">
        <v>3</v>
      </c>
      <c r="G24" t="s">
        <v>26</v>
      </c>
      <c r="H24" s="2" t="s">
        <v>27</v>
      </c>
      <c r="I24" t="s">
        <v>55</v>
      </c>
      <c r="J24" s="2" t="s">
        <v>197</v>
      </c>
      <c r="L24" s="2" t="s">
        <v>30</v>
      </c>
      <c r="M24" s="2" t="s">
        <v>31</v>
      </c>
      <c r="N24" s="2" t="s">
        <v>32</v>
      </c>
      <c r="O24" s="2" t="s">
        <v>198</v>
      </c>
      <c r="P24" s="2" t="s">
        <v>34</v>
      </c>
      <c r="Q24" t="s">
        <v>153</v>
      </c>
      <c r="R24" s="2" t="s">
        <v>154</v>
      </c>
      <c r="T24" s="2" t="s">
        <v>60</v>
      </c>
    </row>
    <row r="25" spans="1:23" x14ac:dyDescent="0.25">
      <c r="A25" t="s">
        <v>199</v>
      </c>
      <c r="B25" s="4">
        <f t="shared" si="0"/>
        <v>70069</v>
      </c>
      <c r="C25" t="s">
        <v>200</v>
      </c>
      <c r="D25" t="s">
        <v>42</v>
      </c>
      <c r="E25" t="s">
        <v>201</v>
      </c>
      <c r="F25">
        <v>3</v>
      </c>
      <c r="G25" t="s">
        <v>26</v>
      </c>
      <c r="H25" s="2" t="s">
        <v>27</v>
      </c>
      <c r="I25" t="s">
        <v>55</v>
      </c>
      <c r="J25" s="2" t="s">
        <v>202</v>
      </c>
      <c r="L25" s="2" t="s">
        <v>30</v>
      </c>
      <c r="M25" s="2" t="s">
        <v>31</v>
      </c>
      <c r="N25" s="2" t="s">
        <v>32</v>
      </c>
      <c r="O25" s="2" t="s">
        <v>144</v>
      </c>
      <c r="P25" s="2" t="s">
        <v>34</v>
      </c>
      <c r="Q25" t="s">
        <v>203</v>
      </c>
      <c r="R25" s="2" t="s">
        <v>204</v>
      </c>
      <c r="T25" s="2" t="s">
        <v>34</v>
      </c>
      <c r="U25" s="2" t="s">
        <v>205</v>
      </c>
      <c r="V25" s="2" t="s">
        <v>206</v>
      </c>
    </row>
    <row r="26" spans="1:23" x14ac:dyDescent="0.25">
      <c r="A26" t="s">
        <v>207</v>
      </c>
      <c r="B26" s="4">
        <f t="shared" si="0"/>
        <v>70070</v>
      </c>
      <c r="C26" t="s">
        <v>208</v>
      </c>
      <c r="D26" t="s">
        <v>42</v>
      </c>
      <c r="E26" t="s">
        <v>201</v>
      </c>
      <c r="F26">
        <v>3</v>
      </c>
      <c r="G26" t="s">
        <v>26</v>
      </c>
      <c r="H26" s="2" t="s">
        <v>27</v>
      </c>
      <c r="I26" t="s">
        <v>55</v>
      </c>
      <c r="J26" s="2" t="s">
        <v>209</v>
      </c>
      <c r="L26" s="2" t="s">
        <v>30</v>
      </c>
      <c r="M26" s="2" t="s">
        <v>31</v>
      </c>
      <c r="N26" s="2" t="s">
        <v>32</v>
      </c>
      <c r="O26" s="2" t="s">
        <v>144</v>
      </c>
      <c r="P26" s="2" t="s">
        <v>34</v>
      </c>
      <c r="Q26" t="s">
        <v>203</v>
      </c>
      <c r="R26" s="2" t="s">
        <v>204</v>
      </c>
      <c r="T26" s="2" t="s">
        <v>34</v>
      </c>
      <c r="U26" s="2" t="s">
        <v>205</v>
      </c>
      <c r="V26" s="2" t="s">
        <v>206</v>
      </c>
    </row>
    <row r="27" spans="1:23" x14ac:dyDescent="0.25">
      <c r="A27" t="s">
        <v>210</v>
      </c>
      <c r="B27" s="4">
        <f t="shared" si="0"/>
        <v>70077</v>
      </c>
      <c r="C27" t="s">
        <v>211</v>
      </c>
      <c r="D27" t="s">
        <v>24</v>
      </c>
      <c r="E27" t="s">
        <v>212</v>
      </c>
      <c r="F27">
        <v>2</v>
      </c>
      <c r="G27" t="s">
        <v>26</v>
      </c>
      <c r="H27" s="2" t="s">
        <v>27</v>
      </c>
      <c r="I27" t="s">
        <v>28</v>
      </c>
      <c r="J27" s="2" t="s">
        <v>213</v>
      </c>
      <c r="L27" s="2" t="s">
        <v>30</v>
      </c>
      <c r="M27" s="2" t="s">
        <v>31</v>
      </c>
      <c r="N27" s="2" t="s">
        <v>32</v>
      </c>
      <c r="O27" s="2" t="s">
        <v>214</v>
      </c>
      <c r="P27" s="2" t="s">
        <v>34</v>
      </c>
      <c r="Q27" t="s">
        <v>46</v>
      </c>
      <c r="R27" s="2" t="s">
        <v>47</v>
      </c>
      <c r="T27" s="2" t="s">
        <v>34</v>
      </c>
      <c r="U27" s="2" t="s">
        <v>48</v>
      </c>
      <c r="V27" s="2" t="s">
        <v>215</v>
      </c>
      <c r="W27" t="s">
        <v>216</v>
      </c>
    </row>
    <row r="28" spans="1:23" x14ac:dyDescent="0.25">
      <c r="A28" t="s">
        <v>217</v>
      </c>
      <c r="B28" s="4">
        <f t="shared" si="0"/>
        <v>70079</v>
      </c>
      <c r="C28" t="s">
        <v>218</v>
      </c>
      <c r="D28" t="s">
        <v>120</v>
      </c>
      <c r="E28" t="s">
        <v>219</v>
      </c>
      <c r="F28">
        <v>1</v>
      </c>
      <c r="G28" t="s">
        <v>26</v>
      </c>
      <c r="H28" s="2" t="s">
        <v>27</v>
      </c>
      <c r="I28" t="s">
        <v>55</v>
      </c>
      <c r="J28" s="2" t="s">
        <v>129</v>
      </c>
      <c r="L28" s="2" t="s">
        <v>30</v>
      </c>
      <c r="M28" s="2" t="s">
        <v>31</v>
      </c>
      <c r="N28" s="2" t="s">
        <v>32</v>
      </c>
      <c r="O28" s="2" t="s">
        <v>220</v>
      </c>
      <c r="P28" s="2" t="s">
        <v>34</v>
      </c>
      <c r="Q28" t="s">
        <v>107</v>
      </c>
      <c r="R28" s="2" t="s">
        <v>108</v>
      </c>
      <c r="T28" s="2" t="s">
        <v>34</v>
      </c>
      <c r="U28" s="2" t="s">
        <v>109</v>
      </c>
      <c r="V28" s="2" t="s">
        <v>217</v>
      </c>
      <c r="W28" t="s">
        <v>221</v>
      </c>
    </row>
    <row r="29" spans="1:23" x14ac:dyDescent="0.25">
      <c r="A29" t="s">
        <v>222</v>
      </c>
      <c r="B29" s="4">
        <f t="shared" si="0"/>
        <v>70081</v>
      </c>
      <c r="C29" t="s">
        <v>223</v>
      </c>
      <c r="D29" t="s">
        <v>24</v>
      </c>
      <c r="E29" t="s">
        <v>142</v>
      </c>
      <c r="F29">
        <v>2</v>
      </c>
      <c r="G29" t="s">
        <v>26</v>
      </c>
      <c r="H29" s="2" t="s">
        <v>27</v>
      </c>
      <c r="I29" t="s">
        <v>28</v>
      </c>
      <c r="J29" s="2" t="s">
        <v>224</v>
      </c>
      <c r="L29" s="2" t="s">
        <v>30</v>
      </c>
      <c r="M29" s="2" t="s">
        <v>31</v>
      </c>
      <c r="N29" s="2" t="s">
        <v>32</v>
      </c>
      <c r="O29" s="2" t="s">
        <v>214</v>
      </c>
      <c r="P29" s="2" t="s">
        <v>34</v>
      </c>
      <c r="Q29" t="s">
        <v>46</v>
      </c>
      <c r="R29" s="2" t="s">
        <v>47</v>
      </c>
      <c r="T29" s="2" t="s">
        <v>34</v>
      </c>
      <c r="U29" s="2" t="s">
        <v>48</v>
      </c>
      <c r="V29" s="2" t="s">
        <v>225</v>
      </c>
      <c r="W29" t="s">
        <v>226</v>
      </c>
    </row>
    <row r="30" spans="1:23" x14ac:dyDescent="0.25">
      <c r="A30" t="s">
        <v>227</v>
      </c>
      <c r="B30" s="4">
        <f t="shared" si="0"/>
        <v>70087</v>
      </c>
      <c r="C30" t="s">
        <v>228</v>
      </c>
      <c r="D30" t="s">
        <v>149</v>
      </c>
      <c r="E30" t="s">
        <v>229</v>
      </c>
      <c r="F30">
        <v>3</v>
      </c>
      <c r="G30" t="s">
        <v>26</v>
      </c>
      <c r="H30" s="2" t="s">
        <v>27</v>
      </c>
      <c r="I30" t="s">
        <v>28</v>
      </c>
      <c r="J30" s="2" t="s">
        <v>230</v>
      </c>
      <c r="L30" s="2" t="s">
        <v>30</v>
      </c>
      <c r="M30" s="2" t="s">
        <v>31</v>
      </c>
      <c r="N30" s="2" t="s">
        <v>32</v>
      </c>
      <c r="O30" s="2" t="s">
        <v>231</v>
      </c>
      <c r="P30" s="2" t="s">
        <v>34</v>
      </c>
      <c r="Q30" t="s">
        <v>232</v>
      </c>
      <c r="R30" s="2" t="s">
        <v>233</v>
      </c>
      <c r="T30" s="2" t="s">
        <v>34</v>
      </c>
      <c r="U30" s="2" t="s">
        <v>234</v>
      </c>
      <c r="V30" s="2" t="s">
        <v>235</v>
      </c>
      <c r="W30" t="s">
        <v>228</v>
      </c>
    </row>
    <row r="31" spans="1:23" x14ac:dyDescent="0.25">
      <c r="A31" t="s">
        <v>236</v>
      </c>
      <c r="B31" s="4">
        <f t="shared" si="0"/>
        <v>70089</v>
      </c>
      <c r="C31" t="s">
        <v>237</v>
      </c>
      <c r="D31" t="s">
        <v>103</v>
      </c>
      <c r="E31" t="s">
        <v>238</v>
      </c>
      <c r="F31">
        <v>1</v>
      </c>
      <c r="G31" t="s">
        <v>26</v>
      </c>
      <c r="H31" s="2" t="s">
        <v>27</v>
      </c>
      <c r="I31" t="s">
        <v>55</v>
      </c>
      <c r="J31" s="2" t="s">
        <v>239</v>
      </c>
      <c r="L31" s="2" t="s">
        <v>30</v>
      </c>
      <c r="M31" s="2" t="s">
        <v>31</v>
      </c>
      <c r="N31" s="2" t="s">
        <v>32</v>
      </c>
      <c r="O31" s="2" t="s">
        <v>240</v>
      </c>
      <c r="P31" s="2" t="s">
        <v>34</v>
      </c>
      <c r="Q31" t="s">
        <v>241</v>
      </c>
      <c r="R31" s="2" t="s">
        <v>242</v>
      </c>
      <c r="T31" s="2" t="s">
        <v>60</v>
      </c>
    </row>
    <row r="32" spans="1:23" x14ac:dyDescent="0.25">
      <c r="A32" t="s">
        <v>243</v>
      </c>
      <c r="B32" s="4">
        <f t="shared" si="0"/>
        <v>70090</v>
      </c>
      <c r="C32" t="s">
        <v>244</v>
      </c>
      <c r="D32" t="s">
        <v>245</v>
      </c>
      <c r="E32" t="s">
        <v>246</v>
      </c>
      <c r="F32">
        <v>2</v>
      </c>
      <c r="G32" t="s">
        <v>26</v>
      </c>
      <c r="H32" s="2" t="s">
        <v>27</v>
      </c>
      <c r="I32" t="s">
        <v>55</v>
      </c>
      <c r="J32" s="2" t="s">
        <v>247</v>
      </c>
      <c r="L32" s="2" t="s">
        <v>30</v>
      </c>
      <c r="M32" s="2" t="s">
        <v>31</v>
      </c>
      <c r="N32" s="2" t="s">
        <v>32</v>
      </c>
      <c r="O32" s="2" t="s">
        <v>248</v>
      </c>
      <c r="P32" s="2" t="s">
        <v>34</v>
      </c>
      <c r="Q32" t="s">
        <v>249</v>
      </c>
      <c r="R32" s="2" t="s">
        <v>206</v>
      </c>
      <c r="S32" s="2" t="s">
        <v>250</v>
      </c>
      <c r="T32" s="2" t="s">
        <v>60</v>
      </c>
    </row>
    <row r="33" spans="1:23" x14ac:dyDescent="0.25">
      <c r="A33" t="s">
        <v>251</v>
      </c>
      <c r="B33" s="4">
        <f t="shared" si="0"/>
        <v>70092</v>
      </c>
      <c r="C33" t="s">
        <v>252</v>
      </c>
      <c r="D33" t="s">
        <v>103</v>
      </c>
      <c r="E33" t="s">
        <v>238</v>
      </c>
      <c r="F33">
        <v>1</v>
      </c>
      <c r="G33" t="s">
        <v>26</v>
      </c>
      <c r="H33" s="2" t="s">
        <v>27</v>
      </c>
      <c r="I33" t="s">
        <v>55</v>
      </c>
      <c r="J33" s="2" t="s">
        <v>253</v>
      </c>
      <c r="L33" s="2" t="s">
        <v>30</v>
      </c>
      <c r="M33" s="2" t="s">
        <v>31</v>
      </c>
      <c r="N33" s="2" t="s">
        <v>32</v>
      </c>
      <c r="O33" s="2" t="s">
        <v>106</v>
      </c>
      <c r="P33" s="2" t="s">
        <v>34</v>
      </c>
      <c r="Q33" t="s">
        <v>254</v>
      </c>
      <c r="R33" s="2" t="s">
        <v>255</v>
      </c>
      <c r="T33" s="2" t="s">
        <v>60</v>
      </c>
    </row>
    <row r="34" spans="1:23" x14ac:dyDescent="0.25">
      <c r="A34" t="s">
        <v>256</v>
      </c>
      <c r="B34" s="4">
        <f t="shared" si="0"/>
        <v>70093</v>
      </c>
      <c r="C34" t="s">
        <v>257</v>
      </c>
      <c r="D34" t="s">
        <v>53</v>
      </c>
      <c r="E34" t="s">
        <v>178</v>
      </c>
      <c r="F34">
        <v>2</v>
      </c>
      <c r="G34" t="s">
        <v>26</v>
      </c>
      <c r="H34" s="2" t="s">
        <v>27</v>
      </c>
      <c r="I34" t="s">
        <v>55</v>
      </c>
      <c r="J34" s="2" t="s">
        <v>258</v>
      </c>
      <c r="L34" s="2" t="s">
        <v>30</v>
      </c>
      <c r="M34" s="2" t="s">
        <v>31</v>
      </c>
      <c r="N34" s="2" t="s">
        <v>32</v>
      </c>
      <c r="O34" s="2" t="s">
        <v>180</v>
      </c>
      <c r="P34" s="2" t="s">
        <v>34</v>
      </c>
      <c r="Q34" t="s">
        <v>259</v>
      </c>
      <c r="R34" s="2" t="s">
        <v>260</v>
      </c>
      <c r="T34" s="2" t="s">
        <v>60</v>
      </c>
    </row>
    <row r="35" spans="1:23" x14ac:dyDescent="0.25">
      <c r="A35" t="s">
        <v>261</v>
      </c>
      <c r="B35" s="4">
        <f t="shared" si="0"/>
        <v>70095</v>
      </c>
      <c r="C35" t="s">
        <v>262</v>
      </c>
      <c r="D35" t="s">
        <v>24</v>
      </c>
      <c r="E35" t="s">
        <v>263</v>
      </c>
      <c r="F35">
        <v>2</v>
      </c>
      <c r="G35" t="s">
        <v>26</v>
      </c>
      <c r="H35" s="2" t="s">
        <v>27</v>
      </c>
      <c r="I35" t="s">
        <v>55</v>
      </c>
      <c r="J35" s="2" t="s">
        <v>264</v>
      </c>
      <c r="L35" s="2" t="s">
        <v>30</v>
      </c>
      <c r="M35" s="2" t="s">
        <v>31</v>
      </c>
      <c r="N35" s="2" t="s">
        <v>32</v>
      </c>
      <c r="O35" s="2" t="s">
        <v>265</v>
      </c>
      <c r="P35" s="2" t="s">
        <v>34</v>
      </c>
      <c r="Q35" t="s">
        <v>266</v>
      </c>
      <c r="R35" s="2" t="s">
        <v>206</v>
      </c>
      <c r="S35" s="2" t="s">
        <v>267</v>
      </c>
      <c r="T35" s="2" t="s">
        <v>34</v>
      </c>
      <c r="U35" s="2" t="s">
        <v>268</v>
      </c>
      <c r="V35" s="2" t="s">
        <v>269</v>
      </c>
      <c r="W35" t="s">
        <v>270</v>
      </c>
    </row>
    <row r="36" spans="1:23" x14ac:dyDescent="0.25">
      <c r="A36" t="s">
        <v>271</v>
      </c>
      <c r="B36" s="4">
        <f t="shared" si="0"/>
        <v>70096</v>
      </c>
      <c r="C36" t="s">
        <v>272</v>
      </c>
      <c r="D36" t="s">
        <v>42</v>
      </c>
      <c r="E36" t="s">
        <v>273</v>
      </c>
      <c r="F36">
        <v>3</v>
      </c>
      <c r="G36" t="s">
        <v>26</v>
      </c>
      <c r="H36" s="2" t="s">
        <v>27</v>
      </c>
      <c r="I36" t="s">
        <v>55</v>
      </c>
      <c r="J36" s="2" t="s">
        <v>274</v>
      </c>
      <c r="L36" s="2" t="s">
        <v>30</v>
      </c>
      <c r="M36" s="2" t="s">
        <v>31</v>
      </c>
      <c r="N36" s="2" t="s">
        <v>32</v>
      </c>
      <c r="O36" s="2" t="s">
        <v>275</v>
      </c>
      <c r="P36" s="2" t="s">
        <v>34</v>
      </c>
      <c r="Q36" t="s">
        <v>203</v>
      </c>
      <c r="R36" s="2" t="s">
        <v>204</v>
      </c>
      <c r="T36" s="2" t="s">
        <v>34</v>
      </c>
      <c r="U36" s="2" t="s">
        <v>205</v>
      </c>
      <c r="V36" s="2" t="s">
        <v>271</v>
      </c>
      <c r="W36" t="s">
        <v>276</v>
      </c>
    </row>
    <row r="37" spans="1:23" x14ac:dyDescent="0.25">
      <c r="A37" t="s">
        <v>277</v>
      </c>
      <c r="B37" s="4">
        <f t="shared" si="0"/>
        <v>70098</v>
      </c>
      <c r="C37" t="s">
        <v>278</v>
      </c>
      <c r="D37" t="s">
        <v>279</v>
      </c>
      <c r="E37" t="s">
        <v>280</v>
      </c>
      <c r="F37">
        <v>1</v>
      </c>
      <c r="G37" t="s">
        <v>26</v>
      </c>
      <c r="H37" s="2" t="s">
        <v>27</v>
      </c>
      <c r="I37" t="s">
        <v>55</v>
      </c>
      <c r="J37" s="2" t="s">
        <v>281</v>
      </c>
      <c r="L37" s="2" t="s">
        <v>30</v>
      </c>
      <c r="M37" s="2" t="s">
        <v>31</v>
      </c>
      <c r="N37" s="2" t="s">
        <v>32</v>
      </c>
      <c r="O37" s="2" t="s">
        <v>189</v>
      </c>
      <c r="P37" s="2" t="s">
        <v>34</v>
      </c>
      <c r="Q37" t="s">
        <v>282</v>
      </c>
      <c r="R37" s="2" t="s">
        <v>206</v>
      </c>
      <c r="S37" s="2" t="s">
        <v>283</v>
      </c>
      <c r="T37" s="2" t="s">
        <v>60</v>
      </c>
    </row>
    <row r="38" spans="1:23" x14ac:dyDescent="0.25">
      <c r="A38" t="s">
        <v>284</v>
      </c>
      <c r="B38" s="4">
        <f t="shared" si="0"/>
        <v>70099</v>
      </c>
      <c r="C38" t="s">
        <v>285</v>
      </c>
      <c r="D38" t="s">
        <v>279</v>
      </c>
      <c r="E38" t="s">
        <v>273</v>
      </c>
      <c r="F38">
        <v>1</v>
      </c>
      <c r="G38" t="s">
        <v>26</v>
      </c>
      <c r="H38" s="2" t="s">
        <v>27</v>
      </c>
      <c r="I38" t="s">
        <v>55</v>
      </c>
      <c r="J38" s="2" t="s">
        <v>286</v>
      </c>
      <c r="L38" s="2" t="s">
        <v>30</v>
      </c>
      <c r="M38" s="2" t="s">
        <v>31</v>
      </c>
      <c r="N38" s="2" t="s">
        <v>32</v>
      </c>
      <c r="O38" s="2" t="s">
        <v>220</v>
      </c>
      <c r="P38" s="2" t="s">
        <v>34</v>
      </c>
      <c r="Q38" t="s">
        <v>287</v>
      </c>
      <c r="R38" s="2" t="s">
        <v>288</v>
      </c>
      <c r="T38" s="2" t="s">
        <v>60</v>
      </c>
    </row>
    <row r="39" spans="1:23" x14ac:dyDescent="0.25">
      <c r="A39" t="s">
        <v>289</v>
      </c>
      <c r="B39" s="4">
        <f t="shared" si="0"/>
        <v>70100</v>
      </c>
      <c r="C39" t="s">
        <v>290</v>
      </c>
      <c r="D39" t="s">
        <v>291</v>
      </c>
      <c r="E39" t="s">
        <v>273</v>
      </c>
      <c r="F39">
        <v>1</v>
      </c>
      <c r="G39" t="s">
        <v>26</v>
      </c>
      <c r="H39" s="2" t="s">
        <v>27</v>
      </c>
      <c r="I39" t="s">
        <v>55</v>
      </c>
      <c r="J39" s="2" t="s">
        <v>292</v>
      </c>
      <c r="L39" s="2" t="s">
        <v>30</v>
      </c>
      <c r="M39" s="2" t="s">
        <v>31</v>
      </c>
      <c r="N39" s="2" t="s">
        <v>32</v>
      </c>
      <c r="O39" s="2" t="s">
        <v>220</v>
      </c>
      <c r="P39" s="2" t="s">
        <v>34</v>
      </c>
      <c r="Q39" t="s">
        <v>293</v>
      </c>
      <c r="R39" s="2" t="s">
        <v>294</v>
      </c>
      <c r="T39" s="2" t="s">
        <v>60</v>
      </c>
    </row>
    <row r="40" spans="1:23" x14ac:dyDescent="0.25">
      <c r="A40" t="s">
        <v>295</v>
      </c>
      <c r="B40" s="4">
        <f t="shared" si="0"/>
        <v>70101</v>
      </c>
      <c r="C40" t="s">
        <v>296</v>
      </c>
      <c r="D40" t="s">
        <v>297</v>
      </c>
      <c r="E40" t="s">
        <v>298</v>
      </c>
      <c r="F40">
        <v>1</v>
      </c>
      <c r="G40" t="s">
        <v>26</v>
      </c>
      <c r="H40" s="2" t="s">
        <v>27</v>
      </c>
      <c r="I40" t="s">
        <v>55</v>
      </c>
      <c r="J40" s="2" t="s">
        <v>299</v>
      </c>
      <c r="L40" s="2" t="s">
        <v>30</v>
      </c>
      <c r="M40" s="2" t="s">
        <v>31</v>
      </c>
      <c r="N40" s="2" t="s">
        <v>32</v>
      </c>
      <c r="O40" s="2" t="s">
        <v>130</v>
      </c>
      <c r="P40" s="2" t="s">
        <v>34</v>
      </c>
      <c r="Q40" t="s">
        <v>300</v>
      </c>
      <c r="R40" s="2" t="s">
        <v>301</v>
      </c>
      <c r="T40" s="2" t="s">
        <v>60</v>
      </c>
    </row>
    <row r="41" spans="1:23" x14ac:dyDescent="0.25">
      <c r="A41" t="s">
        <v>302</v>
      </c>
      <c r="B41" s="4">
        <f t="shared" si="0"/>
        <v>70102</v>
      </c>
      <c r="C41" t="s">
        <v>303</v>
      </c>
      <c r="D41" t="s">
        <v>297</v>
      </c>
      <c r="E41" t="s">
        <v>304</v>
      </c>
      <c r="F41">
        <v>1</v>
      </c>
      <c r="G41" t="s">
        <v>26</v>
      </c>
      <c r="H41" s="2" t="s">
        <v>27</v>
      </c>
      <c r="I41" t="s">
        <v>55</v>
      </c>
      <c r="J41" s="2" t="s">
        <v>305</v>
      </c>
      <c r="L41" s="2" t="s">
        <v>30</v>
      </c>
      <c r="M41" s="2" t="s">
        <v>31</v>
      </c>
      <c r="N41" s="2" t="s">
        <v>32</v>
      </c>
      <c r="O41" s="2" t="s">
        <v>306</v>
      </c>
      <c r="P41" s="2" t="s">
        <v>34</v>
      </c>
      <c r="Q41" t="s">
        <v>307</v>
      </c>
      <c r="R41" s="2" t="s">
        <v>308</v>
      </c>
      <c r="T41" s="2" t="s">
        <v>34</v>
      </c>
      <c r="U41" s="2" t="s">
        <v>309</v>
      </c>
      <c r="V41" s="2" t="s">
        <v>302</v>
      </c>
      <c r="W41" t="s">
        <v>310</v>
      </c>
    </row>
    <row r="42" spans="1:23" x14ac:dyDescent="0.25">
      <c r="A42" t="s">
        <v>311</v>
      </c>
      <c r="B42" s="4">
        <f t="shared" si="0"/>
        <v>70104</v>
      </c>
      <c r="C42" t="s">
        <v>312</v>
      </c>
      <c r="D42" t="s">
        <v>297</v>
      </c>
      <c r="E42" t="s">
        <v>313</v>
      </c>
      <c r="F42">
        <v>1</v>
      </c>
      <c r="G42" t="s">
        <v>26</v>
      </c>
      <c r="H42" s="2" t="s">
        <v>27</v>
      </c>
      <c r="I42" t="s">
        <v>55</v>
      </c>
      <c r="J42" s="2" t="s">
        <v>314</v>
      </c>
      <c r="L42" s="2" t="s">
        <v>30</v>
      </c>
      <c r="M42" s="2" t="s">
        <v>31</v>
      </c>
      <c r="N42" s="2" t="s">
        <v>32</v>
      </c>
      <c r="O42" s="2" t="s">
        <v>315</v>
      </c>
      <c r="P42" s="2" t="s">
        <v>34</v>
      </c>
      <c r="Q42" t="s">
        <v>316</v>
      </c>
      <c r="R42" s="2" t="s">
        <v>317</v>
      </c>
      <c r="T42" s="2" t="s">
        <v>60</v>
      </c>
    </row>
    <row r="43" spans="1:23" x14ac:dyDescent="0.25">
      <c r="A43" t="s">
        <v>318</v>
      </c>
      <c r="B43" s="4">
        <f t="shared" si="0"/>
        <v>70107</v>
      </c>
      <c r="C43" t="s">
        <v>319</v>
      </c>
      <c r="D43" t="s">
        <v>320</v>
      </c>
      <c r="E43" t="s">
        <v>321</v>
      </c>
      <c r="F43">
        <v>1</v>
      </c>
      <c r="G43" t="s">
        <v>26</v>
      </c>
      <c r="H43" s="2" t="s">
        <v>27</v>
      </c>
      <c r="I43" t="s">
        <v>55</v>
      </c>
      <c r="J43" s="2" t="s">
        <v>322</v>
      </c>
      <c r="L43" s="2" t="s">
        <v>30</v>
      </c>
      <c r="M43" s="2" t="s">
        <v>31</v>
      </c>
      <c r="N43" s="2" t="s">
        <v>32</v>
      </c>
      <c r="O43" s="2" t="s">
        <v>323</v>
      </c>
      <c r="P43" s="2" t="s">
        <v>34</v>
      </c>
      <c r="Q43" t="s">
        <v>324</v>
      </c>
      <c r="R43" s="2" t="s">
        <v>206</v>
      </c>
      <c r="S43" s="2" t="s">
        <v>325</v>
      </c>
      <c r="T43" s="2" t="s">
        <v>60</v>
      </c>
    </row>
    <row r="44" spans="1:23" x14ac:dyDescent="0.25">
      <c r="A44" t="s">
        <v>326</v>
      </c>
      <c r="B44" s="4">
        <f t="shared" si="0"/>
        <v>70108</v>
      </c>
      <c r="C44" t="s">
        <v>327</v>
      </c>
      <c r="D44" t="s">
        <v>320</v>
      </c>
      <c r="E44" t="s">
        <v>238</v>
      </c>
      <c r="F44">
        <v>1</v>
      </c>
      <c r="G44" t="s">
        <v>26</v>
      </c>
      <c r="H44" s="2" t="s">
        <v>27</v>
      </c>
      <c r="I44" t="s">
        <v>55</v>
      </c>
      <c r="J44" s="2" t="s">
        <v>322</v>
      </c>
      <c r="L44" s="2" t="s">
        <v>30</v>
      </c>
      <c r="M44" s="2" t="s">
        <v>31</v>
      </c>
      <c r="N44" s="2" t="s">
        <v>32</v>
      </c>
      <c r="O44" s="2" t="s">
        <v>323</v>
      </c>
      <c r="P44" s="2" t="s">
        <v>34</v>
      </c>
      <c r="Q44" t="s">
        <v>324</v>
      </c>
      <c r="R44" s="2" t="s">
        <v>206</v>
      </c>
      <c r="S44" s="2" t="s">
        <v>325</v>
      </c>
      <c r="T44" s="2" t="s">
        <v>60</v>
      </c>
    </row>
    <row r="45" spans="1:23" x14ac:dyDescent="0.25">
      <c r="A45" t="s">
        <v>328</v>
      </c>
      <c r="B45" s="4">
        <f t="shared" si="0"/>
        <v>70109</v>
      </c>
      <c r="C45" t="s">
        <v>329</v>
      </c>
      <c r="D45" t="s">
        <v>320</v>
      </c>
      <c r="E45" t="s">
        <v>67</v>
      </c>
      <c r="F45">
        <v>1</v>
      </c>
      <c r="G45" t="s">
        <v>26</v>
      </c>
      <c r="H45" s="2" t="s">
        <v>27</v>
      </c>
      <c r="I45" t="s">
        <v>55</v>
      </c>
      <c r="J45" s="2" t="s">
        <v>330</v>
      </c>
      <c r="L45" s="2" t="s">
        <v>30</v>
      </c>
      <c r="M45" s="2" t="s">
        <v>31</v>
      </c>
      <c r="N45" s="2" t="s">
        <v>32</v>
      </c>
      <c r="O45" s="2" t="s">
        <v>220</v>
      </c>
      <c r="P45" s="2" t="s">
        <v>34</v>
      </c>
      <c r="Q45" t="s">
        <v>331</v>
      </c>
      <c r="R45" s="2" t="s">
        <v>206</v>
      </c>
      <c r="S45" s="2" t="s">
        <v>332</v>
      </c>
      <c r="T45" s="2" t="s">
        <v>60</v>
      </c>
    </row>
    <row r="46" spans="1:23" x14ac:dyDescent="0.25">
      <c r="A46" t="s">
        <v>333</v>
      </c>
      <c r="B46" s="4">
        <f t="shared" si="0"/>
        <v>70110</v>
      </c>
      <c r="C46" t="s">
        <v>334</v>
      </c>
      <c r="D46" t="s">
        <v>320</v>
      </c>
      <c r="E46" t="s">
        <v>335</v>
      </c>
      <c r="F46">
        <v>1</v>
      </c>
      <c r="G46" t="s">
        <v>26</v>
      </c>
      <c r="H46" s="2" t="s">
        <v>27</v>
      </c>
      <c r="I46" t="s">
        <v>55</v>
      </c>
      <c r="J46" s="2" t="s">
        <v>336</v>
      </c>
      <c r="L46" s="2" t="s">
        <v>30</v>
      </c>
      <c r="M46" s="2" t="s">
        <v>31</v>
      </c>
      <c r="N46" s="2" t="s">
        <v>32</v>
      </c>
      <c r="O46" s="2" t="s">
        <v>220</v>
      </c>
      <c r="P46" s="2" t="s">
        <v>34</v>
      </c>
      <c r="Q46" t="s">
        <v>337</v>
      </c>
      <c r="R46" s="2" t="s">
        <v>206</v>
      </c>
      <c r="S46" s="2" t="s">
        <v>338</v>
      </c>
      <c r="T46" s="2" t="s">
        <v>34</v>
      </c>
      <c r="U46" s="2" t="s">
        <v>339</v>
      </c>
      <c r="V46" s="2" t="s">
        <v>333</v>
      </c>
      <c r="W46" t="s">
        <v>334</v>
      </c>
    </row>
    <row r="47" spans="1:23" x14ac:dyDescent="0.25">
      <c r="A47" t="s">
        <v>340</v>
      </c>
      <c r="B47" s="4">
        <f t="shared" si="0"/>
        <v>70119</v>
      </c>
      <c r="C47" t="s">
        <v>341</v>
      </c>
      <c r="D47" t="s">
        <v>42</v>
      </c>
      <c r="E47" t="s">
        <v>273</v>
      </c>
      <c r="F47">
        <v>3</v>
      </c>
      <c r="G47" t="s">
        <v>26</v>
      </c>
      <c r="H47" s="2" t="s">
        <v>27</v>
      </c>
      <c r="I47" t="s">
        <v>55</v>
      </c>
      <c r="J47" s="2" t="s">
        <v>342</v>
      </c>
      <c r="L47" s="2" t="s">
        <v>30</v>
      </c>
      <c r="M47" s="2" t="s">
        <v>31</v>
      </c>
      <c r="N47" s="2" t="s">
        <v>32</v>
      </c>
      <c r="O47" s="2" t="s">
        <v>275</v>
      </c>
      <c r="P47" s="2" t="s">
        <v>34</v>
      </c>
      <c r="Q47" t="s">
        <v>343</v>
      </c>
      <c r="R47" s="2" t="s">
        <v>344</v>
      </c>
      <c r="T47" s="2" t="s">
        <v>60</v>
      </c>
    </row>
    <row r="48" spans="1:23" x14ac:dyDescent="0.25">
      <c r="A48" t="s">
        <v>345</v>
      </c>
      <c r="B48" s="4">
        <f t="shared" si="0"/>
        <v>70122</v>
      </c>
      <c r="C48" t="s">
        <v>346</v>
      </c>
      <c r="D48" t="s">
        <v>103</v>
      </c>
      <c r="E48" t="s">
        <v>347</v>
      </c>
      <c r="F48">
        <v>1</v>
      </c>
      <c r="G48" t="s">
        <v>26</v>
      </c>
      <c r="H48" s="2" t="s">
        <v>27</v>
      </c>
      <c r="I48" t="s">
        <v>55</v>
      </c>
      <c r="J48" s="2" t="s">
        <v>84</v>
      </c>
      <c r="L48" s="2" t="s">
        <v>30</v>
      </c>
      <c r="M48" s="2" t="s">
        <v>31</v>
      </c>
      <c r="N48" s="2" t="s">
        <v>32</v>
      </c>
      <c r="O48" s="2" t="s">
        <v>123</v>
      </c>
      <c r="P48" s="2" t="s">
        <v>34</v>
      </c>
      <c r="Q48" t="s">
        <v>348</v>
      </c>
      <c r="R48" s="2" t="s">
        <v>206</v>
      </c>
      <c r="S48" s="2" t="s">
        <v>349</v>
      </c>
      <c r="T48" s="2" t="s">
        <v>60</v>
      </c>
    </row>
    <row r="49" spans="1:23" x14ac:dyDescent="0.25">
      <c r="A49" t="s">
        <v>350</v>
      </c>
      <c r="B49" s="4">
        <f t="shared" si="0"/>
        <v>70123</v>
      </c>
      <c r="C49" t="s">
        <v>351</v>
      </c>
      <c r="D49" t="s">
        <v>320</v>
      </c>
      <c r="E49" t="s">
        <v>238</v>
      </c>
      <c r="F49">
        <v>1</v>
      </c>
      <c r="G49" t="s">
        <v>352</v>
      </c>
      <c r="H49" s="2" t="s">
        <v>27</v>
      </c>
      <c r="I49" t="s">
        <v>28</v>
      </c>
      <c r="J49" s="2" t="s">
        <v>353</v>
      </c>
      <c r="L49" s="2" t="s">
        <v>30</v>
      </c>
      <c r="M49" s="2" t="s">
        <v>31</v>
      </c>
      <c r="N49" s="2" t="s">
        <v>32</v>
      </c>
      <c r="O49" s="2" t="s">
        <v>354</v>
      </c>
      <c r="P49" s="2" t="s">
        <v>34</v>
      </c>
      <c r="Q49" t="s">
        <v>355</v>
      </c>
      <c r="R49" s="2" t="s">
        <v>206</v>
      </c>
      <c r="S49" s="2" t="s">
        <v>356</v>
      </c>
      <c r="T49" s="2" t="s">
        <v>34</v>
      </c>
      <c r="U49" s="2" t="s">
        <v>357</v>
      </c>
      <c r="V49" s="2" t="s">
        <v>358</v>
      </c>
      <c r="W49" t="s">
        <v>359</v>
      </c>
    </row>
    <row r="50" spans="1:23" x14ac:dyDescent="0.25">
      <c r="A50" t="s">
        <v>360</v>
      </c>
      <c r="B50" s="4">
        <f t="shared" si="0"/>
        <v>70128</v>
      </c>
      <c r="C50" t="s">
        <v>361</v>
      </c>
      <c r="D50" t="s">
        <v>149</v>
      </c>
      <c r="E50" t="s">
        <v>347</v>
      </c>
      <c r="F50">
        <v>3</v>
      </c>
      <c r="G50" t="s">
        <v>26</v>
      </c>
      <c r="H50" s="2" t="s">
        <v>27</v>
      </c>
      <c r="I50" t="s">
        <v>55</v>
      </c>
      <c r="J50" s="2" t="s">
        <v>362</v>
      </c>
      <c r="L50" s="2" t="s">
        <v>30</v>
      </c>
      <c r="M50" s="2" t="s">
        <v>31</v>
      </c>
      <c r="N50" s="2" t="s">
        <v>32</v>
      </c>
      <c r="O50" s="2" t="s">
        <v>198</v>
      </c>
      <c r="P50" s="2" t="s">
        <v>34</v>
      </c>
      <c r="Q50" t="s">
        <v>153</v>
      </c>
      <c r="R50" s="2" t="s">
        <v>154</v>
      </c>
      <c r="T50" s="2" t="s">
        <v>60</v>
      </c>
    </row>
    <row r="51" spans="1:23" x14ac:dyDescent="0.25">
      <c r="A51" t="s">
        <v>363</v>
      </c>
      <c r="B51" s="4">
        <f t="shared" si="0"/>
        <v>70129</v>
      </c>
      <c r="C51" t="s">
        <v>364</v>
      </c>
      <c r="D51" t="s">
        <v>365</v>
      </c>
      <c r="E51" t="s">
        <v>366</v>
      </c>
      <c r="F51" t="s">
        <v>367</v>
      </c>
      <c r="G51" t="s">
        <v>26</v>
      </c>
      <c r="H51" s="2" t="s">
        <v>27</v>
      </c>
      <c r="I51" t="s">
        <v>368</v>
      </c>
      <c r="J51" s="2" t="s">
        <v>369</v>
      </c>
      <c r="L51" s="2" t="s">
        <v>30</v>
      </c>
      <c r="M51" s="2" t="s">
        <v>31</v>
      </c>
      <c r="N51" s="2" t="s">
        <v>32</v>
      </c>
      <c r="O51" s="2" t="s">
        <v>370</v>
      </c>
      <c r="P51" s="2" t="s">
        <v>60</v>
      </c>
      <c r="R51" s="2" t="s">
        <v>206</v>
      </c>
      <c r="T51" s="2" t="s">
        <v>60</v>
      </c>
    </row>
    <row r="52" spans="1:23" x14ac:dyDescent="0.25">
      <c r="A52" t="s">
        <v>371</v>
      </c>
      <c r="B52" s="4">
        <f t="shared" si="0"/>
        <v>70149</v>
      </c>
      <c r="C52" t="s">
        <v>372</v>
      </c>
      <c r="D52" t="s">
        <v>53</v>
      </c>
      <c r="E52" t="s">
        <v>63</v>
      </c>
      <c r="F52">
        <v>2</v>
      </c>
      <c r="G52" t="s">
        <v>26</v>
      </c>
      <c r="H52" s="2" t="s">
        <v>373</v>
      </c>
      <c r="I52" t="s">
        <v>368</v>
      </c>
      <c r="K52" s="2" t="s">
        <v>374</v>
      </c>
      <c r="L52" s="2" t="s">
        <v>30</v>
      </c>
      <c r="M52" s="2" t="s">
        <v>31</v>
      </c>
      <c r="N52" s="2" t="s">
        <v>32</v>
      </c>
      <c r="O52" s="2" t="s">
        <v>375</v>
      </c>
      <c r="P52" s="2" t="s">
        <v>60</v>
      </c>
      <c r="R52" s="2" t="s">
        <v>206</v>
      </c>
      <c r="T52" s="2" t="s">
        <v>60</v>
      </c>
    </row>
    <row r="53" spans="1:23" x14ac:dyDescent="0.25">
      <c r="A53" t="s">
        <v>376</v>
      </c>
      <c r="B53" s="4">
        <f t="shared" si="0"/>
        <v>70190</v>
      </c>
      <c r="C53" t="s">
        <v>377</v>
      </c>
      <c r="D53" t="s">
        <v>365</v>
      </c>
      <c r="E53" t="s">
        <v>378</v>
      </c>
      <c r="F53" t="s">
        <v>187</v>
      </c>
      <c r="G53" t="s">
        <v>352</v>
      </c>
      <c r="H53" s="2" t="s">
        <v>373</v>
      </c>
      <c r="I53" t="s">
        <v>379</v>
      </c>
      <c r="K53" s="2" t="s">
        <v>380</v>
      </c>
      <c r="L53" s="2" t="s">
        <v>30</v>
      </c>
      <c r="M53" s="2" t="s">
        <v>31</v>
      </c>
      <c r="N53" s="2" t="s">
        <v>32</v>
      </c>
      <c r="O53" s="2" t="s">
        <v>381</v>
      </c>
      <c r="P53" s="2" t="s">
        <v>34</v>
      </c>
      <c r="Q53" t="s">
        <v>382</v>
      </c>
      <c r="R53" s="2" t="s">
        <v>206</v>
      </c>
      <c r="S53" s="2" t="s">
        <v>383</v>
      </c>
      <c r="T53" s="2" t="s">
        <v>60</v>
      </c>
    </row>
    <row r="54" spans="1:23" x14ac:dyDescent="0.25">
      <c r="A54" t="s">
        <v>384</v>
      </c>
      <c r="B54" s="4">
        <f t="shared" si="0"/>
        <v>70191</v>
      </c>
      <c r="C54" t="s">
        <v>385</v>
      </c>
      <c r="D54" t="s">
        <v>365</v>
      </c>
      <c r="E54" t="s">
        <v>378</v>
      </c>
      <c r="F54" t="s">
        <v>187</v>
      </c>
      <c r="G54" t="s">
        <v>352</v>
      </c>
      <c r="H54" s="2" t="s">
        <v>373</v>
      </c>
      <c r="I54" t="s">
        <v>386</v>
      </c>
      <c r="K54" s="2" t="s">
        <v>387</v>
      </c>
      <c r="L54" s="2" t="s">
        <v>30</v>
      </c>
      <c r="M54" s="2" t="s">
        <v>31</v>
      </c>
      <c r="N54" s="2" t="s">
        <v>32</v>
      </c>
      <c r="O54" s="2" t="s">
        <v>388</v>
      </c>
      <c r="P54" s="2" t="s">
        <v>34</v>
      </c>
      <c r="Q54" t="s">
        <v>389</v>
      </c>
      <c r="R54" s="2" t="s">
        <v>206</v>
      </c>
      <c r="S54" s="2" t="s">
        <v>390</v>
      </c>
      <c r="T54" s="2" t="s">
        <v>60</v>
      </c>
    </row>
    <row r="55" spans="1:23" x14ac:dyDescent="0.25">
      <c r="A55" t="s">
        <v>391</v>
      </c>
      <c r="B55" s="4">
        <f t="shared" si="0"/>
        <v>70192</v>
      </c>
      <c r="C55" t="s">
        <v>392</v>
      </c>
      <c r="D55" t="s">
        <v>185</v>
      </c>
      <c r="E55" t="s">
        <v>393</v>
      </c>
      <c r="F55" t="s">
        <v>187</v>
      </c>
      <c r="G55" t="s">
        <v>352</v>
      </c>
      <c r="H55" s="2" t="s">
        <v>27</v>
      </c>
      <c r="I55" t="s">
        <v>379</v>
      </c>
      <c r="J55" s="2" t="s">
        <v>394</v>
      </c>
      <c r="L55" s="2" t="s">
        <v>30</v>
      </c>
      <c r="M55" s="2" t="s">
        <v>31</v>
      </c>
      <c r="N55" s="2" t="s">
        <v>32</v>
      </c>
      <c r="O55" s="2" t="s">
        <v>189</v>
      </c>
      <c r="P55" s="2" t="s">
        <v>34</v>
      </c>
      <c r="Q55" t="s">
        <v>395</v>
      </c>
      <c r="R55" s="2" t="s">
        <v>206</v>
      </c>
      <c r="S55" s="2" t="s">
        <v>396</v>
      </c>
      <c r="T55" s="2" t="s">
        <v>60</v>
      </c>
    </row>
    <row r="56" spans="1:23" x14ac:dyDescent="0.25">
      <c r="A56" t="s">
        <v>397</v>
      </c>
      <c r="B56" s="4">
        <f t="shared" si="0"/>
        <v>70215</v>
      </c>
      <c r="C56" t="s">
        <v>398</v>
      </c>
      <c r="D56" t="s">
        <v>24</v>
      </c>
      <c r="E56" t="s">
        <v>113</v>
      </c>
      <c r="F56">
        <v>2</v>
      </c>
      <c r="G56" t="s">
        <v>352</v>
      </c>
      <c r="H56" s="2" t="s">
        <v>27</v>
      </c>
      <c r="I56" t="s">
        <v>28</v>
      </c>
      <c r="J56" s="2" t="s">
        <v>399</v>
      </c>
      <c r="L56" s="2" t="s">
        <v>30</v>
      </c>
      <c r="M56" s="2" t="s">
        <v>31</v>
      </c>
      <c r="N56" s="2" t="s">
        <v>32</v>
      </c>
      <c r="O56" s="2" t="s">
        <v>400</v>
      </c>
      <c r="P56" s="2" t="s">
        <v>34</v>
      </c>
      <c r="Q56" t="s">
        <v>190</v>
      </c>
      <c r="R56" s="2" t="s">
        <v>191</v>
      </c>
      <c r="T56" s="2" t="s">
        <v>34</v>
      </c>
      <c r="U56" s="2" t="s">
        <v>192</v>
      </c>
      <c r="V56" s="2" t="s">
        <v>401</v>
      </c>
      <c r="W56" t="s">
        <v>402</v>
      </c>
    </row>
    <row r="57" spans="1:23" x14ac:dyDescent="0.25">
      <c r="A57" t="s">
        <v>403</v>
      </c>
      <c r="B57" s="4">
        <f t="shared" si="0"/>
        <v>70217</v>
      </c>
      <c r="C57" t="s">
        <v>404</v>
      </c>
      <c r="D57" t="s">
        <v>279</v>
      </c>
      <c r="E57" t="s">
        <v>405</v>
      </c>
      <c r="F57">
        <v>1</v>
      </c>
      <c r="G57" t="s">
        <v>352</v>
      </c>
      <c r="H57" s="2" t="s">
        <v>27</v>
      </c>
      <c r="I57" t="s">
        <v>28</v>
      </c>
      <c r="J57" s="2" t="s">
        <v>406</v>
      </c>
      <c r="L57" s="2" t="s">
        <v>30</v>
      </c>
      <c r="M57" s="2" t="s">
        <v>31</v>
      </c>
      <c r="N57" s="2" t="s">
        <v>32</v>
      </c>
      <c r="O57" s="2" t="s">
        <v>189</v>
      </c>
      <c r="P57" s="2" t="s">
        <v>34</v>
      </c>
      <c r="Q57" t="s">
        <v>407</v>
      </c>
      <c r="R57" s="2" t="s">
        <v>408</v>
      </c>
      <c r="T57" s="2" t="s">
        <v>34</v>
      </c>
      <c r="U57" s="2" t="s">
        <v>409</v>
      </c>
      <c r="V57" s="2" t="s">
        <v>410</v>
      </c>
      <c r="W57" t="s">
        <v>411</v>
      </c>
    </row>
    <row r="58" spans="1:23" x14ac:dyDescent="0.25">
      <c r="A58" t="s">
        <v>412</v>
      </c>
      <c r="B58" s="4">
        <f t="shared" si="0"/>
        <v>70238</v>
      </c>
      <c r="C58" t="s">
        <v>413</v>
      </c>
      <c r="D58" t="s">
        <v>279</v>
      </c>
      <c r="E58" t="s">
        <v>414</v>
      </c>
      <c r="F58">
        <v>1</v>
      </c>
      <c r="G58" t="s">
        <v>352</v>
      </c>
      <c r="H58" s="2" t="s">
        <v>27</v>
      </c>
      <c r="I58" t="s">
        <v>379</v>
      </c>
      <c r="J58" s="2" t="s">
        <v>415</v>
      </c>
      <c r="L58" s="2" t="s">
        <v>30</v>
      </c>
      <c r="M58" s="2" t="s">
        <v>31</v>
      </c>
      <c r="N58" s="2" t="s">
        <v>32</v>
      </c>
      <c r="O58" s="2" t="s">
        <v>189</v>
      </c>
      <c r="P58" s="2" t="s">
        <v>34</v>
      </c>
      <c r="Q58" t="s">
        <v>416</v>
      </c>
      <c r="R58" s="2" t="s">
        <v>206</v>
      </c>
      <c r="S58" s="2" t="s">
        <v>417</v>
      </c>
      <c r="T58" s="2" t="s">
        <v>60</v>
      </c>
    </row>
    <row r="59" spans="1:23" x14ac:dyDescent="0.25">
      <c r="A59" t="s">
        <v>418</v>
      </c>
      <c r="B59" s="4">
        <f t="shared" si="0"/>
        <v>70244</v>
      </c>
      <c r="C59" t="s">
        <v>419</v>
      </c>
      <c r="D59" t="s">
        <v>149</v>
      </c>
      <c r="E59" t="s">
        <v>347</v>
      </c>
      <c r="F59">
        <v>3</v>
      </c>
      <c r="G59" t="s">
        <v>26</v>
      </c>
      <c r="H59" s="2" t="s">
        <v>27</v>
      </c>
      <c r="I59" t="s">
        <v>28</v>
      </c>
      <c r="J59" s="2" t="s">
        <v>420</v>
      </c>
      <c r="L59" s="2" t="s">
        <v>30</v>
      </c>
      <c r="M59" s="2" t="s">
        <v>31</v>
      </c>
      <c r="N59" s="2" t="s">
        <v>32</v>
      </c>
      <c r="O59" s="2" t="s">
        <v>198</v>
      </c>
      <c r="P59" s="2" t="s">
        <v>34</v>
      </c>
      <c r="Q59" t="s">
        <v>421</v>
      </c>
      <c r="R59" s="2" t="s">
        <v>422</v>
      </c>
      <c r="T59" s="2" t="s">
        <v>34</v>
      </c>
      <c r="U59" s="2" t="s">
        <v>423</v>
      </c>
      <c r="V59" s="2" t="s">
        <v>424</v>
      </c>
      <c r="W59" t="s">
        <v>425</v>
      </c>
    </row>
    <row r="60" spans="1:23" x14ac:dyDescent="0.25">
      <c r="A60" t="s">
        <v>426</v>
      </c>
      <c r="B60" s="4">
        <f t="shared" si="0"/>
        <v>70249</v>
      </c>
      <c r="C60" t="s">
        <v>427</v>
      </c>
      <c r="D60" t="s">
        <v>42</v>
      </c>
      <c r="E60" t="s">
        <v>90</v>
      </c>
      <c r="F60">
        <v>3</v>
      </c>
      <c r="G60" t="s">
        <v>352</v>
      </c>
      <c r="H60" s="2" t="s">
        <v>27</v>
      </c>
      <c r="I60" t="s">
        <v>28</v>
      </c>
      <c r="J60" s="2" t="s">
        <v>428</v>
      </c>
      <c r="L60" s="2" t="s">
        <v>30</v>
      </c>
      <c r="M60" s="2" t="s">
        <v>31</v>
      </c>
      <c r="N60" s="2" t="s">
        <v>32</v>
      </c>
      <c r="O60" s="2" t="s">
        <v>100</v>
      </c>
      <c r="P60" s="2" t="s">
        <v>34</v>
      </c>
      <c r="Q60" t="s">
        <v>421</v>
      </c>
      <c r="R60" s="2" t="s">
        <v>422</v>
      </c>
      <c r="T60" s="2" t="s">
        <v>34</v>
      </c>
      <c r="U60" s="2" t="s">
        <v>423</v>
      </c>
      <c r="V60" s="2" t="s">
        <v>429</v>
      </c>
      <c r="W60" t="s">
        <v>430</v>
      </c>
    </row>
    <row r="61" spans="1:23" x14ac:dyDescent="0.25">
      <c r="A61" t="s">
        <v>431</v>
      </c>
      <c r="B61" s="4">
        <f t="shared" si="0"/>
        <v>70266</v>
      </c>
      <c r="C61" t="s">
        <v>432</v>
      </c>
      <c r="D61" t="s">
        <v>42</v>
      </c>
      <c r="E61" t="s">
        <v>433</v>
      </c>
      <c r="F61">
        <v>3</v>
      </c>
      <c r="G61" t="s">
        <v>26</v>
      </c>
      <c r="H61" s="2" t="s">
        <v>27</v>
      </c>
      <c r="I61" t="s">
        <v>55</v>
      </c>
      <c r="J61" s="2" t="s">
        <v>434</v>
      </c>
      <c r="L61" s="2" t="s">
        <v>30</v>
      </c>
      <c r="M61" s="2" t="s">
        <v>31</v>
      </c>
      <c r="N61" s="2" t="s">
        <v>32</v>
      </c>
      <c r="O61" s="2" t="s">
        <v>435</v>
      </c>
      <c r="P61" s="2" t="s">
        <v>34</v>
      </c>
      <c r="Q61" t="s">
        <v>203</v>
      </c>
      <c r="R61" s="2" t="s">
        <v>204</v>
      </c>
      <c r="T61" s="2" t="s">
        <v>34</v>
      </c>
      <c r="U61" s="2" t="s">
        <v>205</v>
      </c>
      <c r="V61" s="2" t="s">
        <v>431</v>
      </c>
      <c r="W61" t="s">
        <v>436</v>
      </c>
    </row>
    <row r="62" spans="1:23" x14ac:dyDescent="0.25">
      <c r="A62" t="s">
        <v>437</v>
      </c>
      <c r="B62" s="4">
        <f t="shared" si="0"/>
        <v>70275</v>
      </c>
      <c r="C62" t="s">
        <v>438</v>
      </c>
      <c r="D62" t="s">
        <v>149</v>
      </c>
      <c r="E62" t="s">
        <v>150</v>
      </c>
      <c r="F62">
        <v>3</v>
      </c>
      <c r="G62" t="s">
        <v>26</v>
      </c>
      <c r="H62" s="2" t="s">
        <v>27</v>
      </c>
      <c r="I62" t="s">
        <v>55</v>
      </c>
      <c r="J62" s="2" t="s">
        <v>439</v>
      </c>
      <c r="L62" s="2" t="s">
        <v>30</v>
      </c>
      <c r="M62" s="2" t="s">
        <v>31</v>
      </c>
      <c r="N62" s="2" t="s">
        <v>32</v>
      </c>
      <c r="O62" s="2" t="s">
        <v>198</v>
      </c>
      <c r="P62" s="2" t="s">
        <v>34</v>
      </c>
      <c r="Q62" t="s">
        <v>440</v>
      </c>
      <c r="R62" s="2" t="s">
        <v>441</v>
      </c>
      <c r="T62" s="2" t="s">
        <v>60</v>
      </c>
    </row>
    <row r="63" spans="1:23" x14ac:dyDescent="0.25">
      <c r="A63" t="s">
        <v>442</v>
      </c>
      <c r="B63" s="4">
        <f t="shared" si="0"/>
        <v>70283</v>
      </c>
      <c r="C63" t="s">
        <v>443</v>
      </c>
      <c r="D63" t="s">
        <v>103</v>
      </c>
      <c r="E63" t="s">
        <v>444</v>
      </c>
      <c r="F63">
        <v>1</v>
      </c>
      <c r="G63" t="s">
        <v>352</v>
      </c>
      <c r="H63" s="2" t="s">
        <v>27</v>
      </c>
      <c r="I63" t="s">
        <v>28</v>
      </c>
      <c r="J63" s="2" t="s">
        <v>445</v>
      </c>
      <c r="L63" s="2" t="s">
        <v>30</v>
      </c>
      <c r="M63" s="2" t="s">
        <v>31</v>
      </c>
      <c r="N63" s="2" t="s">
        <v>32</v>
      </c>
      <c r="O63" s="2" t="s">
        <v>123</v>
      </c>
      <c r="P63" s="2" t="s">
        <v>34</v>
      </c>
      <c r="Q63" t="s">
        <v>446</v>
      </c>
      <c r="R63" s="2" t="s">
        <v>447</v>
      </c>
      <c r="T63" s="2" t="s">
        <v>34</v>
      </c>
      <c r="U63" s="2" t="s">
        <v>448</v>
      </c>
      <c r="V63" s="2" t="s">
        <v>449</v>
      </c>
      <c r="W63" t="s">
        <v>450</v>
      </c>
    </row>
    <row r="64" spans="1:23" x14ac:dyDescent="0.25">
      <c r="A64" t="s">
        <v>451</v>
      </c>
      <c r="B64" s="4">
        <f t="shared" si="0"/>
        <v>70295</v>
      </c>
      <c r="C64" t="s">
        <v>452</v>
      </c>
      <c r="D64" t="s">
        <v>103</v>
      </c>
      <c r="E64" t="s">
        <v>347</v>
      </c>
      <c r="F64">
        <v>1</v>
      </c>
      <c r="G64" t="s">
        <v>26</v>
      </c>
      <c r="H64" s="2" t="s">
        <v>27</v>
      </c>
      <c r="I64" t="s">
        <v>55</v>
      </c>
      <c r="J64" s="2" t="s">
        <v>453</v>
      </c>
      <c r="L64" s="2" t="s">
        <v>30</v>
      </c>
      <c r="M64" s="2" t="s">
        <v>31</v>
      </c>
      <c r="N64" s="2" t="s">
        <v>32</v>
      </c>
      <c r="O64" s="2" t="s">
        <v>454</v>
      </c>
      <c r="P64" s="2" t="s">
        <v>34</v>
      </c>
      <c r="Q64" t="s">
        <v>455</v>
      </c>
      <c r="R64" s="2" t="s">
        <v>456</v>
      </c>
      <c r="T64" s="2" t="s">
        <v>60</v>
      </c>
    </row>
    <row r="65" spans="1:23" x14ac:dyDescent="0.25">
      <c r="A65" t="s">
        <v>457</v>
      </c>
      <c r="B65" s="4">
        <f t="shared" si="0"/>
        <v>70297</v>
      </c>
      <c r="C65" t="s">
        <v>458</v>
      </c>
      <c r="D65" t="s">
        <v>279</v>
      </c>
      <c r="E65" t="s">
        <v>405</v>
      </c>
      <c r="F65">
        <v>1</v>
      </c>
      <c r="G65" t="s">
        <v>26</v>
      </c>
      <c r="H65" s="2" t="s">
        <v>27</v>
      </c>
      <c r="I65" t="s">
        <v>55</v>
      </c>
      <c r="J65" s="2" t="s">
        <v>459</v>
      </c>
      <c r="L65" s="2" t="s">
        <v>30</v>
      </c>
      <c r="M65" s="2" t="s">
        <v>31</v>
      </c>
      <c r="N65" s="2" t="s">
        <v>32</v>
      </c>
      <c r="O65" s="2" t="s">
        <v>189</v>
      </c>
      <c r="P65" s="2" t="s">
        <v>34</v>
      </c>
      <c r="Q65" t="s">
        <v>307</v>
      </c>
      <c r="R65" s="2" t="s">
        <v>308</v>
      </c>
      <c r="T65" s="2" t="s">
        <v>34</v>
      </c>
      <c r="U65" s="2" t="s">
        <v>309</v>
      </c>
      <c r="V65" s="2" t="s">
        <v>457</v>
      </c>
      <c r="W65" t="s">
        <v>460</v>
      </c>
    </row>
    <row r="66" spans="1:23" x14ac:dyDescent="0.25">
      <c r="A66" t="s">
        <v>461</v>
      </c>
      <c r="B66" s="4">
        <f t="shared" si="0"/>
        <v>70298</v>
      </c>
      <c r="C66" t="s">
        <v>462</v>
      </c>
      <c r="D66" t="s">
        <v>279</v>
      </c>
      <c r="E66" t="s">
        <v>405</v>
      </c>
      <c r="F66">
        <v>1</v>
      </c>
      <c r="G66" t="s">
        <v>26</v>
      </c>
      <c r="H66" s="2" t="s">
        <v>27</v>
      </c>
      <c r="I66" t="s">
        <v>55</v>
      </c>
      <c r="J66" s="2" t="s">
        <v>463</v>
      </c>
      <c r="L66" s="2" t="s">
        <v>30</v>
      </c>
      <c r="M66" s="2" t="s">
        <v>31</v>
      </c>
      <c r="N66" s="2" t="s">
        <v>32</v>
      </c>
      <c r="O66" s="2" t="s">
        <v>189</v>
      </c>
      <c r="P66" s="2" t="s">
        <v>34</v>
      </c>
      <c r="Q66" t="s">
        <v>307</v>
      </c>
      <c r="R66" s="2" t="s">
        <v>308</v>
      </c>
      <c r="T66" s="2" t="s">
        <v>34</v>
      </c>
      <c r="U66" s="2" t="s">
        <v>309</v>
      </c>
      <c r="V66" s="2" t="s">
        <v>461</v>
      </c>
      <c r="W66" t="s">
        <v>464</v>
      </c>
    </row>
    <row r="67" spans="1:23" x14ac:dyDescent="0.25">
      <c r="A67" t="s">
        <v>465</v>
      </c>
      <c r="B67" s="4">
        <f t="shared" ref="B67:B130" si="1">REPLACE(A67, 1, 1, "")+0</f>
        <v>70299</v>
      </c>
      <c r="C67" t="s">
        <v>466</v>
      </c>
      <c r="D67" t="s">
        <v>291</v>
      </c>
      <c r="E67" t="s">
        <v>467</v>
      </c>
      <c r="F67">
        <v>1</v>
      </c>
      <c r="G67" t="s">
        <v>26</v>
      </c>
      <c r="H67" s="2" t="s">
        <v>27</v>
      </c>
      <c r="I67" t="s">
        <v>55</v>
      </c>
      <c r="J67" s="2" t="s">
        <v>468</v>
      </c>
      <c r="L67" s="2" t="s">
        <v>30</v>
      </c>
      <c r="M67" s="2" t="s">
        <v>31</v>
      </c>
      <c r="N67" s="2" t="s">
        <v>32</v>
      </c>
      <c r="O67" s="2" t="s">
        <v>469</v>
      </c>
      <c r="P67" s="2" t="s">
        <v>34</v>
      </c>
      <c r="Q67" t="s">
        <v>470</v>
      </c>
      <c r="R67" s="2" t="s">
        <v>471</v>
      </c>
      <c r="T67" s="2" t="s">
        <v>60</v>
      </c>
    </row>
    <row r="68" spans="1:23" x14ac:dyDescent="0.25">
      <c r="A68" t="s">
        <v>472</v>
      </c>
      <c r="B68" s="4">
        <f t="shared" si="1"/>
        <v>70308</v>
      </c>
      <c r="C68" t="s">
        <v>473</v>
      </c>
      <c r="D68" t="s">
        <v>42</v>
      </c>
      <c r="E68" t="s">
        <v>474</v>
      </c>
      <c r="F68">
        <v>3</v>
      </c>
      <c r="G68" t="s">
        <v>26</v>
      </c>
      <c r="H68" s="2" t="s">
        <v>27</v>
      </c>
      <c r="I68" t="s">
        <v>55</v>
      </c>
      <c r="J68" s="2" t="s">
        <v>475</v>
      </c>
      <c r="L68" s="2" t="s">
        <v>30</v>
      </c>
      <c r="M68" s="2" t="s">
        <v>31</v>
      </c>
      <c r="N68" s="2" t="s">
        <v>32</v>
      </c>
      <c r="O68" s="2" t="s">
        <v>435</v>
      </c>
      <c r="P68" s="2" t="s">
        <v>34</v>
      </c>
      <c r="Q68" t="s">
        <v>203</v>
      </c>
      <c r="R68" s="2" t="s">
        <v>204</v>
      </c>
      <c r="T68" s="2" t="s">
        <v>34</v>
      </c>
      <c r="U68" s="2" t="s">
        <v>205</v>
      </c>
      <c r="V68" s="2" t="s">
        <v>472</v>
      </c>
      <c r="W68" t="s">
        <v>476</v>
      </c>
    </row>
    <row r="69" spans="1:23" x14ac:dyDescent="0.25">
      <c r="A69" t="s">
        <v>477</v>
      </c>
      <c r="B69" s="4">
        <f t="shared" si="1"/>
        <v>70309</v>
      </c>
      <c r="C69" t="s">
        <v>478</v>
      </c>
      <c r="D69" t="s">
        <v>42</v>
      </c>
      <c r="E69" t="s">
        <v>479</v>
      </c>
      <c r="F69">
        <v>3</v>
      </c>
      <c r="G69" t="s">
        <v>26</v>
      </c>
      <c r="H69" s="2" t="s">
        <v>27</v>
      </c>
      <c r="I69" t="s">
        <v>55</v>
      </c>
      <c r="J69" s="2" t="s">
        <v>480</v>
      </c>
      <c r="L69" s="2" t="s">
        <v>30</v>
      </c>
      <c r="M69" s="2" t="s">
        <v>31</v>
      </c>
      <c r="N69" s="2" t="s">
        <v>32</v>
      </c>
      <c r="O69" s="2" t="s">
        <v>92</v>
      </c>
      <c r="P69" s="2" t="s">
        <v>34</v>
      </c>
      <c r="Q69" t="s">
        <v>203</v>
      </c>
      <c r="R69" s="2" t="s">
        <v>204</v>
      </c>
      <c r="T69" s="2" t="s">
        <v>34</v>
      </c>
      <c r="U69" s="2" t="s">
        <v>205</v>
      </c>
      <c r="V69" s="2" t="s">
        <v>477</v>
      </c>
      <c r="W69" t="s">
        <v>481</v>
      </c>
    </row>
    <row r="70" spans="1:23" x14ac:dyDescent="0.25">
      <c r="A70" t="s">
        <v>482</v>
      </c>
      <c r="B70" s="4">
        <f t="shared" si="1"/>
        <v>70313</v>
      </c>
      <c r="C70" t="s">
        <v>483</v>
      </c>
      <c r="D70" t="s">
        <v>245</v>
      </c>
      <c r="E70" t="s">
        <v>484</v>
      </c>
      <c r="F70">
        <v>2</v>
      </c>
      <c r="G70" t="s">
        <v>26</v>
      </c>
      <c r="H70" s="2" t="s">
        <v>27</v>
      </c>
      <c r="I70" t="s">
        <v>55</v>
      </c>
      <c r="J70" s="2" t="s">
        <v>485</v>
      </c>
      <c r="L70" s="2" t="s">
        <v>30</v>
      </c>
      <c r="M70" s="2" t="s">
        <v>31</v>
      </c>
      <c r="N70" s="2" t="s">
        <v>32</v>
      </c>
      <c r="O70" s="2" t="s">
        <v>180</v>
      </c>
      <c r="P70" s="2" t="s">
        <v>34</v>
      </c>
      <c r="Q70" t="s">
        <v>486</v>
      </c>
      <c r="R70" s="2" t="s">
        <v>487</v>
      </c>
      <c r="T70" s="2" t="s">
        <v>60</v>
      </c>
    </row>
    <row r="71" spans="1:23" x14ac:dyDescent="0.25">
      <c r="A71" t="s">
        <v>488</v>
      </c>
      <c r="B71" s="4">
        <f t="shared" si="1"/>
        <v>70315</v>
      </c>
      <c r="C71" t="s">
        <v>489</v>
      </c>
      <c r="D71" t="s">
        <v>297</v>
      </c>
      <c r="E71" t="s">
        <v>304</v>
      </c>
      <c r="F71">
        <v>1</v>
      </c>
      <c r="G71" t="s">
        <v>26</v>
      </c>
      <c r="H71" s="2" t="s">
        <v>27</v>
      </c>
      <c r="I71" t="s">
        <v>55</v>
      </c>
      <c r="J71" s="2" t="s">
        <v>490</v>
      </c>
      <c r="L71" s="2" t="s">
        <v>30</v>
      </c>
      <c r="M71" s="2" t="s">
        <v>31</v>
      </c>
      <c r="N71" s="2" t="s">
        <v>32</v>
      </c>
      <c r="O71" s="2" t="s">
        <v>491</v>
      </c>
      <c r="P71" s="2" t="s">
        <v>34</v>
      </c>
      <c r="Q71" t="s">
        <v>492</v>
      </c>
      <c r="R71" s="2" t="s">
        <v>493</v>
      </c>
      <c r="T71" s="2" t="s">
        <v>60</v>
      </c>
    </row>
    <row r="72" spans="1:23" x14ac:dyDescent="0.25">
      <c r="A72" t="s">
        <v>494</v>
      </c>
      <c r="B72" s="4">
        <f t="shared" si="1"/>
        <v>70316</v>
      </c>
      <c r="C72" t="s">
        <v>495</v>
      </c>
      <c r="D72" t="s">
        <v>297</v>
      </c>
      <c r="E72" t="s">
        <v>496</v>
      </c>
      <c r="F72">
        <v>1</v>
      </c>
      <c r="G72" t="s">
        <v>26</v>
      </c>
      <c r="H72" s="2" t="s">
        <v>27</v>
      </c>
      <c r="I72" t="s">
        <v>55</v>
      </c>
      <c r="J72" s="2" t="s">
        <v>490</v>
      </c>
      <c r="L72" s="2" t="s">
        <v>30</v>
      </c>
      <c r="M72" s="2" t="s">
        <v>31</v>
      </c>
      <c r="N72" s="2" t="s">
        <v>32</v>
      </c>
      <c r="O72" s="2" t="s">
        <v>497</v>
      </c>
      <c r="P72" s="2" t="s">
        <v>34</v>
      </c>
      <c r="Q72" t="s">
        <v>498</v>
      </c>
      <c r="R72" s="2" t="s">
        <v>499</v>
      </c>
      <c r="T72" s="2" t="s">
        <v>60</v>
      </c>
    </row>
    <row r="73" spans="1:23" x14ac:dyDescent="0.25">
      <c r="A73" t="s">
        <v>500</v>
      </c>
      <c r="B73" s="4">
        <f t="shared" si="1"/>
        <v>70321</v>
      </c>
      <c r="C73" t="s">
        <v>501</v>
      </c>
      <c r="D73" t="s">
        <v>42</v>
      </c>
      <c r="E73" t="s">
        <v>502</v>
      </c>
      <c r="F73">
        <v>3</v>
      </c>
      <c r="G73" t="s">
        <v>26</v>
      </c>
      <c r="H73" s="2" t="s">
        <v>27</v>
      </c>
      <c r="I73" t="s">
        <v>55</v>
      </c>
      <c r="J73" s="2" t="s">
        <v>503</v>
      </c>
      <c r="L73" s="2" t="s">
        <v>30</v>
      </c>
      <c r="M73" s="2" t="s">
        <v>31</v>
      </c>
      <c r="N73" s="2" t="s">
        <v>32</v>
      </c>
      <c r="O73" s="2" t="s">
        <v>79</v>
      </c>
      <c r="P73" s="2" t="s">
        <v>34</v>
      </c>
      <c r="Q73" t="s">
        <v>203</v>
      </c>
      <c r="R73" s="2" t="s">
        <v>204</v>
      </c>
      <c r="T73" s="2" t="s">
        <v>34</v>
      </c>
      <c r="U73" s="2" t="s">
        <v>205</v>
      </c>
      <c r="V73" s="2" t="s">
        <v>206</v>
      </c>
    </row>
    <row r="74" spans="1:23" x14ac:dyDescent="0.25">
      <c r="A74" t="s">
        <v>504</v>
      </c>
      <c r="B74" s="4">
        <f t="shared" si="1"/>
        <v>70322</v>
      </c>
      <c r="C74" t="s">
        <v>505</v>
      </c>
      <c r="D74" t="s">
        <v>42</v>
      </c>
      <c r="E74" t="s">
        <v>479</v>
      </c>
      <c r="F74">
        <v>3</v>
      </c>
      <c r="G74" t="s">
        <v>26</v>
      </c>
      <c r="H74" s="2" t="s">
        <v>27</v>
      </c>
      <c r="I74" t="s">
        <v>55</v>
      </c>
      <c r="J74" s="2" t="s">
        <v>506</v>
      </c>
      <c r="L74" s="2" t="s">
        <v>30</v>
      </c>
      <c r="M74" s="2" t="s">
        <v>31</v>
      </c>
      <c r="N74" s="2" t="s">
        <v>32</v>
      </c>
      <c r="O74" s="2" t="s">
        <v>92</v>
      </c>
      <c r="P74" s="2" t="s">
        <v>34</v>
      </c>
      <c r="Q74" t="s">
        <v>203</v>
      </c>
      <c r="R74" s="2" t="s">
        <v>204</v>
      </c>
      <c r="T74" s="2" t="s">
        <v>34</v>
      </c>
      <c r="U74" s="2" t="s">
        <v>205</v>
      </c>
      <c r="V74" s="2" t="s">
        <v>206</v>
      </c>
    </row>
    <row r="75" spans="1:23" x14ac:dyDescent="0.25">
      <c r="A75" t="s">
        <v>507</v>
      </c>
      <c r="B75" s="4">
        <f t="shared" si="1"/>
        <v>70323</v>
      </c>
      <c r="C75" t="s">
        <v>508</v>
      </c>
      <c r="D75" t="s">
        <v>42</v>
      </c>
      <c r="E75" t="s">
        <v>509</v>
      </c>
      <c r="F75">
        <v>3</v>
      </c>
      <c r="G75" t="s">
        <v>26</v>
      </c>
      <c r="H75" s="2" t="s">
        <v>27</v>
      </c>
      <c r="I75" t="s">
        <v>55</v>
      </c>
      <c r="J75" s="2" t="s">
        <v>510</v>
      </c>
      <c r="L75" s="2" t="s">
        <v>30</v>
      </c>
      <c r="M75" s="2" t="s">
        <v>31</v>
      </c>
      <c r="N75" s="2" t="s">
        <v>32</v>
      </c>
      <c r="O75" s="2" t="s">
        <v>135</v>
      </c>
      <c r="P75" s="2" t="s">
        <v>34</v>
      </c>
      <c r="Q75" t="s">
        <v>136</v>
      </c>
      <c r="R75" s="2" t="s">
        <v>137</v>
      </c>
      <c r="T75" s="2" t="s">
        <v>34</v>
      </c>
      <c r="U75" s="2" t="s">
        <v>138</v>
      </c>
      <c r="V75" s="2" t="s">
        <v>507</v>
      </c>
      <c r="W75" t="s">
        <v>511</v>
      </c>
    </row>
    <row r="76" spans="1:23" x14ac:dyDescent="0.25">
      <c r="A76" t="s">
        <v>512</v>
      </c>
      <c r="B76" s="4">
        <f t="shared" si="1"/>
        <v>70336</v>
      </c>
      <c r="C76" t="s">
        <v>513</v>
      </c>
      <c r="D76" t="s">
        <v>120</v>
      </c>
      <c r="E76" t="s">
        <v>128</v>
      </c>
      <c r="F76">
        <v>1</v>
      </c>
      <c r="G76" t="s">
        <v>26</v>
      </c>
      <c r="H76" s="2" t="s">
        <v>27</v>
      </c>
      <c r="I76" t="s">
        <v>55</v>
      </c>
      <c r="J76" s="2" t="s">
        <v>514</v>
      </c>
      <c r="L76" s="2" t="s">
        <v>30</v>
      </c>
      <c r="M76" s="2" t="s">
        <v>31</v>
      </c>
      <c r="N76" s="2" t="s">
        <v>32</v>
      </c>
      <c r="O76" s="2" t="s">
        <v>130</v>
      </c>
      <c r="P76" s="2" t="s">
        <v>34</v>
      </c>
      <c r="Q76" t="s">
        <v>124</v>
      </c>
      <c r="R76" s="2" t="s">
        <v>125</v>
      </c>
      <c r="T76" s="2" t="s">
        <v>60</v>
      </c>
    </row>
    <row r="77" spans="1:23" x14ac:dyDescent="0.25">
      <c r="A77" t="s">
        <v>515</v>
      </c>
      <c r="B77" s="4">
        <f t="shared" si="1"/>
        <v>70355</v>
      </c>
      <c r="C77" t="s">
        <v>516</v>
      </c>
      <c r="D77" t="s">
        <v>42</v>
      </c>
      <c r="E77" t="s">
        <v>517</v>
      </c>
      <c r="F77">
        <v>2</v>
      </c>
      <c r="G77" t="s">
        <v>26</v>
      </c>
      <c r="H77" s="2" t="s">
        <v>373</v>
      </c>
      <c r="I77" t="s">
        <v>28</v>
      </c>
      <c r="K77" s="2" t="s">
        <v>518</v>
      </c>
      <c r="L77" s="2" t="s">
        <v>30</v>
      </c>
      <c r="M77" s="2" t="s">
        <v>31</v>
      </c>
      <c r="N77" s="2" t="s">
        <v>32</v>
      </c>
      <c r="O77" s="2" t="s">
        <v>135</v>
      </c>
      <c r="P77" s="2" t="s">
        <v>34</v>
      </c>
      <c r="Q77" t="s">
        <v>136</v>
      </c>
      <c r="R77" s="2" t="s">
        <v>137</v>
      </c>
      <c r="T77" s="2" t="s">
        <v>34</v>
      </c>
      <c r="U77" s="2" t="s">
        <v>138</v>
      </c>
      <c r="V77" s="2" t="s">
        <v>519</v>
      </c>
      <c r="W77" t="s">
        <v>520</v>
      </c>
    </row>
    <row r="78" spans="1:23" x14ac:dyDescent="0.25">
      <c r="A78" t="s">
        <v>521</v>
      </c>
      <c r="B78" s="4">
        <f t="shared" si="1"/>
        <v>70364</v>
      </c>
      <c r="C78" t="s">
        <v>522</v>
      </c>
      <c r="D78" t="s">
        <v>365</v>
      </c>
      <c r="E78" t="s">
        <v>523</v>
      </c>
      <c r="F78" t="s">
        <v>367</v>
      </c>
      <c r="G78" t="s">
        <v>352</v>
      </c>
      <c r="H78" s="2" t="s">
        <v>27</v>
      </c>
      <c r="I78" t="s">
        <v>379</v>
      </c>
      <c r="J78" s="2" t="s">
        <v>524</v>
      </c>
      <c r="L78" s="2" t="s">
        <v>30</v>
      </c>
      <c r="M78" s="2" t="s">
        <v>31</v>
      </c>
      <c r="N78" s="2" t="s">
        <v>32</v>
      </c>
      <c r="O78" s="2" t="s">
        <v>525</v>
      </c>
      <c r="P78" s="2" t="s">
        <v>34</v>
      </c>
      <c r="Q78" t="s">
        <v>526</v>
      </c>
      <c r="R78" s="2" t="s">
        <v>206</v>
      </c>
      <c r="S78" s="2" t="s">
        <v>527</v>
      </c>
      <c r="T78" s="2" t="s">
        <v>60</v>
      </c>
    </row>
    <row r="79" spans="1:23" x14ac:dyDescent="0.25">
      <c r="A79" t="s">
        <v>528</v>
      </c>
      <c r="B79" s="4">
        <f t="shared" si="1"/>
        <v>70396</v>
      </c>
      <c r="C79" t="s">
        <v>529</v>
      </c>
      <c r="D79" t="s">
        <v>297</v>
      </c>
      <c r="E79" t="s">
        <v>444</v>
      </c>
      <c r="F79">
        <v>1</v>
      </c>
      <c r="G79" t="s">
        <v>26</v>
      </c>
      <c r="H79" s="2" t="s">
        <v>27</v>
      </c>
      <c r="I79" t="s">
        <v>55</v>
      </c>
      <c r="J79" s="2" t="s">
        <v>530</v>
      </c>
      <c r="L79" s="2" t="s">
        <v>30</v>
      </c>
      <c r="M79" s="2" t="s">
        <v>31</v>
      </c>
      <c r="N79" s="2" t="s">
        <v>32</v>
      </c>
      <c r="O79" s="2" t="s">
        <v>306</v>
      </c>
      <c r="P79" s="2" t="s">
        <v>34</v>
      </c>
      <c r="Q79" t="s">
        <v>307</v>
      </c>
      <c r="R79" s="2" t="s">
        <v>308</v>
      </c>
      <c r="T79" s="2" t="s">
        <v>34</v>
      </c>
      <c r="U79" s="2" t="s">
        <v>309</v>
      </c>
      <c r="V79" s="2" t="s">
        <v>528</v>
      </c>
      <c r="W79" t="s">
        <v>531</v>
      </c>
    </row>
    <row r="80" spans="1:23" x14ac:dyDescent="0.25">
      <c r="A80" t="s">
        <v>532</v>
      </c>
      <c r="B80" s="4">
        <f t="shared" si="1"/>
        <v>70397</v>
      </c>
      <c r="C80" t="s">
        <v>489</v>
      </c>
      <c r="D80" t="s">
        <v>297</v>
      </c>
      <c r="E80" t="s">
        <v>304</v>
      </c>
      <c r="F80">
        <v>1</v>
      </c>
      <c r="G80" t="s">
        <v>26</v>
      </c>
      <c r="H80" s="2" t="s">
        <v>27</v>
      </c>
      <c r="I80" t="s">
        <v>55</v>
      </c>
      <c r="J80" s="2" t="s">
        <v>533</v>
      </c>
      <c r="L80" s="2" t="s">
        <v>30</v>
      </c>
      <c r="M80" s="2" t="s">
        <v>31</v>
      </c>
      <c r="N80" s="2" t="s">
        <v>32</v>
      </c>
      <c r="O80" s="2" t="s">
        <v>491</v>
      </c>
      <c r="P80" s="2" t="s">
        <v>34</v>
      </c>
      <c r="Q80" t="s">
        <v>492</v>
      </c>
      <c r="R80" s="2" t="s">
        <v>493</v>
      </c>
      <c r="T80" s="2" t="s">
        <v>60</v>
      </c>
    </row>
    <row r="81" spans="1:23" x14ac:dyDescent="0.25">
      <c r="A81" t="s">
        <v>534</v>
      </c>
      <c r="B81" s="4">
        <f t="shared" si="1"/>
        <v>70398</v>
      </c>
      <c r="C81" t="s">
        <v>535</v>
      </c>
      <c r="D81" t="s">
        <v>120</v>
      </c>
      <c r="E81" t="s">
        <v>128</v>
      </c>
      <c r="F81">
        <v>1</v>
      </c>
      <c r="G81" t="s">
        <v>26</v>
      </c>
      <c r="H81" s="2" t="s">
        <v>27</v>
      </c>
      <c r="I81" t="s">
        <v>55</v>
      </c>
      <c r="J81" s="2" t="s">
        <v>536</v>
      </c>
      <c r="L81" s="2" t="s">
        <v>30</v>
      </c>
      <c r="M81" s="2" t="s">
        <v>31</v>
      </c>
      <c r="N81" s="2" t="s">
        <v>32</v>
      </c>
      <c r="O81" s="2" t="s">
        <v>537</v>
      </c>
      <c r="P81" s="2" t="s">
        <v>34</v>
      </c>
      <c r="Q81" t="s">
        <v>538</v>
      </c>
      <c r="R81" s="2" t="s">
        <v>539</v>
      </c>
      <c r="T81" s="2" t="s">
        <v>60</v>
      </c>
    </row>
    <row r="82" spans="1:23" x14ac:dyDescent="0.25">
      <c r="A82" t="s">
        <v>540</v>
      </c>
      <c r="B82" s="4">
        <f t="shared" si="1"/>
        <v>70418</v>
      </c>
      <c r="C82" t="s">
        <v>541</v>
      </c>
      <c r="D82" t="s">
        <v>279</v>
      </c>
      <c r="E82" t="s">
        <v>542</v>
      </c>
      <c r="F82" t="s">
        <v>543</v>
      </c>
      <c r="G82" t="s">
        <v>26</v>
      </c>
      <c r="H82" s="2" t="s">
        <v>27</v>
      </c>
      <c r="I82" t="s">
        <v>55</v>
      </c>
      <c r="J82" s="2" t="s">
        <v>544</v>
      </c>
      <c r="L82" s="2" t="s">
        <v>30</v>
      </c>
      <c r="M82" s="2" t="s">
        <v>31</v>
      </c>
      <c r="N82" s="2" t="s">
        <v>32</v>
      </c>
      <c r="O82" s="2" t="s">
        <v>525</v>
      </c>
      <c r="P82" s="2" t="s">
        <v>34</v>
      </c>
      <c r="Q82" t="s">
        <v>545</v>
      </c>
      <c r="R82" s="2" t="s">
        <v>546</v>
      </c>
      <c r="T82" s="2" t="s">
        <v>60</v>
      </c>
    </row>
    <row r="83" spans="1:23" x14ac:dyDescent="0.25">
      <c r="A83" t="s">
        <v>547</v>
      </c>
      <c r="B83" s="4">
        <f t="shared" si="1"/>
        <v>70419</v>
      </c>
      <c r="C83" t="s">
        <v>548</v>
      </c>
      <c r="D83" t="s">
        <v>279</v>
      </c>
      <c r="E83" t="s">
        <v>273</v>
      </c>
      <c r="F83" t="s">
        <v>543</v>
      </c>
      <c r="G83" t="s">
        <v>26</v>
      </c>
      <c r="H83" s="2" t="s">
        <v>27</v>
      </c>
      <c r="I83" t="s">
        <v>55</v>
      </c>
      <c r="J83" s="2" t="s">
        <v>549</v>
      </c>
      <c r="L83" s="2" t="s">
        <v>30</v>
      </c>
      <c r="M83" s="2" t="s">
        <v>31</v>
      </c>
      <c r="N83" s="2" t="s">
        <v>32</v>
      </c>
      <c r="O83" s="2" t="s">
        <v>525</v>
      </c>
      <c r="P83" s="2" t="s">
        <v>34</v>
      </c>
      <c r="Q83" t="s">
        <v>307</v>
      </c>
      <c r="R83" s="2" t="s">
        <v>308</v>
      </c>
      <c r="T83" s="2" t="s">
        <v>34</v>
      </c>
      <c r="U83" s="2" t="s">
        <v>309</v>
      </c>
      <c r="V83" s="2" t="s">
        <v>547</v>
      </c>
      <c r="W83" t="s">
        <v>550</v>
      </c>
    </row>
    <row r="84" spans="1:23" x14ac:dyDescent="0.25">
      <c r="A84" t="s">
        <v>551</v>
      </c>
      <c r="B84" s="4">
        <f t="shared" si="1"/>
        <v>70420</v>
      </c>
      <c r="C84" t="s">
        <v>552</v>
      </c>
      <c r="D84" t="s">
        <v>279</v>
      </c>
      <c r="E84" t="s">
        <v>273</v>
      </c>
      <c r="F84" t="s">
        <v>543</v>
      </c>
      <c r="G84" t="s">
        <v>26</v>
      </c>
      <c r="H84" s="2" t="s">
        <v>27</v>
      </c>
      <c r="I84" t="s">
        <v>55</v>
      </c>
      <c r="J84" s="2" t="s">
        <v>553</v>
      </c>
      <c r="L84" s="2" t="s">
        <v>30</v>
      </c>
      <c r="M84" s="2" t="s">
        <v>31</v>
      </c>
      <c r="N84" s="2" t="s">
        <v>32</v>
      </c>
      <c r="O84" s="2" t="s">
        <v>525</v>
      </c>
      <c r="P84" s="2" t="s">
        <v>34</v>
      </c>
      <c r="Q84" t="s">
        <v>307</v>
      </c>
      <c r="R84" s="2" t="s">
        <v>308</v>
      </c>
      <c r="T84" s="2" t="s">
        <v>34</v>
      </c>
      <c r="U84" s="2" t="s">
        <v>309</v>
      </c>
      <c r="V84" s="2" t="s">
        <v>551</v>
      </c>
      <c r="W84" t="s">
        <v>554</v>
      </c>
    </row>
    <row r="85" spans="1:23" x14ac:dyDescent="0.25">
      <c r="A85" t="s">
        <v>555</v>
      </c>
      <c r="B85" s="4">
        <f t="shared" si="1"/>
        <v>70421</v>
      </c>
      <c r="C85" t="s">
        <v>556</v>
      </c>
      <c r="D85" t="s">
        <v>279</v>
      </c>
      <c r="E85" t="s">
        <v>557</v>
      </c>
      <c r="F85" t="s">
        <v>543</v>
      </c>
      <c r="G85" t="s">
        <v>26</v>
      </c>
      <c r="H85" s="2" t="s">
        <v>27</v>
      </c>
      <c r="I85" t="s">
        <v>55</v>
      </c>
      <c r="J85" s="2" t="s">
        <v>558</v>
      </c>
      <c r="L85" s="2" t="s">
        <v>30</v>
      </c>
      <c r="M85" s="2" t="s">
        <v>31</v>
      </c>
      <c r="N85" s="2" t="s">
        <v>32</v>
      </c>
      <c r="O85" s="2" t="s">
        <v>525</v>
      </c>
      <c r="P85" s="2" t="s">
        <v>34</v>
      </c>
      <c r="Q85" t="s">
        <v>307</v>
      </c>
      <c r="R85" s="2" t="s">
        <v>308</v>
      </c>
      <c r="T85" s="2" t="s">
        <v>34</v>
      </c>
      <c r="U85" s="2" t="s">
        <v>309</v>
      </c>
      <c r="V85" s="2" t="s">
        <v>559</v>
      </c>
      <c r="W85" t="s">
        <v>560</v>
      </c>
    </row>
    <row r="86" spans="1:23" x14ac:dyDescent="0.25">
      <c r="A86" t="s">
        <v>561</v>
      </c>
      <c r="B86" s="4">
        <f t="shared" si="1"/>
        <v>70428</v>
      </c>
      <c r="C86" t="s">
        <v>562</v>
      </c>
      <c r="D86" t="s">
        <v>245</v>
      </c>
      <c r="E86" t="s">
        <v>563</v>
      </c>
      <c r="F86">
        <v>2</v>
      </c>
      <c r="G86" t="s">
        <v>26</v>
      </c>
      <c r="H86" s="2" t="s">
        <v>27</v>
      </c>
      <c r="I86" t="s">
        <v>55</v>
      </c>
      <c r="J86" s="2" t="s">
        <v>564</v>
      </c>
      <c r="L86" s="2" t="s">
        <v>30</v>
      </c>
      <c r="M86" s="2" t="s">
        <v>31</v>
      </c>
      <c r="N86" s="2" t="s">
        <v>32</v>
      </c>
      <c r="O86" s="2" t="s">
        <v>565</v>
      </c>
      <c r="P86" s="2" t="s">
        <v>34</v>
      </c>
      <c r="Q86" t="s">
        <v>566</v>
      </c>
      <c r="R86" s="2" t="s">
        <v>567</v>
      </c>
      <c r="T86" s="2" t="s">
        <v>60</v>
      </c>
    </row>
    <row r="87" spans="1:23" x14ac:dyDescent="0.25">
      <c r="A87" t="s">
        <v>568</v>
      </c>
      <c r="B87" s="4">
        <f t="shared" si="1"/>
        <v>70429</v>
      </c>
      <c r="C87" t="s">
        <v>569</v>
      </c>
      <c r="D87" t="s">
        <v>245</v>
      </c>
      <c r="E87" t="s">
        <v>25</v>
      </c>
      <c r="F87">
        <v>2</v>
      </c>
      <c r="G87" t="s">
        <v>26</v>
      </c>
      <c r="H87" s="2" t="s">
        <v>27</v>
      </c>
      <c r="I87" t="s">
        <v>55</v>
      </c>
      <c r="J87" s="2" t="s">
        <v>570</v>
      </c>
      <c r="L87" s="2" t="s">
        <v>30</v>
      </c>
      <c r="M87" s="2" t="s">
        <v>31</v>
      </c>
      <c r="N87" s="2" t="s">
        <v>32</v>
      </c>
      <c r="O87" s="2" t="s">
        <v>571</v>
      </c>
      <c r="P87" s="2" t="s">
        <v>34</v>
      </c>
      <c r="Q87" t="s">
        <v>572</v>
      </c>
      <c r="R87" s="2" t="s">
        <v>573</v>
      </c>
      <c r="T87" s="2" t="s">
        <v>60</v>
      </c>
    </row>
    <row r="88" spans="1:23" x14ac:dyDescent="0.25">
      <c r="A88" t="s">
        <v>574</v>
      </c>
      <c r="B88" s="4">
        <f t="shared" si="1"/>
        <v>70430</v>
      </c>
      <c r="C88" t="s">
        <v>575</v>
      </c>
      <c r="D88" t="s">
        <v>297</v>
      </c>
      <c r="E88" t="s">
        <v>298</v>
      </c>
      <c r="F88">
        <v>1</v>
      </c>
      <c r="G88" t="s">
        <v>26</v>
      </c>
      <c r="H88" s="2" t="s">
        <v>27</v>
      </c>
      <c r="I88" t="s">
        <v>55</v>
      </c>
      <c r="J88" s="2" t="s">
        <v>576</v>
      </c>
      <c r="L88" s="2" t="s">
        <v>30</v>
      </c>
      <c r="M88" s="2" t="s">
        <v>31</v>
      </c>
      <c r="N88" s="2" t="s">
        <v>32</v>
      </c>
      <c r="O88" s="2" t="s">
        <v>577</v>
      </c>
      <c r="P88" s="2" t="s">
        <v>34</v>
      </c>
      <c r="Q88" t="s">
        <v>578</v>
      </c>
      <c r="R88" s="2" t="s">
        <v>579</v>
      </c>
      <c r="T88" s="2" t="s">
        <v>60</v>
      </c>
    </row>
    <row r="89" spans="1:23" x14ac:dyDescent="0.25">
      <c r="A89" t="s">
        <v>580</v>
      </c>
      <c r="B89" s="4">
        <f t="shared" si="1"/>
        <v>70441</v>
      </c>
      <c r="C89" t="s">
        <v>581</v>
      </c>
      <c r="D89" t="s">
        <v>103</v>
      </c>
      <c r="E89" t="s">
        <v>238</v>
      </c>
      <c r="F89">
        <v>1</v>
      </c>
      <c r="G89" t="s">
        <v>26</v>
      </c>
      <c r="H89" s="2" t="s">
        <v>27</v>
      </c>
      <c r="I89" t="s">
        <v>55</v>
      </c>
      <c r="J89" s="2" t="s">
        <v>582</v>
      </c>
      <c r="L89" s="2" t="s">
        <v>30</v>
      </c>
      <c r="M89" s="2" t="s">
        <v>31</v>
      </c>
      <c r="N89" s="2" t="s">
        <v>32</v>
      </c>
      <c r="O89" s="2" t="s">
        <v>571</v>
      </c>
      <c r="P89" s="2" t="s">
        <v>34</v>
      </c>
      <c r="Q89" t="s">
        <v>583</v>
      </c>
      <c r="R89" s="2" t="s">
        <v>584</v>
      </c>
      <c r="T89" s="2" t="s">
        <v>60</v>
      </c>
    </row>
    <row r="90" spans="1:23" x14ac:dyDescent="0.25">
      <c r="A90" t="s">
        <v>585</v>
      </c>
      <c r="B90" s="4">
        <f t="shared" si="1"/>
        <v>70442</v>
      </c>
      <c r="C90" t="s">
        <v>586</v>
      </c>
      <c r="D90" t="s">
        <v>103</v>
      </c>
      <c r="E90" t="s">
        <v>238</v>
      </c>
      <c r="F90">
        <v>1</v>
      </c>
      <c r="G90" t="s">
        <v>26</v>
      </c>
      <c r="H90" s="2" t="s">
        <v>27</v>
      </c>
      <c r="I90" t="s">
        <v>55</v>
      </c>
      <c r="J90" s="2" t="s">
        <v>587</v>
      </c>
      <c r="L90" s="2" t="s">
        <v>30</v>
      </c>
      <c r="M90" s="2" t="s">
        <v>31</v>
      </c>
      <c r="N90" s="2" t="s">
        <v>32</v>
      </c>
      <c r="O90" s="2" t="s">
        <v>497</v>
      </c>
      <c r="P90" s="2" t="s">
        <v>34</v>
      </c>
      <c r="Q90" t="s">
        <v>588</v>
      </c>
      <c r="R90" s="2" t="s">
        <v>589</v>
      </c>
      <c r="T90" s="2" t="s">
        <v>60</v>
      </c>
    </row>
    <row r="91" spans="1:23" x14ac:dyDescent="0.25">
      <c r="A91" t="s">
        <v>590</v>
      </c>
      <c r="B91" s="4">
        <f t="shared" si="1"/>
        <v>70449</v>
      </c>
      <c r="C91" t="s">
        <v>591</v>
      </c>
      <c r="D91" t="s">
        <v>149</v>
      </c>
      <c r="E91" t="s">
        <v>150</v>
      </c>
      <c r="F91">
        <v>3</v>
      </c>
      <c r="G91" t="s">
        <v>26</v>
      </c>
      <c r="H91" s="2" t="s">
        <v>27</v>
      </c>
      <c r="I91" t="s">
        <v>55</v>
      </c>
      <c r="J91" s="2" t="s">
        <v>592</v>
      </c>
      <c r="L91" s="2" t="s">
        <v>30</v>
      </c>
      <c r="M91" s="2" t="s">
        <v>31</v>
      </c>
      <c r="N91" s="2" t="s">
        <v>32</v>
      </c>
      <c r="O91" s="2" t="s">
        <v>152</v>
      </c>
      <c r="P91" s="2" t="s">
        <v>34</v>
      </c>
      <c r="Q91" t="s">
        <v>153</v>
      </c>
      <c r="R91" s="2" t="s">
        <v>154</v>
      </c>
      <c r="T91" s="2" t="s">
        <v>60</v>
      </c>
    </row>
    <row r="92" spans="1:23" x14ac:dyDescent="0.25">
      <c r="A92" t="s">
        <v>593</v>
      </c>
      <c r="B92" s="4">
        <f t="shared" si="1"/>
        <v>70457</v>
      </c>
      <c r="C92" t="s">
        <v>594</v>
      </c>
      <c r="D92" t="s">
        <v>297</v>
      </c>
      <c r="E92" t="s">
        <v>298</v>
      </c>
      <c r="F92">
        <v>1</v>
      </c>
      <c r="G92" t="s">
        <v>26</v>
      </c>
      <c r="H92" s="2" t="s">
        <v>27</v>
      </c>
      <c r="I92" t="s">
        <v>55</v>
      </c>
      <c r="J92" s="2" t="s">
        <v>595</v>
      </c>
      <c r="L92" s="2" t="s">
        <v>30</v>
      </c>
      <c r="M92" s="2" t="s">
        <v>31</v>
      </c>
      <c r="N92" s="2" t="s">
        <v>32</v>
      </c>
      <c r="O92" s="2" t="s">
        <v>130</v>
      </c>
      <c r="P92" s="2" t="s">
        <v>34</v>
      </c>
      <c r="Q92" t="s">
        <v>300</v>
      </c>
      <c r="R92" s="2" t="s">
        <v>301</v>
      </c>
      <c r="T92" s="2" t="s">
        <v>60</v>
      </c>
    </row>
    <row r="93" spans="1:23" x14ac:dyDescent="0.25">
      <c r="A93" t="s">
        <v>596</v>
      </c>
      <c r="B93" s="4">
        <f t="shared" si="1"/>
        <v>70458</v>
      </c>
      <c r="C93" t="s">
        <v>597</v>
      </c>
      <c r="D93" t="s">
        <v>42</v>
      </c>
      <c r="E93" t="s">
        <v>598</v>
      </c>
      <c r="F93">
        <v>3</v>
      </c>
      <c r="G93" t="s">
        <v>26</v>
      </c>
      <c r="H93" s="2" t="s">
        <v>27</v>
      </c>
      <c r="I93" t="s">
        <v>55</v>
      </c>
      <c r="J93" s="2" t="s">
        <v>599</v>
      </c>
      <c r="L93" s="2" t="s">
        <v>30</v>
      </c>
      <c r="M93" s="2" t="s">
        <v>31</v>
      </c>
      <c r="N93" s="2" t="s">
        <v>32</v>
      </c>
      <c r="O93" s="2" t="s">
        <v>135</v>
      </c>
      <c r="P93" s="2" t="s">
        <v>34</v>
      </c>
      <c r="Q93" t="s">
        <v>136</v>
      </c>
      <c r="R93" s="2" t="s">
        <v>137</v>
      </c>
      <c r="T93" s="2" t="s">
        <v>34</v>
      </c>
      <c r="U93" s="2" t="s">
        <v>138</v>
      </c>
      <c r="V93" s="2" t="s">
        <v>596</v>
      </c>
      <c r="W93" t="s">
        <v>600</v>
      </c>
    </row>
    <row r="94" spans="1:23" x14ac:dyDescent="0.25">
      <c r="A94" t="s">
        <v>601</v>
      </c>
      <c r="B94" s="4">
        <f t="shared" si="1"/>
        <v>70463</v>
      </c>
      <c r="C94" t="s">
        <v>602</v>
      </c>
      <c r="D94" t="s">
        <v>42</v>
      </c>
      <c r="E94" t="s">
        <v>603</v>
      </c>
      <c r="F94">
        <v>3</v>
      </c>
      <c r="G94" t="s">
        <v>26</v>
      </c>
      <c r="H94" s="2" t="s">
        <v>27</v>
      </c>
      <c r="I94" t="s">
        <v>55</v>
      </c>
      <c r="J94" s="2" t="s">
        <v>604</v>
      </c>
      <c r="L94" s="2" t="s">
        <v>30</v>
      </c>
      <c r="M94" s="2" t="s">
        <v>31</v>
      </c>
      <c r="N94" s="2" t="s">
        <v>32</v>
      </c>
      <c r="O94" s="2" t="s">
        <v>435</v>
      </c>
      <c r="P94" s="2" t="s">
        <v>34</v>
      </c>
      <c r="Q94" t="s">
        <v>203</v>
      </c>
      <c r="R94" s="2" t="s">
        <v>204</v>
      </c>
      <c r="T94" s="2" t="s">
        <v>34</v>
      </c>
      <c r="U94" s="2" t="s">
        <v>205</v>
      </c>
      <c r="V94" s="2" t="s">
        <v>601</v>
      </c>
      <c r="W94" t="s">
        <v>605</v>
      </c>
    </row>
    <row r="95" spans="1:23" x14ac:dyDescent="0.25">
      <c r="A95" t="s">
        <v>606</v>
      </c>
      <c r="B95" s="4">
        <f t="shared" si="1"/>
        <v>70468</v>
      </c>
      <c r="C95" t="s">
        <v>607</v>
      </c>
      <c r="D95" t="s">
        <v>24</v>
      </c>
      <c r="E95" t="s">
        <v>113</v>
      </c>
      <c r="F95">
        <v>2</v>
      </c>
      <c r="G95" t="s">
        <v>26</v>
      </c>
      <c r="H95" s="2" t="s">
        <v>27</v>
      </c>
      <c r="I95" t="s">
        <v>28</v>
      </c>
      <c r="J95" s="2" t="s">
        <v>608</v>
      </c>
      <c r="L95" s="2" t="s">
        <v>30</v>
      </c>
      <c r="M95" s="2" t="s">
        <v>31</v>
      </c>
      <c r="N95" s="2" t="s">
        <v>32</v>
      </c>
      <c r="O95" s="2" t="s">
        <v>115</v>
      </c>
      <c r="P95" s="2" t="s">
        <v>34</v>
      </c>
      <c r="Q95" t="s">
        <v>46</v>
      </c>
      <c r="R95" s="2" t="s">
        <v>47</v>
      </c>
      <c r="T95" s="2" t="s">
        <v>34</v>
      </c>
      <c r="U95" s="2" t="s">
        <v>48</v>
      </c>
      <c r="V95" s="2" t="s">
        <v>609</v>
      </c>
      <c r="W95" t="s">
        <v>610</v>
      </c>
    </row>
    <row r="96" spans="1:23" x14ac:dyDescent="0.25">
      <c r="A96" t="s">
        <v>611</v>
      </c>
      <c r="B96" s="4">
        <f t="shared" si="1"/>
        <v>70471</v>
      </c>
      <c r="C96" t="s">
        <v>612</v>
      </c>
      <c r="D96" t="s">
        <v>24</v>
      </c>
      <c r="E96" t="s">
        <v>25</v>
      </c>
      <c r="F96">
        <v>2</v>
      </c>
      <c r="G96" t="s">
        <v>26</v>
      </c>
      <c r="H96" s="2" t="s">
        <v>27</v>
      </c>
      <c r="I96" t="s">
        <v>28</v>
      </c>
      <c r="J96" s="2" t="s">
        <v>613</v>
      </c>
      <c r="L96" s="2" t="s">
        <v>30</v>
      </c>
      <c r="M96" s="2" t="s">
        <v>31</v>
      </c>
      <c r="N96" s="2" t="s">
        <v>32</v>
      </c>
      <c r="O96" s="2" t="s">
        <v>614</v>
      </c>
      <c r="P96" s="2" t="s">
        <v>34</v>
      </c>
      <c r="Q96" t="s">
        <v>615</v>
      </c>
      <c r="R96" s="2" t="s">
        <v>616</v>
      </c>
      <c r="T96" s="2" t="s">
        <v>60</v>
      </c>
    </row>
    <row r="97" spans="1:23" x14ac:dyDescent="0.25">
      <c r="A97" t="s">
        <v>617</v>
      </c>
      <c r="B97" s="4">
        <f t="shared" si="1"/>
        <v>70473</v>
      </c>
      <c r="C97" t="s">
        <v>618</v>
      </c>
      <c r="D97" t="s">
        <v>365</v>
      </c>
      <c r="E97" t="s">
        <v>619</v>
      </c>
      <c r="F97" t="s">
        <v>367</v>
      </c>
      <c r="G97" t="s">
        <v>26</v>
      </c>
      <c r="H97" s="2" t="s">
        <v>27</v>
      </c>
      <c r="I97" t="s">
        <v>55</v>
      </c>
      <c r="J97" s="2" t="s">
        <v>439</v>
      </c>
      <c r="L97" s="2" t="s">
        <v>30</v>
      </c>
      <c r="M97" s="2" t="s">
        <v>31</v>
      </c>
      <c r="N97" s="2" t="s">
        <v>32</v>
      </c>
      <c r="O97" s="2" t="s">
        <v>525</v>
      </c>
      <c r="P97" s="2" t="s">
        <v>34</v>
      </c>
      <c r="Q97" t="s">
        <v>620</v>
      </c>
      <c r="R97" s="2" t="s">
        <v>206</v>
      </c>
      <c r="S97" s="2" t="s">
        <v>621</v>
      </c>
      <c r="T97" s="2" t="s">
        <v>60</v>
      </c>
    </row>
    <row r="98" spans="1:23" x14ac:dyDescent="0.25">
      <c r="A98" t="s">
        <v>622</v>
      </c>
      <c r="B98" s="4">
        <f t="shared" si="1"/>
        <v>70474</v>
      </c>
      <c r="C98" t="s">
        <v>623</v>
      </c>
      <c r="D98" t="s">
        <v>365</v>
      </c>
      <c r="E98" t="s">
        <v>624</v>
      </c>
      <c r="F98" t="s">
        <v>367</v>
      </c>
      <c r="G98" t="s">
        <v>26</v>
      </c>
      <c r="H98" s="2" t="s">
        <v>27</v>
      </c>
      <c r="I98" t="s">
        <v>28</v>
      </c>
      <c r="J98" s="2" t="s">
        <v>625</v>
      </c>
      <c r="L98" s="2" t="s">
        <v>30</v>
      </c>
      <c r="M98" s="2" t="s">
        <v>31</v>
      </c>
      <c r="N98" s="2" t="s">
        <v>32</v>
      </c>
      <c r="O98" s="2" t="s">
        <v>525</v>
      </c>
      <c r="P98" s="2" t="s">
        <v>34</v>
      </c>
      <c r="Q98" t="s">
        <v>626</v>
      </c>
      <c r="R98" s="2" t="s">
        <v>206</v>
      </c>
      <c r="S98" s="2" t="s">
        <v>627</v>
      </c>
      <c r="T98" s="2" t="s">
        <v>34</v>
      </c>
      <c r="U98" s="2" t="s">
        <v>628</v>
      </c>
      <c r="V98" s="2" t="s">
        <v>629</v>
      </c>
      <c r="W98" t="s">
        <v>630</v>
      </c>
    </row>
    <row r="99" spans="1:23" x14ac:dyDescent="0.25">
      <c r="A99" t="s">
        <v>631</v>
      </c>
      <c r="B99" s="4">
        <f t="shared" si="1"/>
        <v>70478</v>
      </c>
      <c r="C99" t="s">
        <v>632</v>
      </c>
      <c r="D99" t="s">
        <v>103</v>
      </c>
      <c r="E99" t="s">
        <v>238</v>
      </c>
      <c r="F99">
        <v>1</v>
      </c>
      <c r="G99" t="s">
        <v>26</v>
      </c>
      <c r="H99" s="2" t="s">
        <v>27</v>
      </c>
      <c r="I99" t="s">
        <v>55</v>
      </c>
      <c r="J99" s="2" t="s">
        <v>633</v>
      </c>
      <c r="L99" s="2" t="s">
        <v>30</v>
      </c>
      <c r="M99" s="2" t="s">
        <v>31</v>
      </c>
      <c r="N99" s="2" t="s">
        <v>32</v>
      </c>
      <c r="O99" s="2" t="s">
        <v>634</v>
      </c>
      <c r="P99" s="2" t="s">
        <v>34</v>
      </c>
      <c r="Q99" t="s">
        <v>635</v>
      </c>
      <c r="R99" s="2" t="s">
        <v>636</v>
      </c>
      <c r="T99" s="2" t="s">
        <v>60</v>
      </c>
    </row>
    <row r="100" spans="1:23" x14ac:dyDescent="0.25">
      <c r="A100" t="s">
        <v>637</v>
      </c>
      <c r="B100" s="4">
        <f t="shared" si="1"/>
        <v>70480</v>
      </c>
      <c r="C100" t="s">
        <v>638</v>
      </c>
      <c r="D100" t="s">
        <v>297</v>
      </c>
      <c r="E100" t="s">
        <v>444</v>
      </c>
      <c r="F100">
        <v>1</v>
      </c>
      <c r="G100" t="s">
        <v>26</v>
      </c>
      <c r="H100" s="2" t="s">
        <v>27</v>
      </c>
      <c r="I100" t="s">
        <v>55</v>
      </c>
      <c r="J100" s="2" t="s">
        <v>639</v>
      </c>
      <c r="L100" s="2" t="s">
        <v>30</v>
      </c>
      <c r="M100" s="2" t="s">
        <v>31</v>
      </c>
      <c r="N100" s="2" t="s">
        <v>32</v>
      </c>
      <c r="O100" s="2" t="s">
        <v>123</v>
      </c>
      <c r="P100" s="2" t="s">
        <v>34</v>
      </c>
      <c r="Q100" t="s">
        <v>640</v>
      </c>
      <c r="R100" s="2" t="s">
        <v>641</v>
      </c>
      <c r="T100" s="2" t="s">
        <v>60</v>
      </c>
    </row>
    <row r="101" spans="1:23" x14ac:dyDescent="0.25">
      <c r="A101" t="s">
        <v>642</v>
      </c>
      <c r="B101" s="4">
        <f t="shared" si="1"/>
        <v>70486</v>
      </c>
      <c r="C101" t="s">
        <v>643</v>
      </c>
      <c r="D101" t="s">
        <v>42</v>
      </c>
      <c r="E101" t="s">
        <v>479</v>
      </c>
      <c r="F101">
        <v>3</v>
      </c>
      <c r="G101" t="s">
        <v>26</v>
      </c>
      <c r="H101" s="2" t="s">
        <v>27</v>
      </c>
      <c r="I101" t="s">
        <v>55</v>
      </c>
      <c r="J101" s="2" t="s">
        <v>644</v>
      </c>
      <c r="L101" s="2" t="s">
        <v>30</v>
      </c>
      <c r="M101" s="2" t="s">
        <v>31</v>
      </c>
      <c r="N101" s="2" t="s">
        <v>32</v>
      </c>
      <c r="O101" s="2" t="s">
        <v>79</v>
      </c>
      <c r="P101" s="2" t="s">
        <v>34</v>
      </c>
      <c r="Q101" t="s">
        <v>203</v>
      </c>
      <c r="R101" s="2" t="s">
        <v>204</v>
      </c>
      <c r="T101" s="2" t="s">
        <v>34</v>
      </c>
      <c r="U101" s="2" t="s">
        <v>205</v>
      </c>
      <c r="V101" s="2" t="s">
        <v>206</v>
      </c>
    </row>
    <row r="102" spans="1:23" x14ac:dyDescent="0.25">
      <c r="A102" t="s">
        <v>645</v>
      </c>
      <c r="B102" s="4">
        <f t="shared" si="1"/>
        <v>70517</v>
      </c>
      <c r="C102" t="s">
        <v>646</v>
      </c>
      <c r="D102" t="s">
        <v>42</v>
      </c>
      <c r="E102" t="s">
        <v>90</v>
      </c>
      <c r="F102">
        <v>3</v>
      </c>
      <c r="G102" t="s">
        <v>26</v>
      </c>
      <c r="H102" s="2" t="s">
        <v>27</v>
      </c>
      <c r="I102" t="s">
        <v>55</v>
      </c>
      <c r="J102" s="2" t="s">
        <v>647</v>
      </c>
      <c r="L102" s="2" t="s">
        <v>30</v>
      </c>
      <c r="M102" s="2" t="s">
        <v>31</v>
      </c>
      <c r="N102" s="2" t="s">
        <v>32</v>
      </c>
      <c r="O102" s="2" t="s">
        <v>100</v>
      </c>
      <c r="P102" s="2" t="s">
        <v>34</v>
      </c>
      <c r="Q102" t="s">
        <v>86</v>
      </c>
      <c r="R102" s="2" t="s">
        <v>87</v>
      </c>
      <c r="T102" s="2" t="s">
        <v>60</v>
      </c>
    </row>
    <row r="103" spans="1:23" x14ac:dyDescent="0.25">
      <c r="A103" t="s">
        <v>648</v>
      </c>
      <c r="B103" s="4">
        <f t="shared" si="1"/>
        <v>70519</v>
      </c>
      <c r="C103" t="s">
        <v>649</v>
      </c>
      <c r="D103" t="s">
        <v>42</v>
      </c>
      <c r="E103" t="s">
        <v>650</v>
      </c>
      <c r="F103">
        <v>3</v>
      </c>
      <c r="G103" t="s">
        <v>26</v>
      </c>
      <c r="H103" s="2" t="s">
        <v>27</v>
      </c>
      <c r="I103" t="s">
        <v>55</v>
      </c>
      <c r="J103" s="2" t="s">
        <v>651</v>
      </c>
      <c r="L103" s="2" t="s">
        <v>30</v>
      </c>
      <c r="M103" s="2" t="s">
        <v>31</v>
      </c>
      <c r="N103" s="2" t="s">
        <v>32</v>
      </c>
      <c r="O103" s="2" t="s">
        <v>652</v>
      </c>
      <c r="P103" s="2" t="s">
        <v>34</v>
      </c>
      <c r="Q103" t="s">
        <v>203</v>
      </c>
      <c r="R103" s="2" t="s">
        <v>204</v>
      </c>
      <c r="T103" s="2" t="s">
        <v>34</v>
      </c>
      <c r="U103" s="2" t="s">
        <v>205</v>
      </c>
      <c r="V103" s="2" t="s">
        <v>206</v>
      </c>
    </row>
    <row r="104" spans="1:23" x14ac:dyDescent="0.25">
      <c r="A104" t="s">
        <v>653</v>
      </c>
      <c r="B104" s="4">
        <f t="shared" si="1"/>
        <v>70521</v>
      </c>
      <c r="C104" t="s">
        <v>654</v>
      </c>
      <c r="D104" t="s">
        <v>24</v>
      </c>
      <c r="E104" t="s">
        <v>655</v>
      </c>
      <c r="F104">
        <v>2</v>
      </c>
      <c r="G104" t="s">
        <v>26</v>
      </c>
      <c r="H104" s="2" t="s">
        <v>27</v>
      </c>
      <c r="I104" t="s">
        <v>55</v>
      </c>
      <c r="J104" s="2" t="s">
        <v>656</v>
      </c>
      <c r="L104" s="2" t="s">
        <v>30</v>
      </c>
      <c r="M104" s="2" t="s">
        <v>31</v>
      </c>
      <c r="N104" s="2" t="s">
        <v>32</v>
      </c>
      <c r="O104" s="2" t="s">
        <v>657</v>
      </c>
      <c r="P104" s="2" t="s">
        <v>34</v>
      </c>
      <c r="Q104" t="s">
        <v>658</v>
      </c>
      <c r="R104" s="2" t="s">
        <v>659</v>
      </c>
      <c r="T104" s="2" t="s">
        <v>34</v>
      </c>
      <c r="U104" s="2" t="s">
        <v>660</v>
      </c>
      <c r="V104" s="2" t="s">
        <v>653</v>
      </c>
      <c r="W104" t="s">
        <v>661</v>
      </c>
    </row>
    <row r="105" spans="1:23" x14ac:dyDescent="0.25">
      <c r="A105" t="s">
        <v>662</v>
      </c>
      <c r="B105" s="4">
        <f t="shared" si="1"/>
        <v>70524</v>
      </c>
      <c r="C105" t="s">
        <v>663</v>
      </c>
      <c r="D105" t="s">
        <v>279</v>
      </c>
      <c r="E105" t="s">
        <v>25</v>
      </c>
      <c r="F105">
        <v>1</v>
      </c>
      <c r="G105" t="s">
        <v>26</v>
      </c>
      <c r="H105" s="2" t="s">
        <v>27</v>
      </c>
      <c r="I105" t="s">
        <v>55</v>
      </c>
      <c r="J105" s="2" t="s">
        <v>664</v>
      </c>
      <c r="L105" s="2" t="s">
        <v>30</v>
      </c>
      <c r="M105" s="2" t="s">
        <v>31</v>
      </c>
      <c r="N105" s="2" t="s">
        <v>32</v>
      </c>
      <c r="O105" s="2" t="s">
        <v>525</v>
      </c>
      <c r="P105" s="2" t="s">
        <v>34</v>
      </c>
      <c r="Q105" t="s">
        <v>307</v>
      </c>
      <c r="R105" s="2" t="s">
        <v>308</v>
      </c>
      <c r="T105" s="2" t="s">
        <v>34</v>
      </c>
      <c r="U105" s="2" t="s">
        <v>309</v>
      </c>
      <c r="V105" s="2" t="s">
        <v>662</v>
      </c>
      <c r="W105" t="s">
        <v>665</v>
      </c>
    </row>
    <row r="106" spans="1:23" x14ac:dyDescent="0.25">
      <c r="A106" t="s">
        <v>666</v>
      </c>
      <c r="B106" s="4">
        <f t="shared" si="1"/>
        <v>70532</v>
      </c>
      <c r="C106" t="s">
        <v>667</v>
      </c>
      <c r="D106" t="s">
        <v>120</v>
      </c>
      <c r="E106" t="s">
        <v>121</v>
      </c>
      <c r="F106">
        <v>1</v>
      </c>
      <c r="G106" t="s">
        <v>26</v>
      </c>
      <c r="H106" s="2" t="s">
        <v>27</v>
      </c>
      <c r="I106" t="s">
        <v>55</v>
      </c>
      <c r="J106" s="2" t="s">
        <v>668</v>
      </c>
      <c r="L106" s="2" t="s">
        <v>30</v>
      </c>
      <c r="M106" s="2" t="s">
        <v>31</v>
      </c>
      <c r="N106" s="2" t="s">
        <v>32</v>
      </c>
      <c r="O106" s="2" t="s">
        <v>123</v>
      </c>
      <c r="P106" s="2" t="s">
        <v>34</v>
      </c>
      <c r="Q106" t="s">
        <v>107</v>
      </c>
      <c r="R106" s="2" t="s">
        <v>108</v>
      </c>
      <c r="T106" s="2" t="s">
        <v>34</v>
      </c>
      <c r="U106" s="2" t="s">
        <v>109</v>
      </c>
      <c r="V106" s="2" t="s">
        <v>666</v>
      </c>
      <c r="W106" t="s">
        <v>669</v>
      </c>
    </row>
    <row r="107" spans="1:23" x14ac:dyDescent="0.25">
      <c r="A107" t="s">
        <v>670</v>
      </c>
      <c r="B107" s="4">
        <f t="shared" si="1"/>
        <v>70539</v>
      </c>
      <c r="C107" t="s">
        <v>671</v>
      </c>
      <c r="D107" t="s">
        <v>53</v>
      </c>
      <c r="E107" t="s">
        <v>672</v>
      </c>
      <c r="F107">
        <v>2</v>
      </c>
      <c r="G107" t="s">
        <v>26</v>
      </c>
      <c r="H107" s="2" t="s">
        <v>27</v>
      </c>
      <c r="I107" t="s">
        <v>55</v>
      </c>
      <c r="J107" s="2" t="s">
        <v>673</v>
      </c>
      <c r="L107" s="2" t="s">
        <v>30</v>
      </c>
      <c r="M107" s="2" t="s">
        <v>31</v>
      </c>
      <c r="N107" s="2" t="s">
        <v>32</v>
      </c>
      <c r="O107" s="2" t="s">
        <v>674</v>
      </c>
      <c r="P107" s="2" t="s">
        <v>34</v>
      </c>
      <c r="Q107" t="s">
        <v>675</v>
      </c>
      <c r="R107" s="2" t="s">
        <v>676</v>
      </c>
      <c r="T107" s="2" t="s">
        <v>60</v>
      </c>
    </row>
    <row r="108" spans="1:23" x14ac:dyDescent="0.25">
      <c r="A108" t="s">
        <v>677</v>
      </c>
      <c r="B108" s="4">
        <f t="shared" si="1"/>
        <v>70548</v>
      </c>
      <c r="C108" t="s">
        <v>678</v>
      </c>
      <c r="D108" t="s">
        <v>185</v>
      </c>
      <c r="E108" t="s">
        <v>679</v>
      </c>
      <c r="F108" t="s">
        <v>680</v>
      </c>
      <c r="G108" t="s">
        <v>26</v>
      </c>
      <c r="H108" s="2" t="s">
        <v>27</v>
      </c>
      <c r="I108" t="s">
        <v>55</v>
      </c>
      <c r="J108" s="2" t="s">
        <v>681</v>
      </c>
      <c r="L108" s="2" t="s">
        <v>30</v>
      </c>
      <c r="M108" s="2" t="s">
        <v>31</v>
      </c>
      <c r="N108" s="2" t="s">
        <v>32</v>
      </c>
      <c r="O108" s="2" t="s">
        <v>525</v>
      </c>
      <c r="P108" s="2" t="s">
        <v>34</v>
      </c>
      <c r="Q108" t="s">
        <v>682</v>
      </c>
      <c r="R108" s="2" t="s">
        <v>206</v>
      </c>
      <c r="S108" s="2" t="s">
        <v>683</v>
      </c>
      <c r="T108" s="2" t="s">
        <v>60</v>
      </c>
    </row>
    <row r="109" spans="1:23" x14ac:dyDescent="0.25">
      <c r="A109" t="s">
        <v>684</v>
      </c>
      <c r="B109" s="4">
        <f t="shared" si="1"/>
        <v>70552</v>
      </c>
      <c r="C109" t="s">
        <v>685</v>
      </c>
      <c r="D109" t="s">
        <v>24</v>
      </c>
      <c r="E109" t="s">
        <v>655</v>
      </c>
      <c r="F109">
        <v>2</v>
      </c>
      <c r="G109" t="s">
        <v>26</v>
      </c>
      <c r="H109" s="2" t="s">
        <v>27</v>
      </c>
      <c r="I109" t="s">
        <v>368</v>
      </c>
      <c r="J109" s="2" t="s">
        <v>686</v>
      </c>
      <c r="L109" s="2" t="s">
        <v>30</v>
      </c>
      <c r="M109" s="2" t="s">
        <v>31</v>
      </c>
      <c r="N109" s="2" t="s">
        <v>32</v>
      </c>
      <c r="O109" s="2" t="s">
        <v>657</v>
      </c>
      <c r="P109" s="2" t="s">
        <v>60</v>
      </c>
      <c r="R109" s="2" t="s">
        <v>206</v>
      </c>
      <c r="T109" s="2" t="s">
        <v>60</v>
      </c>
    </row>
    <row r="110" spans="1:23" x14ac:dyDescent="0.25">
      <c r="A110" t="s">
        <v>687</v>
      </c>
      <c r="B110" s="4">
        <f t="shared" si="1"/>
        <v>70573</v>
      </c>
      <c r="C110" t="s">
        <v>688</v>
      </c>
      <c r="D110" t="s">
        <v>53</v>
      </c>
      <c r="E110" t="s">
        <v>689</v>
      </c>
      <c r="F110">
        <v>2</v>
      </c>
      <c r="G110" t="s">
        <v>26</v>
      </c>
      <c r="H110" s="2" t="s">
        <v>27</v>
      </c>
      <c r="I110" t="s">
        <v>55</v>
      </c>
      <c r="J110" s="2" t="s">
        <v>690</v>
      </c>
      <c r="L110" s="2" t="s">
        <v>30</v>
      </c>
      <c r="M110" s="2" t="s">
        <v>31</v>
      </c>
      <c r="N110" s="2" t="s">
        <v>32</v>
      </c>
      <c r="O110" s="2" t="s">
        <v>657</v>
      </c>
      <c r="P110" s="2" t="s">
        <v>34</v>
      </c>
      <c r="Q110" t="s">
        <v>691</v>
      </c>
      <c r="R110" s="2" t="s">
        <v>692</v>
      </c>
      <c r="T110" s="2" t="s">
        <v>60</v>
      </c>
    </row>
    <row r="111" spans="1:23" x14ac:dyDescent="0.25">
      <c r="A111" t="s">
        <v>693</v>
      </c>
      <c r="B111" s="4">
        <f t="shared" si="1"/>
        <v>70579</v>
      </c>
      <c r="C111" t="s">
        <v>694</v>
      </c>
      <c r="D111" t="s">
        <v>42</v>
      </c>
      <c r="E111" t="s">
        <v>133</v>
      </c>
      <c r="F111">
        <v>3</v>
      </c>
      <c r="G111" t="s">
        <v>26</v>
      </c>
      <c r="H111" s="2" t="s">
        <v>27</v>
      </c>
      <c r="I111" t="s">
        <v>28</v>
      </c>
      <c r="J111" s="2" t="s">
        <v>695</v>
      </c>
      <c r="L111" s="2" t="s">
        <v>30</v>
      </c>
      <c r="M111" s="2" t="s">
        <v>31</v>
      </c>
      <c r="N111" s="2" t="s">
        <v>32</v>
      </c>
      <c r="O111" s="2" t="s">
        <v>435</v>
      </c>
      <c r="P111" s="2" t="s">
        <v>34</v>
      </c>
      <c r="Q111" t="s">
        <v>145</v>
      </c>
      <c r="R111" s="2" t="s">
        <v>146</v>
      </c>
      <c r="T111" s="2" t="s">
        <v>60</v>
      </c>
    </row>
    <row r="112" spans="1:23" x14ac:dyDescent="0.25">
      <c r="A112" t="s">
        <v>696</v>
      </c>
      <c r="B112" s="4">
        <f t="shared" si="1"/>
        <v>70582</v>
      </c>
      <c r="C112" t="s">
        <v>697</v>
      </c>
      <c r="D112" t="s">
        <v>53</v>
      </c>
      <c r="E112" t="s">
        <v>63</v>
      </c>
      <c r="F112">
        <v>2</v>
      </c>
      <c r="G112" t="s">
        <v>26</v>
      </c>
      <c r="H112" s="2" t="s">
        <v>27</v>
      </c>
      <c r="I112" t="s">
        <v>55</v>
      </c>
      <c r="J112" s="2" t="s">
        <v>698</v>
      </c>
      <c r="L112" s="2" t="s">
        <v>30</v>
      </c>
      <c r="M112" s="2" t="s">
        <v>31</v>
      </c>
      <c r="N112" s="2" t="s">
        <v>32</v>
      </c>
      <c r="O112" s="2" t="s">
        <v>699</v>
      </c>
      <c r="P112" s="2" t="s">
        <v>34</v>
      </c>
      <c r="Q112" t="s">
        <v>700</v>
      </c>
      <c r="R112" s="2" t="s">
        <v>701</v>
      </c>
      <c r="T112" s="2" t="s">
        <v>60</v>
      </c>
    </row>
    <row r="113" spans="1:23" x14ac:dyDescent="0.25">
      <c r="A113" t="s">
        <v>702</v>
      </c>
      <c r="B113" s="4">
        <f t="shared" si="1"/>
        <v>70583</v>
      </c>
      <c r="C113" t="s">
        <v>703</v>
      </c>
      <c r="D113" t="s">
        <v>53</v>
      </c>
      <c r="E113" t="s">
        <v>704</v>
      </c>
      <c r="F113">
        <v>2</v>
      </c>
      <c r="G113" t="s">
        <v>26</v>
      </c>
      <c r="H113" s="2" t="s">
        <v>27</v>
      </c>
      <c r="I113" t="s">
        <v>55</v>
      </c>
      <c r="J113" s="2" t="s">
        <v>690</v>
      </c>
      <c r="L113" s="2" t="s">
        <v>30</v>
      </c>
      <c r="M113" s="2" t="s">
        <v>31</v>
      </c>
      <c r="N113" s="2" t="s">
        <v>32</v>
      </c>
      <c r="O113" s="2" t="s">
        <v>705</v>
      </c>
      <c r="P113" s="2" t="s">
        <v>34</v>
      </c>
      <c r="Q113" t="s">
        <v>706</v>
      </c>
      <c r="R113" s="2" t="s">
        <v>206</v>
      </c>
      <c r="S113" s="2" t="s">
        <v>707</v>
      </c>
      <c r="T113" s="2" t="s">
        <v>60</v>
      </c>
    </row>
    <row r="114" spans="1:23" x14ac:dyDescent="0.25">
      <c r="A114" t="s">
        <v>708</v>
      </c>
      <c r="B114" s="4">
        <f t="shared" si="1"/>
        <v>70584</v>
      </c>
      <c r="C114" t="s">
        <v>709</v>
      </c>
      <c r="D114" t="s">
        <v>149</v>
      </c>
      <c r="E114" t="s">
        <v>229</v>
      </c>
      <c r="F114">
        <v>3</v>
      </c>
      <c r="G114" t="s">
        <v>26</v>
      </c>
      <c r="H114" s="2" t="s">
        <v>27</v>
      </c>
      <c r="I114" t="s">
        <v>55</v>
      </c>
      <c r="J114" s="2" t="s">
        <v>710</v>
      </c>
      <c r="L114" s="2" t="s">
        <v>30</v>
      </c>
      <c r="M114" s="2" t="s">
        <v>31</v>
      </c>
      <c r="N114" s="2" t="s">
        <v>32</v>
      </c>
      <c r="O114" s="2" t="s">
        <v>711</v>
      </c>
      <c r="P114" s="2" t="s">
        <v>34</v>
      </c>
      <c r="Q114" t="s">
        <v>440</v>
      </c>
      <c r="R114" s="2" t="s">
        <v>441</v>
      </c>
      <c r="T114" s="2" t="s">
        <v>60</v>
      </c>
    </row>
    <row r="115" spans="1:23" x14ac:dyDescent="0.25">
      <c r="A115" t="s">
        <v>712</v>
      </c>
      <c r="B115" s="4">
        <f t="shared" si="1"/>
        <v>70633</v>
      </c>
      <c r="C115" t="s">
        <v>713</v>
      </c>
      <c r="D115" t="s">
        <v>365</v>
      </c>
      <c r="E115" t="s">
        <v>714</v>
      </c>
      <c r="F115" t="s">
        <v>367</v>
      </c>
      <c r="G115" t="s">
        <v>352</v>
      </c>
      <c r="H115" s="2" t="s">
        <v>27</v>
      </c>
      <c r="I115" t="s">
        <v>379</v>
      </c>
      <c r="J115" s="2" t="s">
        <v>715</v>
      </c>
      <c r="L115" s="2" t="s">
        <v>30</v>
      </c>
      <c r="M115" s="2" t="s">
        <v>31</v>
      </c>
      <c r="N115" s="2" t="s">
        <v>32</v>
      </c>
      <c r="O115" s="2" t="s">
        <v>525</v>
      </c>
      <c r="P115" s="2" t="s">
        <v>34</v>
      </c>
      <c r="Q115" t="s">
        <v>716</v>
      </c>
      <c r="R115" s="2" t="s">
        <v>206</v>
      </c>
      <c r="S115" s="2" t="s">
        <v>717</v>
      </c>
      <c r="T115" s="2" t="s">
        <v>60</v>
      </c>
    </row>
    <row r="116" spans="1:23" x14ac:dyDescent="0.25">
      <c r="A116" t="s">
        <v>718</v>
      </c>
      <c r="B116" s="4">
        <f t="shared" si="1"/>
        <v>70655</v>
      </c>
      <c r="C116" t="s">
        <v>719</v>
      </c>
      <c r="D116" t="s">
        <v>365</v>
      </c>
      <c r="E116" t="s">
        <v>720</v>
      </c>
      <c r="F116" t="s">
        <v>367</v>
      </c>
      <c r="G116" t="s">
        <v>352</v>
      </c>
      <c r="H116" s="2" t="s">
        <v>27</v>
      </c>
      <c r="I116" t="s">
        <v>379</v>
      </c>
      <c r="J116" s="2" t="s">
        <v>721</v>
      </c>
      <c r="L116" s="2" t="s">
        <v>30</v>
      </c>
      <c r="M116" s="2" t="s">
        <v>31</v>
      </c>
      <c r="N116" s="2" t="s">
        <v>32</v>
      </c>
      <c r="O116" s="2" t="s">
        <v>525</v>
      </c>
      <c r="P116" s="2" t="s">
        <v>34</v>
      </c>
      <c r="Q116" t="s">
        <v>722</v>
      </c>
      <c r="R116" s="2" t="s">
        <v>206</v>
      </c>
      <c r="S116" s="2" t="s">
        <v>723</v>
      </c>
      <c r="T116" s="2" t="s">
        <v>60</v>
      </c>
    </row>
    <row r="117" spans="1:23" x14ac:dyDescent="0.25">
      <c r="A117" t="s">
        <v>724</v>
      </c>
      <c r="B117" s="4">
        <f t="shared" si="1"/>
        <v>70675</v>
      </c>
      <c r="C117" t="s">
        <v>725</v>
      </c>
      <c r="D117" t="s">
        <v>365</v>
      </c>
      <c r="E117" t="s">
        <v>726</v>
      </c>
      <c r="F117" t="s">
        <v>367</v>
      </c>
      <c r="G117" t="s">
        <v>352</v>
      </c>
      <c r="H117" s="2" t="s">
        <v>373</v>
      </c>
      <c r="I117" t="s">
        <v>379</v>
      </c>
      <c r="K117" s="2" t="s">
        <v>727</v>
      </c>
      <c r="L117" s="2" t="s">
        <v>30</v>
      </c>
      <c r="M117" s="2" t="s">
        <v>31</v>
      </c>
      <c r="N117" s="2" t="s">
        <v>32</v>
      </c>
      <c r="O117" s="2" t="s">
        <v>728</v>
      </c>
      <c r="P117" s="2" t="s">
        <v>34</v>
      </c>
      <c r="Q117" t="s">
        <v>729</v>
      </c>
      <c r="R117" s="2" t="s">
        <v>206</v>
      </c>
      <c r="S117" s="2" t="s">
        <v>730</v>
      </c>
      <c r="T117" s="2" t="s">
        <v>60</v>
      </c>
    </row>
    <row r="118" spans="1:23" x14ac:dyDescent="0.25">
      <c r="A118" t="s">
        <v>731</v>
      </c>
      <c r="B118" s="4">
        <f t="shared" si="1"/>
        <v>70689</v>
      </c>
      <c r="C118" t="s">
        <v>732</v>
      </c>
      <c r="D118" t="s">
        <v>365</v>
      </c>
      <c r="E118" t="s">
        <v>714</v>
      </c>
      <c r="F118" t="s">
        <v>367</v>
      </c>
      <c r="G118" t="s">
        <v>352</v>
      </c>
      <c r="H118" s="2" t="s">
        <v>27</v>
      </c>
      <c r="I118" t="s">
        <v>379</v>
      </c>
      <c r="J118" s="2" t="s">
        <v>733</v>
      </c>
      <c r="L118" s="2" t="s">
        <v>30</v>
      </c>
      <c r="M118" s="2" t="s">
        <v>31</v>
      </c>
      <c r="N118" s="2" t="s">
        <v>32</v>
      </c>
      <c r="O118" s="2" t="s">
        <v>525</v>
      </c>
      <c r="P118" s="2" t="s">
        <v>34</v>
      </c>
      <c r="Q118" t="s">
        <v>734</v>
      </c>
      <c r="R118" s="2" t="s">
        <v>206</v>
      </c>
      <c r="S118" s="2" t="s">
        <v>735</v>
      </c>
      <c r="T118" s="2" t="s">
        <v>60</v>
      </c>
    </row>
    <row r="119" spans="1:23" x14ac:dyDescent="0.25">
      <c r="A119" t="s">
        <v>736</v>
      </c>
      <c r="B119" s="4">
        <f t="shared" si="1"/>
        <v>70859</v>
      </c>
      <c r="C119" t="s">
        <v>737</v>
      </c>
      <c r="D119" t="s">
        <v>365</v>
      </c>
      <c r="E119" t="s">
        <v>738</v>
      </c>
      <c r="F119" t="s">
        <v>187</v>
      </c>
      <c r="G119" t="s">
        <v>26</v>
      </c>
      <c r="H119" s="2" t="s">
        <v>27</v>
      </c>
      <c r="I119" t="s">
        <v>28</v>
      </c>
      <c r="J119" s="2" t="s">
        <v>739</v>
      </c>
      <c r="L119" s="2" t="s">
        <v>30</v>
      </c>
      <c r="M119" s="2" t="s">
        <v>31</v>
      </c>
      <c r="N119" s="2" t="s">
        <v>32</v>
      </c>
      <c r="O119" s="2" t="s">
        <v>525</v>
      </c>
      <c r="P119" s="2" t="s">
        <v>34</v>
      </c>
      <c r="Q119" t="s">
        <v>407</v>
      </c>
      <c r="R119" s="2" t="s">
        <v>408</v>
      </c>
      <c r="T119" s="2" t="s">
        <v>34</v>
      </c>
      <c r="U119" s="2" t="s">
        <v>409</v>
      </c>
      <c r="V119" s="2" t="s">
        <v>740</v>
      </c>
      <c r="W119" t="s">
        <v>741</v>
      </c>
    </row>
    <row r="120" spans="1:23" x14ac:dyDescent="0.25">
      <c r="A120" t="s">
        <v>742</v>
      </c>
      <c r="B120" s="4">
        <f t="shared" si="1"/>
        <v>70877</v>
      </c>
      <c r="C120" t="s">
        <v>743</v>
      </c>
      <c r="D120" t="s">
        <v>157</v>
      </c>
      <c r="E120" t="s">
        <v>158</v>
      </c>
      <c r="F120">
        <v>3</v>
      </c>
      <c r="G120" t="s">
        <v>26</v>
      </c>
      <c r="H120" s="2" t="s">
        <v>27</v>
      </c>
      <c r="I120" t="s">
        <v>55</v>
      </c>
      <c r="J120" s="2" t="s">
        <v>428</v>
      </c>
      <c r="L120" s="2" t="s">
        <v>30</v>
      </c>
      <c r="M120" s="2" t="s">
        <v>31</v>
      </c>
      <c r="N120" s="2" t="s">
        <v>32</v>
      </c>
      <c r="O120" s="2" t="s">
        <v>160</v>
      </c>
      <c r="P120" s="2" t="s">
        <v>34</v>
      </c>
      <c r="Q120" t="s">
        <v>744</v>
      </c>
      <c r="R120" s="2" t="s">
        <v>745</v>
      </c>
      <c r="T120" s="2" t="s">
        <v>60</v>
      </c>
    </row>
    <row r="121" spans="1:23" x14ac:dyDescent="0.25">
      <c r="A121" t="s">
        <v>746</v>
      </c>
      <c r="B121" s="4">
        <f t="shared" si="1"/>
        <v>70878</v>
      </c>
      <c r="C121" t="s">
        <v>747</v>
      </c>
      <c r="D121" t="s">
        <v>157</v>
      </c>
      <c r="E121" t="s">
        <v>158</v>
      </c>
      <c r="F121">
        <v>3</v>
      </c>
      <c r="G121" t="s">
        <v>26</v>
      </c>
      <c r="H121" s="2" t="s">
        <v>27</v>
      </c>
      <c r="I121" t="s">
        <v>55</v>
      </c>
      <c r="J121" s="2" t="s">
        <v>428</v>
      </c>
      <c r="L121" s="2" t="s">
        <v>30</v>
      </c>
      <c r="M121" s="2" t="s">
        <v>31</v>
      </c>
      <c r="N121" s="2" t="s">
        <v>32</v>
      </c>
      <c r="O121" s="2" t="s">
        <v>160</v>
      </c>
      <c r="P121" s="2" t="s">
        <v>34</v>
      </c>
      <c r="Q121" t="s">
        <v>748</v>
      </c>
      <c r="R121" s="2" t="s">
        <v>749</v>
      </c>
      <c r="T121" s="2" t="s">
        <v>34</v>
      </c>
      <c r="U121" s="2" t="s">
        <v>750</v>
      </c>
      <c r="V121" s="2" t="s">
        <v>746</v>
      </c>
      <c r="W121" t="s">
        <v>164</v>
      </c>
    </row>
    <row r="122" spans="1:23" x14ac:dyDescent="0.25">
      <c r="A122" t="s">
        <v>751</v>
      </c>
      <c r="B122" s="4">
        <f t="shared" si="1"/>
        <v>70907</v>
      </c>
      <c r="C122" t="s">
        <v>752</v>
      </c>
      <c r="D122" t="s">
        <v>24</v>
      </c>
      <c r="E122" t="s">
        <v>655</v>
      </c>
      <c r="F122">
        <v>2</v>
      </c>
      <c r="G122" t="s">
        <v>26</v>
      </c>
      <c r="H122" s="2" t="s">
        <v>27</v>
      </c>
      <c r="I122" t="s">
        <v>55</v>
      </c>
      <c r="J122" s="2" t="s">
        <v>753</v>
      </c>
      <c r="L122" s="2" t="s">
        <v>30</v>
      </c>
      <c r="M122" s="2" t="s">
        <v>31</v>
      </c>
      <c r="N122" s="2" t="s">
        <v>32</v>
      </c>
      <c r="O122" s="2" t="s">
        <v>657</v>
      </c>
      <c r="P122" s="2" t="s">
        <v>34</v>
      </c>
      <c r="Q122" t="s">
        <v>658</v>
      </c>
      <c r="R122" s="2" t="s">
        <v>659</v>
      </c>
      <c r="T122" s="2" t="s">
        <v>34</v>
      </c>
      <c r="U122" s="2" t="s">
        <v>660</v>
      </c>
      <c r="V122" s="2" t="s">
        <v>751</v>
      </c>
      <c r="W122" t="s">
        <v>754</v>
      </c>
    </row>
    <row r="123" spans="1:23" x14ac:dyDescent="0.25">
      <c r="A123" t="s">
        <v>755</v>
      </c>
      <c r="B123" s="4">
        <f t="shared" si="1"/>
        <v>70912</v>
      </c>
      <c r="C123" t="s">
        <v>756</v>
      </c>
      <c r="D123" t="s">
        <v>365</v>
      </c>
      <c r="E123" t="s">
        <v>714</v>
      </c>
      <c r="F123" t="s">
        <v>367</v>
      </c>
      <c r="G123" t="s">
        <v>352</v>
      </c>
      <c r="H123" s="2" t="s">
        <v>27</v>
      </c>
      <c r="I123" t="s">
        <v>379</v>
      </c>
      <c r="J123" s="2" t="s">
        <v>757</v>
      </c>
      <c r="L123" s="2" t="s">
        <v>30</v>
      </c>
      <c r="M123" s="2" t="s">
        <v>31</v>
      </c>
      <c r="N123" s="2" t="s">
        <v>32</v>
      </c>
      <c r="O123" s="2" t="s">
        <v>525</v>
      </c>
      <c r="P123" s="2" t="s">
        <v>34</v>
      </c>
      <c r="Q123" t="s">
        <v>758</v>
      </c>
      <c r="R123" s="2" t="s">
        <v>206</v>
      </c>
      <c r="S123" s="2" t="s">
        <v>759</v>
      </c>
      <c r="T123" s="2" t="s">
        <v>60</v>
      </c>
    </row>
    <row r="124" spans="1:23" x14ac:dyDescent="0.25">
      <c r="A124" t="s">
        <v>760</v>
      </c>
      <c r="B124" s="4">
        <f t="shared" si="1"/>
        <v>70930</v>
      </c>
      <c r="C124" t="s">
        <v>761</v>
      </c>
      <c r="D124" t="s">
        <v>365</v>
      </c>
      <c r="E124" t="s">
        <v>619</v>
      </c>
      <c r="F124" t="s">
        <v>367</v>
      </c>
      <c r="G124" t="s">
        <v>352</v>
      </c>
      <c r="H124" s="2" t="s">
        <v>373</v>
      </c>
      <c r="I124" t="s">
        <v>379</v>
      </c>
      <c r="K124" s="2" t="s">
        <v>762</v>
      </c>
      <c r="L124" s="2" t="s">
        <v>30</v>
      </c>
      <c r="M124" s="2" t="s">
        <v>31</v>
      </c>
      <c r="N124" s="2" t="s">
        <v>32</v>
      </c>
      <c r="O124" s="2" t="s">
        <v>763</v>
      </c>
      <c r="P124" s="2" t="s">
        <v>34</v>
      </c>
      <c r="Q124" t="s">
        <v>764</v>
      </c>
      <c r="R124" s="2" t="s">
        <v>206</v>
      </c>
      <c r="S124" s="2" t="s">
        <v>765</v>
      </c>
      <c r="T124" s="2" t="s">
        <v>60</v>
      </c>
    </row>
    <row r="125" spans="1:23" x14ac:dyDescent="0.25">
      <c r="A125" t="s">
        <v>766</v>
      </c>
      <c r="B125" s="4">
        <f t="shared" si="1"/>
        <v>70937</v>
      </c>
      <c r="C125" t="s">
        <v>767</v>
      </c>
      <c r="D125" t="s">
        <v>103</v>
      </c>
      <c r="E125" t="s">
        <v>238</v>
      </c>
      <c r="F125">
        <v>1</v>
      </c>
      <c r="G125" t="s">
        <v>26</v>
      </c>
      <c r="H125" s="2" t="s">
        <v>27</v>
      </c>
      <c r="I125" t="s">
        <v>55</v>
      </c>
      <c r="J125" s="2" t="s">
        <v>768</v>
      </c>
      <c r="L125" s="2" t="s">
        <v>30</v>
      </c>
      <c r="M125" s="2" t="s">
        <v>31</v>
      </c>
      <c r="N125" s="2" t="s">
        <v>32</v>
      </c>
      <c r="O125" s="2" t="s">
        <v>769</v>
      </c>
      <c r="P125" s="2" t="s">
        <v>34</v>
      </c>
      <c r="Q125" t="s">
        <v>770</v>
      </c>
      <c r="R125" s="2" t="s">
        <v>206</v>
      </c>
      <c r="S125" s="2" t="s">
        <v>771</v>
      </c>
      <c r="T125" s="2" t="s">
        <v>60</v>
      </c>
    </row>
    <row r="126" spans="1:23" x14ac:dyDescent="0.25">
      <c r="A126" t="s">
        <v>772</v>
      </c>
      <c r="B126" s="4">
        <f t="shared" si="1"/>
        <v>70939</v>
      </c>
      <c r="C126" t="s">
        <v>773</v>
      </c>
      <c r="D126" t="s">
        <v>53</v>
      </c>
      <c r="E126" t="s">
        <v>774</v>
      </c>
      <c r="F126">
        <v>2</v>
      </c>
      <c r="G126" t="s">
        <v>26</v>
      </c>
      <c r="H126" s="2" t="s">
        <v>27</v>
      </c>
      <c r="I126" t="s">
        <v>55</v>
      </c>
      <c r="J126" s="2" t="s">
        <v>775</v>
      </c>
      <c r="L126" s="2" t="s">
        <v>30</v>
      </c>
      <c r="M126" s="2" t="s">
        <v>31</v>
      </c>
      <c r="N126" s="2" t="s">
        <v>32</v>
      </c>
      <c r="O126" s="2" t="s">
        <v>180</v>
      </c>
      <c r="P126" s="2" t="s">
        <v>34</v>
      </c>
      <c r="Q126" t="s">
        <v>776</v>
      </c>
      <c r="R126" s="2" t="s">
        <v>777</v>
      </c>
      <c r="T126" s="2" t="s">
        <v>60</v>
      </c>
    </row>
    <row r="127" spans="1:23" x14ac:dyDescent="0.25">
      <c r="A127" t="s">
        <v>778</v>
      </c>
      <c r="B127" s="4">
        <f t="shared" si="1"/>
        <v>70940</v>
      </c>
      <c r="C127" t="s">
        <v>779</v>
      </c>
      <c r="D127" t="s">
        <v>53</v>
      </c>
      <c r="E127" t="s">
        <v>54</v>
      </c>
      <c r="F127">
        <v>2</v>
      </c>
      <c r="G127" t="s">
        <v>26</v>
      </c>
      <c r="H127" s="2" t="s">
        <v>27</v>
      </c>
      <c r="I127" t="s">
        <v>55</v>
      </c>
      <c r="J127" s="2" t="s">
        <v>780</v>
      </c>
      <c r="L127" s="2" t="s">
        <v>30</v>
      </c>
      <c r="M127" s="2" t="s">
        <v>31</v>
      </c>
      <c r="N127" s="2" t="s">
        <v>32</v>
      </c>
      <c r="O127" s="2" t="s">
        <v>57</v>
      </c>
      <c r="P127" s="2" t="s">
        <v>34</v>
      </c>
      <c r="Q127" t="s">
        <v>58</v>
      </c>
      <c r="R127" s="2" t="s">
        <v>59</v>
      </c>
      <c r="T127" s="2" t="s">
        <v>60</v>
      </c>
    </row>
    <row r="128" spans="1:23" x14ac:dyDescent="0.25">
      <c r="A128" t="s">
        <v>781</v>
      </c>
      <c r="B128" s="4">
        <f t="shared" si="1"/>
        <v>70941</v>
      </c>
      <c r="C128" t="s">
        <v>782</v>
      </c>
      <c r="D128" t="s">
        <v>53</v>
      </c>
      <c r="E128" t="s">
        <v>273</v>
      </c>
      <c r="F128">
        <v>2</v>
      </c>
      <c r="G128" t="s">
        <v>26</v>
      </c>
      <c r="H128" s="2" t="s">
        <v>27</v>
      </c>
      <c r="I128" t="s">
        <v>55</v>
      </c>
      <c r="J128" s="2" t="s">
        <v>783</v>
      </c>
      <c r="L128" s="2" t="s">
        <v>30</v>
      </c>
      <c r="M128" s="2" t="s">
        <v>31</v>
      </c>
      <c r="N128" s="2" t="s">
        <v>32</v>
      </c>
      <c r="O128" s="2" t="s">
        <v>784</v>
      </c>
      <c r="P128" s="2" t="s">
        <v>34</v>
      </c>
      <c r="Q128" t="s">
        <v>785</v>
      </c>
      <c r="R128" s="2" t="s">
        <v>786</v>
      </c>
      <c r="T128" s="2" t="s">
        <v>60</v>
      </c>
    </row>
    <row r="129" spans="1:23" x14ac:dyDescent="0.25">
      <c r="A129" t="s">
        <v>787</v>
      </c>
      <c r="B129" s="4">
        <f t="shared" si="1"/>
        <v>70949</v>
      </c>
      <c r="C129" t="s">
        <v>788</v>
      </c>
      <c r="D129" t="s">
        <v>149</v>
      </c>
      <c r="E129" t="s">
        <v>789</v>
      </c>
      <c r="F129">
        <v>3</v>
      </c>
      <c r="G129" t="s">
        <v>26</v>
      </c>
      <c r="H129" s="2" t="s">
        <v>27</v>
      </c>
      <c r="I129" t="s">
        <v>55</v>
      </c>
      <c r="J129" s="2" t="s">
        <v>790</v>
      </c>
      <c r="L129" s="2" t="s">
        <v>30</v>
      </c>
      <c r="M129" s="2" t="s">
        <v>31</v>
      </c>
      <c r="N129" s="2" t="s">
        <v>32</v>
      </c>
      <c r="O129" s="2" t="s">
        <v>152</v>
      </c>
      <c r="P129" s="2" t="s">
        <v>34</v>
      </c>
      <c r="Q129" t="s">
        <v>153</v>
      </c>
      <c r="R129" s="2" t="s">
        <v>154</v>
      </c>
      <c r="T129" s="2" t="s">
        <v>60</v>
      </c>
    </row>
    <row r="130" spans="1:23" x14ac:dyDescent="0.25">
      <c r="A130" t="s">
        <v>791</v>
      </c>
      <c r="B130" s="4">
        <f t="shared" si="1"/>
        <v>70953</v>
      </c>
      <c r="C130" t="s">
        <v>792</v>
      </c>
      <c r="D130" t="s">
        <v>149</v>
      </c>
      <c r="E130" t="s">
        <v>150</v>
      </c>
      <c r="F130">
        <v>3</v>
      </c>
      <c r="G130" t="s">
        <v>26</v>
      </c>
      <c r="H130" s="2" t="s">
        <v>27</v>
      </c>
      <c r="I130" t="s">
        <v>55</v>
      </c>
      <c r="J130" s="2" t="s">
        <v>793</v>
      </c>
      <c r="L130" s="2" t="s">
        <v>30</v>
      </c>
      <c r="M130" s="2" t="s">
        <v>31</v>
      </c>
      <c r="N130" s="2" t="s">
        <v>32</v>
      </c>
      <c r="O130" s="2" t="s">
        <v>711</v>
      </c>
      <c r="P130" s="2" t="s">
        <v>34</v>
      </c>
      <c r="Q130" t="s">
        <v>794</v>
      </c>
      <c r="R130" s="2" t="s">
        <v>795</v>
      </c>
      <c r="T130" s="2" t="s">
        <v>60</v>
      </c>
    </row>
    <row r="131" spans="1:23" x14ac:dyDescent="0.25">
      <c r="A131" t="s">
        <v>796</v>
      </c>
      <c r="B131" s="4">
        <f t="shared" ref="B131:B194" si="2">REPLACE(A131, 1, 1, "")+0</f>
        <v>70958</v>
      </c>
      <c r="C131" t="s">
        <v>797</v>
      </c>
      <c r="D131" t="s">
        <v>279</v>
      </c>
      <c r="E131" t="s">
        <v>335</v>
      </c>
      <c r="F131">
        <v>1</v>
      </c>
      <c r="G131" t="s">
        <v>352</v>
      </c>
      <c r="H131" s="2" t="s">
        <v>27</v>
      </c>
      <c r="I131" t="s">
        <v>379</v>
      </c>
      <c r="J131" s="2" t="s">
        <v>798</v>
      </c>
      <c r="L131" s="2" t="s">
        <v>30</v>
      </c>
      <c r="M131" s="2" t="s">
        <v>31</v>
      </c>
      <c r="N131" s="2" t="s">
        <v>32</v>
      </c>
      <c r="O131" s="2" t="s">
        <v>525</v>
      </c>
      <c r="P131" s="2" t="s">
        <v>34</v>
      </c>
      <c r="Q131" t="s">
        <v>799</v>
      </c>
      <c r="R131" s="2" t="s">
        <v>800</v>
      </c>
      <c r="T131" s="2" t="s">
        <v>60</v>
      </c>
    </row>
    <row r="132" spans="1:23" x14ac:dyDescent="0.25">
      <c r="A132" t="s">
        <v>801</v>
      </c>
      <c r="B132" s="4">
        <f t="shared" si="2"/>
        <v>70970</v>
      </c>
      <c r="C132" t="s">
        <v>802</v>
      </c>
      <c r="D132" t="s">
        <v>185</v>
      </c>
      <c r="E132" t="s">
        <v>803</v>
      </c>
      <c r="F132" t="s">
        <v>187</v>
      </c>
      <c r="G132" t="s">
        <v>352</v>
      </c>
      <c r="H132" s="2" t="s">
        <v>27</v>
      </c>
      <c r="I132" t="s">
        <v>386</v>
      </c>
      <c r="J132" s="2" t="s">
        <v>804</v>
      </c>
      <c r="L132" s="2" t="s">
        <v>30</v>
      </c>
      <c r="M132" s="2" t="s">
        <v>31</v>
      </c>
      <c r="N132" s="2" t="s">
        <v>32</v>
      </c>
      <c r="O132" s="2" t="s">
        <v>525</v>
      </c>
      <c r="P132" s="2" t="s">
        <v>34</v>
      </c>
      <c r="Q132" t="s">
        <v>389</v>
      </c>
      <c r="R132" s="2" t="s">
        <v>206</v>
      </c>
      <c r="S132" s="2" t="s">
        <v>390</v>
      </c>
      <c r="T132" s="2" t="s">
        <v>60</v>
      </c>
    </row>
    <row r="133" spans="1:23" x14ac:dyDescent="0.25">
      <c r="A133" t="s">
        <v>805</v>
      </c>
      <c r="B133" s="4">
        <f t="shared" si="2"/>
        <v>70983</v>
      </c>
      <c r="C133" t="s">
        <v>806</v>
      </c>
      <c r="D133" t="s">
        <v>24</v>
      </c>
      <c r="E133" t="s">
        <v>25</v>
      </c>
      <c r="F133">
        <v>2</v>
      </c>
      <c r="G133" t="s">
        <v>26</v>
      </c>
      <c r="H133" s="2" t="s">
        <v>27</v>
      </c>
      <c r="I133" t="s">
        <v>28</v>
      </c>
      <c r="J133" s="2" t="s">
        <v>807</v>
      </c>
      <c r="L133" s="2" t="s">
        <v>30</v>
      </c>
      <c r="M133" s="2" t="s">
        <v>31</v>
      </c>
      <c r="N133" s="2" t="s">
        <v>32</v>
      </c>
      <c r="O133" s="2" t="s">
        <v>614</v>
      </c>
      <c r="P133" s="2" t="s">
        <v>34</v>
      </c>
      <c r="Q133" t="s">
        <v>615</v>
      </c>
      <c r="R133" s="2" t="s">
        <v>616</v>
      </c>
      <c r="T133" s="2" t="s">
        <v>60</v>
      </c>
    </row>
    <row r="134" spans="1:23" x14ac:dyDescent="0.25">
      <c r="A134" t="s">
        <v>808</v>
      </c>
      <c r="B134" s="4">
        <f t="shared" si="2"/>
        <v>70984</v>
      </c>
      <c r="C134" t="s">
        <v>809</v>
      </c>
      <c r="D134" t="s">
        <v>24</v>
      </c>
      <c r="E134" t="s">
        <v>142</v>
      </c>
      <c r="F134">
        <v>2</v>
      </c>
      <c r="G134" t="s">
        <v>26</v>
      </c>
      <c r="H134" s="2" t="s">
        <v>27</v>
      </c>
      <c r="I134" t="s">
        <v>28</v>
      </c>
      <c r="J134" s="2" t="s">
        <v>810</v>
      </c>
      <c r="L134" s="2" t="s">
        <v>30</v>
      </c>
      <c r="M134" s="2" t="s">
        <v>31</v>
      </c>
      <c r="N134" s="2" t="s">
        <v>32</v>
      </c>
      <c r="O134" s="2" t="s">
        <v>214</v>
      </c>
      <c r="P134" s="2" t="s">
        <v>34</v>
      </c>
      <c r="Q134" t="s">
        <v>46</v>
      </c>
      <c r="R134" s="2" t="s">
        <v>47</v>
      </c>
      <c r="T134" s="2" t="s">
        <v>34</v>
      </c>
      <c r="U134" s="2" t="s">
        <v>48</v>
      </c>
      <c r="V134" s="2" t="s">
        <v>811</v>
      </c>
      <c r="W134" t="s">
        <v>812</v>
      </c>
    </row>
    <row r="135" spans="1:23" x14ac:dyDescent="0.25">
      <c r="A135" t="s">
        <v>813</v>
      </c>
      <c r="B135" s="4">
        <f t="shared" si="2"/>
        <v>71000</v>
      </c>
      <c r="C135" t="s">
        <v>814</v>
      </c>
      <c r="D135" t="s">
        <v>185</v>
      </c>
      <c r="E135" t="s">
        <v>815</v>
      </c>
      <c r="F135" t="s">
        <v>543</v>
      </c>
      <c r="G135" t="s">
        <v>352</v>
      </c>
      <c r="H135" s="2" t="s">
        <v>27</v>
      </c>
      <c r="I135" t="s">
        <v>28</v>
      </c>
      <c r="J135" s="2" t="s">
        <v>816</v>
      </c>
      <c r="L135" s="2" t="s">
        <v>30</v>
      </c>
      <c r="M135" s="2" t="s">
        <v>31</v>
      </c>
      <c r="N135" s="2" t="s">
        <v>32</v>
      </c>
      <c r="O135" s="2" t="s">
        <v>525</v>
      </c>
      <c r="P135" s="2" t="s">
        <v>34</v>
      </c>
      <c r="Q135" t="s">
        <v>407</v>
      </c>
      <c r="R135" s="2" t="s">
        <v>408</v>
      </c>
      <c r="T135" s="2" t="s">
        <v>34</v>
      </c>
      <c r="U135" s="2" t="s">
        <v>409</v>
      </c>
      <c r="V135" s="2" t="s">
        <v>817</v>
      </c>
      <c r="W135" t="s">
        <v>818</v>
      </c>
    </row>
    <row r="136" spans="1:23" x14ac:dyDescent="0.25">
      <c r="A136" t="s">
        <v>819</v>
      </c>
      <c r="B136" s="4">
        <f t="shared" si="2"/>
        <v>71017</v>
      </c>
      <c r="C136" t="s">
        <v>820</v>
      </c>
      <c r="D136" t="s">
        <v>157</v>
      </c>
      <c r="E136" t="s">
        <v>821</v>
      </c>
      <c r="F136">
        <v>3</v>
      </c>
      <c r="G136" t="s">
        <v>26</v>
      </c>
      <c r="H136" s="2" t="s">
        <v>373</v>
      </c>
      <c r="I136" t="s">
        <v>822</v>
      </c>
      <c r="K136" s="2" t="s">
        <v>823</v>
      </c>
      <c r="L136" s="2" t="s">
        <v>30</v>
      </c>
      <c r="M136" s="2" t="s">
        <v>31</v>
      </c>
      <c r="N136" s="2" t="s">
        <v>32</v>
      </c>
      <c r="O136" s="2" t="s">
        <v>160</v>
      </c>
      <c r="P136" s="2" t="s">
        <v>34</v>
      </c>
      <c r="Q136" t="s">
        <v>232</v>
      </c>
      <c r="R136" s="2" t="s">
        <v>233</v>
      </c>
      <c r="T136" s="2" t="s">
        <v>34</v>
      </c>
      <c r="U136" s="2" t="s">
        <v>234</v>
      </c>
      <c r="V136" s="2" t="s">
        <v>824</v>
      </c>
    </row>
    <row r="137" spans="1:23" x14ac:dyDescent="0.25">
      <c r="A137" t="s">
        <v>825</v>
      </c>
      <c r="B137" s="4">
        <f t="shared" si="2"/>
        <v>71020</v>
      </c>
      <c r="C137" t="s">
        <v>826</v>
      </c>
      <c r="D137" t="s">
        <v>53</v>
      </c>
      <c r="E137" t="s">
        <v>672</v>
      </c>
      <c r="F137">
        <v>2</v>
      </c>
      <c r="G137" t="s">
        <v>26</v>
      </c>
      <c r="H137" s="2" t="s">
        <v>27</v>
      </c>
      <c r="I137" t="s">
        <v>55</v>
      </c>
      <c r="J137" s="2" t="s">
        <v>827</v>
      </c>
      <c r="L137" s="2" t="s">
        <v>30</v>
      </c>
      <c r="M137" s="2" t="s">
        <v>31</v>
      </c>
      <c r="N137" s="2" t="s">
        <v>32</v>
      </c>
      <c r="O137" s="2" t="s">
        <v>180</v>
      </c>
      <c r="P137" s="2" t="s">
        <v>60</v>
      </c>
      <c r="R137" s="2" t="s">
        <v>206</v>
      </c>
      <c r="T137" s="2" t="s">
        <v>60</v>
      </c>
    </row>
    <row r="138" spans="1:23" x14ac:dyDescent="0.25">
      <c r="A138" t="s">
        <v>828</v>
      </c>
      <c r="B138" s="4">
        <f t="shared" si="2"/>
        <v>71028</v>
      </c>
      <c r="C138" t="s">
        <v>829</v>
      </c>
      <c r="D138" t="s">
        <v>24</v>
      </c>
      <c r="E138" t="s">
        <v>830</v>
      </c>
      <c r="F138">
        <v>2</v>
      </c>
      <c r="G138" t="s">
        <v>26</v>
      </c>
      <c r="H138" s="2" t="s">
        <v>27</v>
      </c>
      <c r="I138" t="s">
        <v>28</v>
      </c>
      <c r="J138" s="2" t="s">
        <v>831</v>
      </c>
      <c r="L138" s="2" t="s">
        <v>30</v>
      </c>
      <c r="M138" s="2" t="s">
        <v>31</v>
      </c>
      <c r="N138" s="2" t="s">
        <v>32</v>
      </c>
      <c r="O138" s="2" t="s">
        <v>214</v>
      </c>
      <c r="P138" s="2" t="s">
        <v>34</v>
      </c>
      <c r="Q138" t="s">
        <v>46</v>
      </c>
      <c r="R138" s="2" t="s">
        <v>47</v>
      </c>
      <c r="T138" s="2" t="s">
        <v>34</v>
      </c>
      <c r="U138" s="2" t="s">
        <v>48</v>
      </c>
      <c r="V138" s="2" t="s">
        <v>832</v>
      </c>
      <c r="W138" t="s">
        <v>833</v>
      </c>
    </row>
    <row r="139" spans="1:23" x14ac:dyDescent="0.25">
      <c r="A139" t="s">
        <v>834</v>
      </c>
      <c r="B139" s="4">
        <f t="shared" si="2"/>
        <v>71043</v>
      </c>
      <c r="C139" t="s">
        <v>835</v>
      </c>
      <c r="D139" t="s">
        <v>120</v>
      </c>
      <c r="E139" t="s">
        <v>121</v>
      </c>
      <c r="F139">
        <v>1</v>
      </c>
      <c r="G139" t="s">
        <v>26</v>
      </c>
      <c r="H139" s="2" t="s">
        <v>27</v>
      </c>
      <c r="I139" t="s">
        <v>55</v>
      </c>
      <c r="J139" s="2" t="s">
        <v>836</v>
      </c>
      <c r="L139" s="2" t="s">
        <v>30</v>
      </c>
      <c r="M139" s="2" t="s">
        <v>31</v>
      </c>
      <c r="N139" s="2" t="s">
        <v>32</v>
      </c>
      <c r="O139" s="2" t="s">
        <v>130</v>
      </c>
      <c r="P139" s="2" t="s">
        <v>34</v>
      </c>
      <c r="Q139" t="s">
        <v>124</v>
      </c>
      <c r="R139" s="2" t="s">
        <v>125</v>
      </c>
      <c r="T139" s="2" t="s">
        <v>60</v>
      </c>
    </row>
    <row r="140" spans="1:23" x14ac:dyDescent="0.25">
      <c r="A140" t="s">
        <v>837</v>
      </c>
      <c r="B140" s="4">
        <f t="shared" si="2"/>
        <v>71044</v>
      </c>
      <c r="C140" t="s">
        <v>838</v>
      </c>
      <c r="D140" t="s">
        <v>42</v>
      </c>
      <c r="E140" t="s">
        <v>517</v>
      </c>
      <c r="F140">
        <v>2</v>
      </c>
      <c r="G140" t="s">
        <v>26</v>
      </c>
      <c r="H140" s="2" t="s">
        <v>373</v>
      </c>
      <c r="I140" t="s">
        <v>55</v>
      </c>
      <c r="K140" s="2" t="s">
        <v>518</v>
      </c>
      <c r="L140" s="2" t="s">
        <v>30</v>
      </c>
      <c r="M140" s="2" t="s">
        <v>31</v>
      </c>
      <c r="N140" s="2" t="s">
        <v>32</v>
      </c>
      <c r="O140" s="2" t="s">
        <v>839</v>
      </c>
      <c r="P140" s="2" t="s">
        <v>34</v>
      </c>
      <c r="Q140" t="s">
        <v>840</v>
      </c>
      <c r="R140" s="2" t="s">
        <v>206</v>
      </c>
      <c r="S140" s="2" t="s">
        <v>841</v>
      </c>
      <c r="T140" s="2" t="s">
        <v>60</v>
      </c>
    </row>
    <row r="141" spans="1:23" x14ac:dyDescent="0.25">
      <c r="A141" t="s">
        <v>842</v>
      </c>
      <c r="B141" s="4">
        <f t="shared" si="2"/>
        <v>71046</v>
      </c>
      <c r="C141" t="s">
        <v>843</v>
      </c>
      <c r="D141" t="s">
        <v>320</v>
      </c>
      <c r="E141" t="s">
        <v>63</v>
      </c>
      <c r="F141">
        <v>1</v>
      </c>
      <c r="G141" t="s">
        <v>26</v>
      </c>
      <c r="H141" s="2" t="s">
        <v>27</v>
      </c>
      <c r="I141" t="s">
        <v>55</v>
      </c>
      <c r="J141" s="2" t="s">
        <v>844</v>
      </c>
      <c r="L141" s="2" t="s">
        <v>30</v>
      </c>
      <c r="M141" s="2" t="s">
        <v>31</v>
      </c>
      <c r="N141" s="2" t="s">
        <v>32</v>
      </c>
      <c r="O141" s="2" t="s">
        <v>845</v>
      </c>
      <c r="P141" s="2" t="s">
        <v>34</v>
      </c>
      <c r="Q141" t="s">
        <v>846</v>
      </c>
      <c r="R141" s="2" t="s">
        <v>847</v>
      </c>
      <c r="T141" s="2" t="s">
        <v>60</v>
      </c>
    </row>
    <row r="142" spans="1:23" x14ac:dyDescent="0.25">
      <c r="A142" t="s">
        <v>848</v>
      </c>
      <c r="B142" s="4">
        <f t="shared" si="2"/>
        <v>71075</v>
      </c>
      <c r="C142" t="s">
        <v>849</v>
      </c>
      <c r="D142" t="s">
        <v>149</v>
      </c>
      <c r="E142" t="s">
        <v>150</v>
      </c>
      <c r="F142">
        <v>3</v>
      </c>
      <c r="G142" t="s">
        <v>26</v>
      </c>
      <c r="H142" s="2" t="s">
        <v>27</v>
      </c>
      <c r="I142" t="s">
        <v>55</v>
      </c>
      <c r="J142" s="2" t="s">
        <v>783</v>
      </c>
      <c r="L142" s="2" t="s">
        <v>30</v>
      </c>
      <c r="M142" s="2" t="s">
        <v>31</v>
      </c>
      <c r="N142" s="2" t="s">
        <v>32</v>
      </c>
      <c r="O142" s="2" t="s">
        <v>198</v>
      </c>
      <c r="P142" s="2" t="s">
        <v>34</v>
      </c>
      <c r="Q142" t="s">
        <v>440</v>
      </c>
      <c r="R142" s="2" t="s">
        <v>441</v>
      </c>
      <c r="T142" s="2" t="s">
        <v>60</v>
      </c>
    </row>
    <row r="143" spans="1:23" x14ac:dyDescent="0.25">
      <c r="A143" t="s">
        <v>850</v>
      </c>
      <c r="B143" s="4">
        <f t="shared" si="2"/>
        <v>71076</v>
      </c>
      <c r="C143" t="s">
        <v>851</v>
      </c>
      <c r="D143" t="s">
        <v>149</v>
      </c>
      <c r="E143" t="s">
        <v>789</v>
      </c>
      <c r="F143">
        <v>3</v>
      </c>
      <c r="G143" t="s">
        <v>26</v>
      </c>
      <c r="H143" s="2" t="s">
        <v>27</v>
      </c>
      <c r="I143" t="s">
        <v>55</v>
      </c>
      <c r="J143" s="2" t="s">
        <v>852</v>
      </c>
      <c r="L143" s="2" t="s">
        <v>30</v>
      </c>
      <c r="M143" s="2" t="s">
        <v>31</v>
      </c>
      <c r="N143" s="2" t="s">
        <v>32</v>
      </c>
      <c r="O143" s="2" t="s">
        <v>152</v>
      </c>
      <c r="P143" s="2" t="s">
        <v>34</v>
      </c>
      <c r="Q143" t="s">
        <v>794</v>
      </c>
      <c r="R143" s="2" t="s">
        <v>795</v>
      </c>
      <c r="T143" s="2" t="s">
        <v>60</v>
      </c>
    </row>
    <row r="144" spans="1:23" x14ac:dyDescent="0.25">
      <c r="A144" t="s">
        <v>853</v>
      </c>
      <c r="B144" s="4">
        <f t="shared" si="2"/>
        <v>71078</v>
      </c>
      <c r="C144" t="s">
        <v>854</v>
      </c>
      <c r="D144" t="s">
        <v>149</v>
      </c>
      <c r="E144" t="s">
        <v>789</v>
      </c>
      <c r="F144">
        <v>3</v>
      </c>
      <c r="G144" t="s">
        <v>26</v>
      </c>
      <c r="H144" s="2" t="s">
        <v>27</v>
      </c>
      <c r="I144" t="s">
        <v>28</v>
      </c>
      <c r="J144" s="2" t="s">
        <v>855</v>
      </c>
      <c r="L144" s="2" t="s">
        <v>30</v>
      </c>
      <c r="M144" s="2" t="s">
        <v>31</v>
      </c>
      <c r="N144" s="2" t="s">
        <v>32</v>
      </c>
      <c r="O144" s="2" t="s">
        <v>856</v>
      </c>
      <c r="P144" s="2" t="s">
        <v>34</v>
      </c>
      <c r="Q144" t="s">
        <v>232</v>
      </c>
      <c r="R144" s="2" t="s">
        <v>233</v>
      </c>
      <c r="T144" s="2" t="s">
        <v>34</v>
      </c>
      <c r="U144" s="2" t="s">
        <v>234</v>
      </c>
      <c r="V144" s="2" t="s">
        <v>857</v>
      </c>
      <c r="W144" t="s">
        <v>858</v>
      </c>
    </row>
    <row r="145" spans="1:23" x14ac:dyDescent="0.25">
      <c r="A145" t="s">
        <v>859</v>
      </c>
      <c r="B145" s="4">
        <f t="shared" si="2"/>
        <v>71081</v>
      </c>
      <c r="C145" t="s">
        <v>860</v>
      </c>
      <c r="D145" t="s">
        <v>53</v>
      </c>
      <c r="E145" t="s">
        <v>672</v>
      </c>
      <c r="F145">
        <v>2</v>
      </c>
      <c r="G145" t="s">
        <v>26</v>
      </c>
      <c r="H145" s="2" t="s">
        <v>27</v>
      </c>
      <c r="I145" t="s">
        <v>55</v>
      </c>
      <c r="J145" s="2" t="s">
        <v>783</v>
      </c>
      <c r="L145" s="2" t="s">
        <v>30</v>
      </c>
      <c r="M145" s="2" t="s">
        <v>31</v>
      </c>
      <c r="N145" s="2" t="s">
        <v>32</v>
      </c>
      <c r="O145" s="2" t="s">
        <v>571</v>
      </c>
      <c r="P145" s="2" t="s">
        <v>34</v>
      </c>
      <c r="Q145" t="s">
        <v>861</v>
      </c>
      <c r="R145" s="2" t="s">
        <v>862</v>
      </c>
      <c r="T145" s="2" t="s">
        <v>60</v>
      </c>
    </row>
    <row r="146" spans="1:23" x14ac:dyDescent="0.25">
      <c r="A146" t="s">
        <v>863</v>
      </c>
      <c r="B146" s="4">
        <f t="shared" si="2"/>
        <v>71088</v>
      </c>
      <c r="C146" t="s">
        <v>864</v>
      </c>
      <c r="D146" t="s">
        <v>279</v>
      </c>
      <c r="E146" t="s">
        <v>405</v>
      </c>
      <c r="F146">
        <v>1</v>
      </c>
      <c r="G146" t="s">
        <v>352</v>
      </c>
      <c r="H146" s="2" t="s">
        <v>373</v>
      </c>
      <c r="I146" t="s">
        <v>28</v>
      </c>
      <c r="K146" s="2" t="s">
        <v>865</v>
      </c>
      <c r="L146" s="2" t="s">
        <v>30</v>
      </c>
      <c r="M146" s="2" t="s">
        <v>31</v>
      </c>
      <c r="N146" s="2" t="s">
        <v>32</v>
      </c>
      <c r="O146" s="2" t="s">
        <v>866</v>
      </c>
      <c r="P146" s="2" t="s">
        <v>34</v>
      </c>
      <c r="Q146" t="s">
        <v>867</v>
      </c>
      <c r="R146" s="2" t="s">
        <v>868</v>
      </c>
      <c r="T146" s="2" t="s">
        <v>34</v>
      </c>
      <c r="U146" s="2" t="s">
        <v>869</v>
      </c>
      <c r="V146" s="2" t="s">
        <v>870</v>
      </c>
      <c r="W146" t="s">
        <v>871</v>
      </c>
    </row>
    <row r="147" spans="1:23" x14ac:dyDescent="0.25">
      <c r="A147" t="s">
        <v>872</v>
      </c>
      <c r="B147" s="4">
        <f t="shared" si="2"/>
        <v>71141</v>
      </c>
      <c r="C147" t="s">
        <v>873</v>
      </c>
      <c r="D147" t="s">
        <v>120</v>
      </c>
      <c r="E147" t="s">
        <v>128</v>
      </c>
      <c r="F147">
        <v>1</v>
      </c>
      <c r="G147" t="s">
        <v>26</v>
      </c>
      <c r="H147" s="2" t="s">
        <v>27</v>
      </c>
      <c r="I147" t="s">
        <v>55</v>
      </c>
      <c r="J147" s="2" t="s">
        <v>874</v>
      </c>
      <c r="L147" s="2" t="s">
        <v>30</v>
      </c>
      <c r="M147" s="2" t="s">
        <v>31</v>
      </c>
      <c r="N147" s="2" t="s">
        <v>32</v>
      </c>
      <c r="O147" s="2" t="s">
        <v>130</v>
      </c>
      <c r="P147" s="2" t="s">
        <v>34</v>
      </c>
      <c r="Q147" t="s">
        <v>107</v>
      </c>
      <c r="R147" s="2" t="s">
        <v>108</v>
      </c>
      <c r="T147" s="2" t="s">
        <v>34</v>
      </c>
      <c r="U147" s="2" t="s">
        <v>109</v>
      </c>
      <c r="V147" s="2" t="s">
        <v>872</v>
      </c>
      <c r="W147" t="s">
        <v>875</v>
      </c>
    </row>
    <row r="148" spans="1:23" x14ac:dyDescent="0.25">
      <c r="A148" t="s">
        <v>876</v>
      </c>
      <c r="B148" s="4">
        <f t="shared" si="2"/>
        <v>71142</v>
      </c>
      <c r="C148" t="s">
        <v>877</v>
      </c>
      <c r="D148" t="s">
        <v>365</v>
      </c>
      <c r="E148" t="s">
        <v>878</v>
      </c>
      <c r="F148" t="s">
        <v>367</v>
      </c>
      <c r="G148" t="s">
        <v>352</v>
      </c>
      <c r="H148" s="2" t="s">
        <v>27</v>
      </c>
      <c r="I148" t="s">
        <v>379</v>
      </c>
      <c r="J148" s="2" t="s">
        <v>879</v>
      </c>
      <c r="L148" s="2" t="s">
        <v>30</v>
      </c>
      <c r="M148" s="2" t="s">
        <v>31</v>
      </c>
      <c r="N148" s="2" t="s">
        <v>32</v>
      </c>
      <c r="O148" s="2" t="s">
        <v>525</v>
      </c>
      <c r="P148" s="2" t="s">
        <v>34</v>
      </c>
      <c r="Q148" t="s">
        <v>880</v>
      </c>
      <c r="R148" s="2" t="s">
        <v>881</v>
      </c>
      <c r="T148" s="2" t="s">
        <v>60</v>
      </c>
    </row>
    <row r="149" spans="1:23" x14ac:dyDescent="0.25">
      <c r="A149" t="s">
        <v>882</v>
      </c>
      <c r="B149" s="4">
        <f t="shared" si="2"/>
        <v>71143</v>
      </c>
      <c r="C149" t="s">
        <v>883</v>
      </c>
      <c r="D149" t="s">
        <v>42</v>
      </c>
      <c r="E149" t="s">
        <v>603</v>
      </c>
      <c r="F149">
        <v>3</v>
      </c>
      <c r="G149" t="s">
        <v>26</v>
      </c>
      <c r="H149" s="2" t="s">
        <v>27</v>
      </c>
      <c r="I149" t="s">
        <v>55</v>
      </c>
      <c r="J149" s="2" t="s">
        <v>884</v>
      </c>
      <c r="L149" s="2" t="s">
        <v>30</v>
      </c>
      <c r="M149" s="2" t="s">
        <v>31</v>
      </c>
      <c r="N149" s="2" t="s">
        <v>32</v>
      </c>
      <c r="O149" s="2" t="s">
        <v>435</v>
      </c>
      <c r="P149" s="2" t="s">
        <v>34</v>
      </c>
      <c r="Q149" t="s">
        <v>203</v>
      </c>
      <c r="R149" s="2" t="s">
        <v>204</v>
      </c>
      <c r="T149" s="2" t="s">
        <v>34</v>
      </c>
      <c r="U149" s="2" t="s">
        <v>205</v>
      </c>
      <c r="V149" s="2" t="s">
        <v>882</v>
      </c>
      <c r="W149" t="s">
        <v>885</v>
      </c>
    </row>
    <row r="150" spans="1:23" x14ac:dyDescent="0.25">
      <c r="A150" t="s">
        <v>886</v>
      </c>
      <c r="B150" s="4">
        <f t="shared" si="2"/>
        <v>71144</v>
      </c>
      <c r="C150" t="s">
        <v>887</v>
      </c>
      <c r="D150" t="s">
        <v>42</v>
      </c>
      <c r="E150" t="s">
        <v>888</v>
      </c>
      <c r="F150">
        <v>3</v>
      </c>
      <c r="G150" t="s">
        <v>26</v>
      </c>
      <c r="H150" s="2" t="s">
        <v>27</v>
      </c>
      <c r="I150" t="s">
        <v>55</v>
      </c>
      <c r="J150" s="2" t="s">
        <v>889</v>
      </c>
      <c r="L150" s="2" t="s">
        <v>30</v>
      </c>
      <c r="M150" s="2" t="s">
        <v>31</v>
      </c>
      <c r="N150" s="2" t="s">
        <v>32</v>
      </c>
      <c r="O150" s="2" t="s">
        <v>435</v>
      </c>
      <c r="P150" s="2" t="s">
        <v>34</v>
      </c>
      <c r="Q150" t="s">
        <v>203</v>
      </c>
      <c r="R150" s="2" t="s">
        <v>204</v>
      </c>
      <c r="T150" s="2" t="s">
        <v>34</v>
      </c>
      <c r="U150" s="2" t="s">
        <v>205</v>
      </c>
      <c r="V150" s="2" t="s">
        <v>886</v>
      </c>
      <c r="W150" t="s">
        <v>890</v>
      </c>
    </row>
    <row r="151" spans="1:23" x14ac:dyDescent="0.25">
      <c r="A151" t="s">
        <v>891</v>
      </c>
      <c r="B151" s="4">
        <f t="shared" si="2"/>
        <v>71170</v>
      </c>
      <c r="C151" t="s">
        <v>892</v>
      </c>
      <c r="D151" t="s">
        <v>53</v>
      </c>
      <c r="E151" t="s">
        <v>63</v>
      </c>
      <c r="F151">
        <v>2</v>
      </c>
      <c r="G151" t="s">
        <v>26</v>
      </c>
      <c r="H151" s="2" t="s">
        <v>27</v>
      </c>
      <c r="I151" t="s">
        <v>55</v>
      </c>
      <c r="J151" s="2" t="s">
        <v>893</v>
      </c>
      <c r="L151" s="2" t="s">
        <v>30</v>
      </c>
      <c r="M151" s="2" t="s">
        <v>31</v>
      </c>
      <c r="N151" s="2" t="s">
        <v>32</v>
      </c>
      <c r="O151" s="2" t="s">
        <v>699</v>
      </c>
      <c r="P151" s="2" t="s">
        <v>34</v>
      </c>
      <c r="Q151" t="s">
        <v>700</v>
      </c>
      <c r="R151" s="2" t="s">
        <v>701</v>
      </c>
      <c r="T151" s="2" t="s">
        <v>60</v>
      </c>
    </row>
    <row r="152" spans="1:23" x14ac:dyDescent="0.25">
      <c r="A152" t="s">
        <v>894</v>
      </c>
      <c r="B152" s="4">
        <f t="shared" si="2"/>
        <v>71189</v>
      </c>
      <c r="C152" t="s">
        <v>895</v>
      </c>
      <c r="D152" t="s">
        <v>42</v>
      </c>
      <c r="E152" t="s">
        <v>509</v>
      </c>
      <c r="F152">
        <v>3</v>
      </c>
      <c r="G152" t="s">
        <v>26</v>
      </c>
      <c r="H152" s="2" t="s">
        <v>27</v>
      </c>
      <c r="I152" t="s">
        <v>55</v>
      </c>
      <c r="J152" s="2" t="s">
        <v>896</v>
      </c>
      <c r="L152" s="2" t="s">
        <v>30</v>
      </c>
      <c r="M152" s="2" t="s">
        <v>31</v>
      </c>
      <c r="N152" s="2" t="s">
        <v>32</v>
      </c>
      <c r="O152" s="2" t="s">
        <v>897</v>
      </c>
      <c r="P152" s="2" t="s">
        <v>34</v>
      </c>
      <c r="Q152" t="s">
        <v>203</v>
      </c>
      <c r="R152" s="2" t="s">
        <v>204</v>
      </c>
      <c r="T152" s="2" t="s">
        <v>34</v>
      </c>
      <c r="U152" s="2" t="s">
        <v>205</v>
      </c>
      <c r="V152" s="2" t="s">
        <v>894</v>
      </c>
      <c r="W152" t="s">
        <v>898</v>
      </c>
    </row>
    <row r="153" spans="1:23" x14ac:dyDescent="0.25">
      <c r="A153" t="s">
        <v>899</v>
      </c>
      <c r="B153" s="4">
        <f t="shared" si="2"/>
        <v>71190</v>
      </c>
      <c r="C153" t="s">
        <v>900</v>
      </c>
      <c r="D153" t="s">
        <v>53</v>
      </c>
      <c r="E153" t="s">
        <v>672</v>
      </c>
      <c r="F153">
        <v>2</v>
      </c>
      <c r="G153" t="s">
        <v>26</v>
      </c>
      <c r="H153" s="2" t="s">
        <v>27</v>
      </c>
      <c r="I153" t="s">
        <v>55</v>
      </c>
      <c r="J153" s="2" t="s">
        <v>901</v>
      </c>
      <c r="L153" s="2" t="s">
        <v>30</v>
      </c>
      <c r="M153" s="2" t="s">
        <v>31</v>
      </c>
      <c r="N153" s="2" t="s">
        <v>32</v>
      </c>
      <c r="O153" s="2" t="s">
        <v>571</v>
      </c>
      <c r="P153" s="2" t="s">
        <v>34</v>
      </c>
      <c r="Q153" t="s">
        <v>902</v>
      </c>
      <c r="R153" s="2" t="s">
        <v>903</v>
      </c>
      <c r="T153" s="2" t="s">
        <v>60</v>
      </c>
    </row>
    <row r="154" spans="1:23" x14ac:dyDescent="0.25">
      <c r="A154" t="s">
        <v>904</v>
      </c>
      <c r="B154" s="4">
        <f t="shared" si="2"/>
        <v>71196</v>
      </c>
      <c r="C154" t="s">
        <v>905</v>
      </c>
      <c r="D154" t="s">
        <v>149</v>
      </c>
      <c r="E154" t="s">
        <v>133</v>
      </c>
      <c r="F154">
        <v>3</v>
      </c>
      <c r="G154" t="s">
        <v>26</v>
      </c>
      <c r="H154" s="2" t="s">
        <v>27</v>
      </c>
      <c r="I154" t="s">
        <v>55</v>
      </c>
      <c r="J154" s="2" t="s">
        <v>906</v>
      </c>
      <c r="L154" s="2" t="s">
        <v>30</v>
      </c>
      <c r="M154" s="2" t="s">
        <v>31</v>
      </c>
      <c r="N154" s="2" t="s">
        <v>32</v>
      </c>
      <c r="O154" s="2" t="s">
        <v>152</v>
      </c>
      <c r="P154" s="2" t="s">
        <v>34</v>
      </c>
      <c r="Q154" t="s">
        <v>153</v>
      </c>
      <c r="R154" s="2" t="s">
        <v>154</v>
      </c>
      <c r="T154" s="2" t="s">
        <v>60</v>
      </c>
    </row>
    <row r="155" spans="1:23" x14ac:dyDescent="0.25">
      <c r="A155" t="s">
        <v>907</v>
      </c>
      <c r="B155" s="4">
        <f t="shared" si="2"/>
        <v>71200</v>
      </c>
      <c r="C155" t="s">
        <v>908</v>
      </c>
      <c r="D155" t="s">
        <v>185</v>
      </c>
      <c r="E155" t="s">
        <v>909</v>
      </c>
      <c r="F155" t="s">
        <v>543</v>
      </c>
      <c r="G155" t="s">
        <v>352</v>
      </c>
      <c r="H155" s="2" t="s">
        <v>27</v>
      </c>
      <c r="I155" t="s">
        <v>386</v>
      </c>
      <c r="J155" s="2" t="s">
        <v>910</v>
      </c>
      <c r="L155" s="2" t="s">
        <v>30</v>
      </c>
      <c r="M155" s="2" t="s">
        <v>31</v>
      </c>
      <c r="N155" s="2" t="s">
        <v>32</v>
      </c>
      <c r="O155" s="2" t="s">
        <v>911</v>
      </c>
      <c r="P155" s="2" t="s">
        <v>34</v>
      </c>
      <c r="Q155" t="s">
        <v>912</v>
      </c>
      <c r="R155" s="2" t="s">
        <v>206</v>
      </c>
      <c r="S155" s="2" t="s">
        <v>913</v>
      </c>
      <c r="T155" s="2" t="s">
        <v>60</v>
      </c>
    </row>
    <row r="156" spans="1:23" x14ac:dyDescent="0.25">
      <c r="A156" t="s">
        <v>914</v>
      </c>
      <c r="B156" s="4">
        <f t="shared" si="2"/>
        <v>71207</v>
      </c>
      <c r="C156" t="s">
        <v>915</v>
      </c>
      <c r="D156" t="s">
        <v>149</v>
      </c>
      <c r="E156" t="s">
        <v>133</v>
      </c>
      <c r="F156">
        <v>3</v>
      </c>
      <c r="G156" t="s">
        <v>26</v>
      </c>
      <c r="H156" s="2" t="s">
        <v>27</v>
      </c>
      <c r="I156" t="s">
        <v>55</v>
      </c>
      <c r="J156" s="2" t="s">
        <v>916</v>
      </c>
      <c r="L156" s="2" t="s">
        <v>30</v>
      </c>
      <c r="M156" s="2" t="s">
        <v>31</v>
      </c>
      <c r="N156" s="2" t="s">
        <v>32</v>
      </c>
      <c r="O156" s="2" t="s">
        <v>152</v>
      </c>
      <c r="P156" s="2" t="s">
        <v>34</v>
      </c>
      <c r="Q156" t="s">
        <v>153</v>
      </c>
      <c r="R156" s="2" t="s">
        <v>154</v>
      </c>
      <c r="T156" s="2" t="s">
        <v>60</v>
      </c>
    </row>
    <row r="157" spans="1:23" x14ac:dyDescent="0.25">
      <c r="A157" t="s">
        <v>917</v>
      </c>
      <c r="B157" s="4">
        <f t="shared" si="2"/>
        <v>71208</v>
      </c>
      <c r="C157" t="s">
        <v>918</v>
      </c>
      <c r="D157" t="s">
        <v>149</v>
      </c>
      <c r="E157" t="s">
        <v>789</v>
      </c>
      <c r="F157">
        <v>3</v>
      </c>
      <c r="G157" t="s">
        <v>26</v>
      </c>
      <c r="H157" s="2" t="s">
        <v>27</v>
      </c>
      <c r="I157" t="s">
        <v>55</v>
      </c>
      <c r="J157" s="2" t="s">
        <v>919</v>
      </c>
      <c r="L157" s="2" t="s">
        <v>30</v>
      </c>
      <c r="M157" s="2" t="s">
        <v>31</v>
      </c>
      <c r="N157" s="2" t="s">
        <v>32</v>
      </c>
      <c r="O157" s="2" t="s">
        <v>152</v>
      </c>
      <c r="P157" s="2" t="s">
        <v>34</v>
      </c>
      <c r="Q157" t="s">
        <v>153</v>
      </c>
      <c r="R157" s="2" t="s">
        <v>154</v>
      </c>
      <c r="T157" s="2" t="s">
        <v>60</v>
      </c>
    </row>
    <row r="158" spans="1:23" x14ac:dyDescent="0.25">
      <c r="A158" t="s">
        <v>920</v>
      </c>
      <c r="B158" s="4">
        <f t="shared" si="2"/>
        <v>71209</v>
      </c>
      <c r="C158" t="s">
        <v>921</v>
      </c>
      <c r="D158" t="s">
        <v>149</v>
      </c>
      <c r="E158" t="s">
        <v>922</v>
      </c>
      <c r="F158">
        <v>3</v>
      </c>
      <c r="G158" t="s">
        <v>26</v>
      </c>
      <c r="H158" s="2" t="s">
        <v>27</v>
      </c>
      <c r="I158" t="s">
        <v>55</v>
      </c>
      <c r="J158" s="2" t="s">
        <v>916</v>
      </c>
      <c r="L158" s="2" t="s">
        <v>30</v>
      </c>
      <c r="M158" s="2" t="s">
        <v>31</v>
      </c>
      <c r="N158" s="2" t="s">
        <v>32</v>
      </c>
      <c r="O158" s="2" t="s">
        <v>711</v>
      </c>
      <c r="P158" s="2" t="s">
        <v>34</v>
      </c>
      <c r="Q158" t="s">
        <v>153</v>
      </c>
      <c r="R158" s="2" t="s">
        <v>154</v>
      </c>
      <c r="T158" s="2" t="s">
        <v>60</v>
      </c>
    </row>
    <row r="159" spans="1:23" x14ac:dyDescent="0.25">
      <c r="A159" t="s">
        <v>923</v>
      </c>
      <c r="B159" s="4">
        <f t="shared" si="2"/>
        <v>71210</v>
      </c>
      <c r="C159" t="s">
        <v>924</v>
      </c>
      <c r="D159" t="s">
        <v>149</v>
      </c>
      <c r="E159" t="s">
        <v>922</v>
      </c>
      <c r="F159">
        <v>3</v>
      </c>
      <c r="G159" t="s">
        <v>26</v>
      </c>
      <c r="H159" s="2" t="s">
        <v>27</v>
      </c>
      <c r="I159" t="s">
        <v>28</v>
      </c>
      <c r="J159" s="2" t="s">
        <v>925</v>
      </c>
      <c r="L159" s="2" t="s">
        <v>30</v>
      </c>
      <c r="M159" s="2" t="s">
        <v>31</v>
      </c>
      <c r="N159" s="2" t="s">
        <v>32</v>
      </c>
      <c r="O159" s="2" t="s">
        <v>711</v>
      </c>
      <c r="P159" s="2" t="s">
        <v>34</v>
      </c>
      <c r="Q159" t="s">
        <v>232</v>
      </c>
      <c r="R159" s="2" t="s">
        <v>233</v>
      </c>
      <c r="T159" s="2" t="s">
        <v>34</v>
      </c>
      <c r="U159" s="2" t="s">
        <v>234</v>
      </c>
      <c r="V159" s="2" t="s">
        <v>926</v>
      </c>
      <c r="W159" t="s">
        <v>927</v>
      </c>
    </row>
    <row r="160" spans="1:23" x14ac:dyDescent="0.25">
      <c r="A160" t="s">
        <v>928</v>
      </c>
      <c r="B160" s="4">
        <f t="shared" si="2"/>
        <v>71217</v>
      </c>
      <c r="C160" t="s">
        <v>929</v>
      </c>
      <c r="D160" t="s">
        <v>42</v>
      </c>
      <c r="E160" t="s">
        <v>517</v>
      </c>
      <c r="F160">
        <v>2</v>
      </c>
      <c r="G160" t="s">
        <v>26</v>
      </c>
      <c r="H160" s="2" t="s">
        <v>27</v>
      </c>
      <c r="I160" t="s">
        <v>368</v>
      </c>
      <c r="J160" s="2" t="s">
        <v>930</v>
      </c>
      <c r="L160" s="2" t="s">
        <v>30</v>
      </c>
      <c r="M160" s="2" t="s">
        <v>31</v>
      </c>
      <c r="N160" s="2" t="s">
        <v>32</v>
      </c>
      <c r="O160" s="2" t="s">
        <v>275</v>
      </c>
      <c r="P160" s="2" t="s">
        <v>60</v>
      </c>
      <c r="R160" s="2" t="s">
        <v>206</v>
      </c>
      <c r="T160" s="2" t="s">
        <v>60</v>
      </c>
    </row>
    <row r="161" spans="1:23" x14ac:dyDescent="0.25">
      <c r="A161" t="s">
        <v>931</v>
      </c>
      <c r="B161" s="4">
        <f t="shared" si="2"/>
        <v>71219</v>
      </c>
      <c r="C161" t="s">
        <v>932</v>
      </c>
      <c r="D161" t="s">
        <v>42</v>
      </c>
      <c r="E161" t="s">
        <v>933</v>
      </c>
      <c r="F161">
        <v>3</v>
      </c>
      <c r="G161" t="s">
        <v>26</v>
      </c>
      <c r="H161" s="2" t="s">
        <v>27</v>
      </c>
      <c r="I161" t="s">
        <v>28</v>
      </c>
      <c r="J161" s="2" t="s">
        <v>934</v>
      </c>
      <c r="L161" s="2" t="s">
        <v>30</v>
      </c>
      <c r="M161" s="2" t="s">
        <v>31</v>
      </c>
      <c r="N161" s="2" t="s">
        <v>32</v>
      </c>
      <c r="O161" s="2" t="s">
        <v>144</v>
      </c>
      <c r="P161" s="2" t="s">
        <v>34</v>
      </c>
      <c r="Q161" t="s">
        <v>145</v>
      </c>
      <c r="R161" s="2" t="s">
        <v>146</v>
      </c>
      <c r="T161" s="2" t="s">
        <v>60</v>
      </c>
    </row>
    <row r="162" spans="1:23" x14ac:dyDescent="0.25">
      <c r="A162" t="s">
        <v>935</v>
      </c>
      <c r="B162" s="4">
        <f t="shared" si="2"/>
        <v>71220</v>
      </c>
      <c r="C162" t="s">
        <v>936</v>
      </c>
      <c r="D162" t="s">
        <v>42</v>
      </c>
      <c r="E162" t="s">
        <v>90</v>
      </c>
      <c r="F162">
        <v>3</v>
      </c>
      <c r="G162" t="s">
        <v>26</v>
      </c>
      <c r="H162" s="2" t="s">
        <v>27</v>
      </c>
      <c r="I162" t="s">
        <v>55</v>
      </c>
      <c r="J162" s="2" t="s">
        <v>934</v>
      </c>
      <c r="L162" s="2" t="s">
        <v>30</v>
      </c>
      <c r="M162" s="2" t="s">
        <v>31</v>
      </c>
      <c r="N162" s="2" t="s">
        <v>32</v>
      </c>
      <c r="O162" s="2" t="s">
        <v>100</v>
      </c>
      <c r="P162" s="2" t="s">
        <v>34</v>
      </c>
      <c r="Q162" t="s">
        <v>86</v>
      </c>
      <c r="R162" s="2" t="s">
        <v>87</v>
      </c>
      <c r="T162" s="2" t="s">
        <v>60</v>
      </c>
    </row>
    <row r="163" spans="1:23" x14ac:dyDescent="0.25">
      <c r="A163" t="s">
        <v>937</v>
      </c>
      <c r="B163" s="4">
        <f t="shared" si="2"/>
        <v>71221</v>
      </c>
      <c r="C163" t="s">
        <v>938</v>
      </c>
      <c r="D163" t="s">
        <v>185</v>
      </c>
      <c r="E163" t="s">
        <v>939</v>
      </c>
      <c r="F163" t="s">
        <v>680</v>
      </c>
      <c r="G163" t="s">
        <v>26</v>
      </c>
      <c r="H163" s="2" t="s">
        <v>27</v>
      </c>
      <c r="I163" t="s">
        <v>55</v>
      </c>
      <c r="J163" s="2" t="s">
        <v>940</v>
      </c>
      <c r="L163" s="2" t="s">
        <v>30</v>
      </c>
      <c r="M163" s="2" t="s">
        <v>31</v>
      </c>
      <c r="N163" s="2" t="s">
        <v>32</v>
      </c>
      <c r="O163" s="2" t="s">
        <v>525</v>
      </c>
      <c r="P163" s="2" t="s">
        <v>34</v>
      </c>
      <c r="Q163" t="s">
        <v>941</v>
      </c>
      <c r="R163" s="2" t="s">
        <v>206</v>
      </c>
      <c r="S163" s="2" t="s">
        <v>942</v>
      </c>
      <c r="T163" s="2" t="s">
        <v>60</v>
      </c>
    </row>
    <row r="164" spans="1:23" x14ac:dyDescent="0.25">
      <c r="A164" t="s">
        <v>943</v>
      </c>
      <c r="B164" s="4">
        <f t="shared" si="2"/>
        <v>71240</v>
      </c>
      <c r="C164" t="s">
        <v>944</v>
      </c>
      <c r="D164" t="s">
        <v>103</v>
      </c>
      <c r="E164" t="s">
        <v>238</v>
      </c>
      <c r="F164">
        <v>1</v>
      </c>
      <c r="G164" t="s">
        <v>26</v>
      </c>
      <c r="H164" s="2" t="s">
        <v>27</v>
      </c>
      <c r="I164" t="s">
        <v>55</v>
      </c>
      <c r="J164" s="2" t="s">
        <v>945</v>
      </c>
      <c r="L164" s="2" t="s">
        <v>30</v>
      </c>
      <c r="M164" s="2" t="s">
        <v>31</v>
      </c>
      <c r="N164" s="2" t="s">
        <v>32</v>
      </c>
      <c r="O164" s="2" t="s">
        <v>946</v>
      </c>
      <c r="P164" s="2" t="s">
        <v>34</v>
      </c>
      <c r="Q164" t="s">
        <v>947</v>
      </c>
      <c r="R164" s="2" t="s">
        <v>948</v>
      </c>
      <c r="T164" s="2" t="s">
        <v>60</v>
      </c>
    </row>
    <row r="165" spans="1:23" x14ac:dyDescent="0.25">
      <c r="A165" t="s">
        <v>949</v>
      </c>
      <c r="B165" s="4">
        <f t="shared" si="2"/>
        <v>71241</v>
      </c>
      <c r="C165" t="s">
        <v>950</v>
      </c>
      <c r="D165" t="s">
        <v>279</v>
      </c>
      <c r="E165" t="s">
        <v>951</v>
      </c>
      <c r="F165" t="s">
        <v>543</v>
      </c>
      <c r="G165" t="s">
        <v>26</v>
      </c>
      <c r="H165" s="2" t="s">
        <v>27</v>
      </c>
      <c r="I165" t="s">
        <v>55</v>
      </c>
      <c r="J165" s="2" t="s">
        <v>952</v>
      </c>
      <c r="L165" s="2" t="s">
        <v>30</v>
      </c>
      <c r="M165" s="2" t="s">
        <v>31</v>
      </c>
      <c r="N165" s="2" t="s">
        <v>32</v>
      </c>
      <c r="O165" s="2" t="s">
        <v>525</v>
      </c>
      <c r="P165" s="2" t="s">
        <v>34</v>
      </c>
      <c r="Q165" t="s">
        <v>953</v>
      </c>
      <c r="R165" s="2" t="s">
        <v>954</v>
      </c>
      <c r="T165" s="2" t="s">
        <v>60</v>
      </c>
    </row>
    <row r="166" spans="1:23" x14ac:dyDescent="0.25">
      <c r="A166" t="s">
        <v>955</v>
      </c>
      <c r="B166" s="4">
        <f t="shared" si="2"/>
        <v>71242</v>
      </c>
      <c r="C166" t="s">
        <v>956</v>
      </c>
      <c r="D166" t="s">
        <v>103</v>
      </c>
      <c r="E166" t="s">
        <v>957</v>
      </c>
      <c r="F166">
        <v>1</v>
      </c>
      <c r="G166" t="s">
        <v>26</v>
      </c>
      <c r="H166" s="2" t="s">
        <v>27</v>
      </c>
      <c r="I166" t="s">
        <v>55</v>
      </c>
      <c r="J166" s="2" t="s">
        <v>958</v>
      </c>
      <c r="L166" s="2" t="s">
        <v>30</v>
      </c>
      <c r="M166" s="2" t="s">
        <v>31</v>
      </c>
      <c r="N166" s="2" t="s">
        <v>32</v>
      </c>
      <c r="O166" s="2" t="s">
        <v>123</v>
      </c>
      <c r="P166" s="2" t="s">
        <v>34</v>
      </c>
      <c r="Q166" t="s">
        <v>959</v>
      </c>
      <c r="R166" s="2" t="s">
        <v>960</v>
      </c>
      <c r="T166" s="2" t="s">
        <v>34</v>
      </c>
      <c r="U166" s="2" t="s">
        <v>961</v>
      </c>
      <c r="V166" s="2" t="s">
        <v>955</v>
      </c>
      <c r="W166" t="s">
        <v>956</v>
      </c>
    </row>
    <row r="167" spans="1:23" x14ac:dyDescent="0.25">
      <c r="A167" t="s">
        <v>962</v>
      </c>
      <c r="B167" s="4">
        <f t="shared" si="2"/>
        <v>71256</v>
      </c>
      <c r="C167" t="s">
        <v>963</v>
      </c>
      <c r="D167" t="s">
        <v>245</v>
      </c>
      <c r="E167" t="s">
        <v>246</v>
      </c>
      <c r="F167">
        <v>2</v>
      </c>
      <c r="G167" t="s">
        <v>26</v>
      </c>
      <c r="H167" s="2" t="s">
        <v>27</v>
      </c>
      <c r="I167" t="s">
        <v>55</v>
      </c>
      <c r="J167" s="2" t="s">
        <v>964</v>
      </c>
      <c r="L167" s="2" t="s">
        <v>30</v>
      </c>
      <c r="M167" s="2" t="s">
        <v>31</v>
      </c>
      <c r="N167" s="2" t="s">
        <v>32</v>
      </c>
      <c r="O167" s="2" t="s">
        <v>180</v>
      </c>
      <c r="P167" s="2" t="s">
        <v>34</v>
      </c>
      <c r="Q167" t="s">
        <v>965</v>
      </c>
      <c r="R167" s="2" t="s">
        <v>966</v>
      </c>
      <c r="T167" s="2" t="s">
        <v>60</v>
      </c>
    </row>
    <row r="168" spans="1:23" x14ac:dyDescent="0.25">
      <c r="A168" t="s">
        <v>967</v>
      </c>
      <c r="B168" s="4">
        <f t="shared" si="2"/>
        <v>71287</v>
      </c>
      <c r="C168" t="s">
        <v>968</v>
      </c>
      <c r="D168" t="s">
        <v>185</v>
      </c>
      <c r="E168" t="s">
        <v>969</v>
      </c>
      <c r="F168" t="s">
        <v>543</v>
      </c>
      <c r="G168" t="s">
        <v>26</v>
      </c>
      <c r="H168" s="2" t="s">
        <v>27</v>
      </c>
      <c r="I168" t="s">
        <v>55</v>
      </c>
      <c r="J168" s="2" t="s">
        <v>970</v>
      </c>
      <c r="L168" s="2" t="s">
        <v>30</v>
      </c>
      <c r="M168" s="2" t="s">
        <v>31</v>
      </c>
      <c r="N168" s="2" t="s">
        <v>32</v>
      </c>
      <c r="O168" s="2" t="s">
        <v>525</v>
      </c>
      <c r="P168" s="2" t="s">
        <v>34</v>
      </c>
      <c r="Q168" t="s">
        <v>971</v>
      </c>
      <c r="R168" s="2" t="s">
        <v>206</v>
      </c>
      <c r="S168" s="2" t="s">
        <v>972</v>
      </c>
      <c r="T168" s="2" t="s">
        <v>60</v>
      </c>
    </row>
    <row r="169" spans="1:23" x14ac:dyDescent="0.25">
      <c r="A169" t="s">
        <v>973</v>
      </c>
      <c r="B169" s="4">
        <f t="shared" si="2"/>
        <v>71288</v>
      </c>
      <c r="C169" t="s">
        <v>974</v>
      </c>
      <c r="D169" t="s">
        <v>185</v>
      </c>
      <c r="E169" t="s">
        <v>969</v>
      </c>
      <c r="F169" t="s">
        <v>543</v>
      </c>
      <c r="G169" t="s">
        <v>26</v>
      </c>
      <c r="H169" s="2" t="s">
        <v>27</v>
      </c>
      <c r="I169" t="s">
        <v>55</v>
      </c>
      <c r="J169" s="2" t="s">
        <v>975</v>
      </c>
      <c r="L169" s="2" t="s">
        <v>30</v>
      </c>
      <c r="M169" s="2" t="s">
        <v>31</v>
      </c>
      <c r="N169" s="2" t="s">
        <v>32</v>
      </c>
      <c r="O169" s="2" t="s">
        <v>525</v>
      </c>
      <c r="P169" s="2" t="s">
        <v>34</v>
      </c>
      <c r="Q169" t="s">
        <v>971</v>
      </c>
      <c r="R169" s="2" t="s">
        <v>206</v>
      </c>
      <c r="S169" s="2" t="s">
        <v>972</v>
      </c>
      <c r="T169" s="2" t="s">
        <v>60</v>
      </c>
    </row>
    <row r="170" spans="1:23" x14ac:dyDescent="0.25">
      <c r="A170" t="s">
        <v>976</v>
      </c>
      <c r="B170" s="4">
        <f t="shared" si="2"/>
        <v>71290</v>
      </c>
      <c r="C170" t="s">
        <v>977</v>
      </c>
      <c r="D170" t="s">
        <v>365</v>
      </c>
      <c r="E170" t="s">
        <v>978</v>
      </c>
      <c r="F170" t="s">
        <v>367</v>
      </c>
      <c r="G170" t="s">
        <v>352</v>
      </c>
      <c r="H170" s="2" t="s">
        <v>373</v>
      </c>
      <c r="I170" t="s">
        <v>379</v>
      </c>
      <c r="K170" s="2" t="s">
        <v>727</v>
      </c>
      <c r="L170" s="2" t="s">
        <v>30</v>
      </c>
      <c r="M170" s="2" t="s">
        <v>31</v>
      </c>
      <c r="N170" s="2" t="s">
        <v>32</v>
      </c>
      <c r="O170" s="2" t="s">
        <v>525</v>
      </c>
      <c r="P170" s="2" t="s">
        <v>34</v>
      </c>
      <c r="Q170" t="s">
        <v>758</v>
      </c>
      <c r="R170" s="2" t="s">
        <v>206</v>
      </c>
      <c r="S170" s="2" t="s">
        <v>759</v>
      </c>
      <c r="T170" s="2" t="s">
        <v>60</v>
      </c>
    </row>
    <row r="171" spans="1:23" x14ac:dyDescent="0.25">
      <c r="A171" t="s">
        <v>979</v>
      </c>
      <c r="B171" s="4">
        <f t="shared" si="2"/>
        <v>71293</v>
      </c>
      <c r="C171" t="s">
        <v>980</v>
      </c>
      <c r="D171" t="s">
        <v>297</v>
      </c>
      <c r="E171" t="s">
        <v>298</v>
      </c>
      <c r="F171">
        <v>1</v>
      </c>
      <c r="G171" t="s">
        <v>26</v>
      </c>
      <c r="H171" s="2" t="s">
        <v>27</v>
      </c>
      <c r="I171" t="s">
        <v>55</v>
      </c>
      <c r="J171" s="2" t="s">
        <v>981</v>
      </c>
      <c r="L171" s="2" t="s">
        <v>30</v>
      </c>
      <c r="M171" s="2" t="s">
        <v>31</v>
      </c>
      <c r="N171" s="2" t="s">
        <v>32</v>
      </c>
      <c r="O171" s="2" t="s">
        <v>982</v>
      </c>
      <c r="P171" s="2" t="s">
        <v>34</v>
      </c>
      <c r="Q171" t="s">
        <v>983</v>
      </c>
      <c r="R171" s="2" t="s">
        <v>984</v>
      </c>
      <c r="T171" s="2" t="s">
        <v>60</v>
      </c>
    </row>
    <row r="172" spans="1:23" x14ac:dyDescent="0.25">
      <c r="A172" t="s">
        <v>985</v>
      </c>
      <c r="B172" s="4">
        <f t="shared" si="2"/>
        <v>71297</v>
      </c>
      <c r="C172" t="s">
        <v>986</v>
      </c>
      <c r="D172" t="s">
        <v>279</v>
      </c>
      <c r="E172" t="s">
        <v>987</v>
      </c>
      <c r="F172">
        <v>1</v>
      </c>
      <c r="G172" t="s">
        <v>26</v>
      </c>
      <c r="H172" s="2" t="s">
        <v>27</v>
      </c>
      <c r="I172" t="s">
        <v>55</v>
      </c>
      <c r="J172" s="2" t="s">
        <v>988</v>
      </c>
      <c r="L172" s="2" t="s">
        <v>30</v>
      </c>
      <c r="M172" s="2" t="s">
        <v>31</v>
      </c>
      <c r="N172" s="2" t="s">
        <v>32</v>
      </c>
      <c r="O172" s="2" t="s">
        <v>525</v>
      </c>
      <c r="P172" s="2" t="s">
        <v>34</v>
      </c>
      <c r="Q172" t="s">
        <v>989</v>
      </c>
      <c r="R172" s="2" t="s">
        <v>990</v>
      </c>
      <c r="T172" s="2" t="s">
        <v>60</v>
      </c>
    </row>
    <row r="173" spans="1:23" x14ac:dyDescent="0.25">
      <c r="A173" t="s">
        <v>991</v>
      </c>
      <c r="B173" s="4">
        <f t="shared" si="2"/>
        <v>71298</v>
      </c>
      <c r="C173" t="s">
        <v>992</v>
      </c>
      <c r="D173" t="s">
        <v>297</v>
      </c>
      <c r="E173" t="s">
        <v>993</v>
      </c>
      <c r="F173">
        <v>1</v>
      </c>
      <c r="G173" t="s">
        <v>26</v>
      </c>
      <c r="H173" s="2" t="s">
        <v>27</v>
      </c>
      <c r="I173" t="s">
        <v>28</v>
      </c>
      <c r="J173" s="2" t="s">
        <v>994</v>
      </c>
      <c r="L173" s="2" t="s">
        <v>30</v>
      </c>
      <c r="M173" s="2" t="s">
        <v>31</v>
      </c>
      <c r="N173" s="2" t="s">
        <v>32</v>
      </c>
      <c r="O173" s="2" t="s">
        <v>123</v>
      </c>
      <c r="P173" s="2" t="s">
        <v>34</v>
      </c>
      <c r="Q173" t="s">
        <v>995</v>
      </c>
      <c r="R173" s="2" t="s">
        <v>996</v>
      </c>
      <c r="T173" s="2" t="s">
        <v>34</v>
      </c>
      <c r="U173" s="2" t="s">
        <v>997</v>
      </c>
      <c r="V173" s="2" t="s">
        <v>998</v>
      </c>
      <c r="W173" t="s">
        <v>999</v>
      </c>
    </row>
    <row r="174" spans="1:23" x14ac:dyDescent="0.25">
      <c r="A174" t="s">
        <v>1000</v>
      </c>
      <c r="B174" s="4">
        <f t="shared" si="2"/>
        <v>71299</v>
      </c>
      <c r="C174" t="s">
        <v>1001</v>
      </c>
      <c r="D174" t="s">
        <v>297</v>
      </c>
      <c r="E174" t="s">
        <v>496</v>
      </c>
      <c r="F174">
        <v>1</v>
      </c>
      <c r="G174" t="s">
        <v>26</v>
      </c>
      <c r="H174" s="2" t="s">
        <v>27</v>
      </c>
      <c r="I174" t="s">
        <v>28</v>
      </c>
      <c r="J174" s="2" t="s">
        <v>1002</v>
      </c>
      <c r="L174" s="2" t="s">
        <v>30</v>
      </c>
      <c r="M174" s="2" t="s">
        <v>31</v>
      </c>
      <c r="N174" s="2" t="s">
        <v>32</v>
      </c>
      <c r="O174" s="2" t="s">
        <v>497</v>
      </c>
      <c r="P174" s="2" t="s">
        <v>34</v>
      </c>
      <c r="Q174" t="s">
        <v>995</v>
      </c>
      <c r="R174" s="2" t="s">
        <v>996</v>
      </c>
      <c r="T174" s="2" t="s">
        <v>34</v>
      </c>
      <c r="U174" s="2" t="s">
        <v>997</v>
      </c>
      <c r="V174" s="2" t="s">
        <v>1003</v>
      </c>
      <c r="W174" t="s">
        <v>1004</v>
      </c>
    </row>
    <row r="175" spans="1:23" x14ac:dyDescent="0.25">
      <c r="A175" t="s">
        <v>1005</v>
      </c>
      <c r="B175" s="4">
        <f t="shared" si="2"/>
        <v>71331</v>
      </c>
      <c r="C175" t="s">
        <v>1006</v>
      </c>
      <c r="D175" t="s">
        <v>103</v>
      </c>
      <c r="E175" t="s">
        <v>1007</v>
      </c>
      <c r="F175">
        <v>1</v>
      </c>
      <c r="G175" t="s">
        <v>26</v>
      </c>
      <c r="H175" s="2" t="s">
        <v>27</v>
      </c>
      <c r="I175" t="s">
        <v>55</v>
      </c>
      <c r="J175" s="2" t="s">
        <v>1008</v>
      </c>
      <c r="L175" s="2" t="s">
        <v>30</v>
      </c>
      <c r="M175" s="2" t="s">
        <v>31</v>
      </c>
      <c r="N175" s="2" t="s">
        <v>32</v>
      </c>
      <c r="O175" s="2" t="s">
        <v>1009</v>
      </c>
      <c r="P175" s="2" t="s">
        <v>34</v>
      </c>
      <c r="Q175" t="s">
        <v>1010</v>
      </c>
      <c r="R175" s="2" t="s">
        <v>1011</v>
      </c>
      <c r="T175" s="2" t="s">
        <v>60</v>
      </c>
    </row>
    <row r="176" spans="1:23" x14ac:dyDescent="0.25">
      <c r="A176" t="s">
        <v>1012</v>
      </c>
      <c r="B176" s="4">
        <f t="shared" si="2"/>
        <v>71353</v>
      </c>
      <c r="C176" t="s">
        <v>1013</v>
      </c>
      <c r="D176" t="s">
        <v>24</v>
      </c>
      <c r="E176" t="s">
        <v>113</v>
      </c>
      <c r="F176">
        <v>2</v>
      </c>
      <c r="G176" t="s">
        <v>26</v>
      </c>
      <c r="H176" s="2" t="s">
        <v>27</v>
      </c>
      <c r="I176" t="s">
        <v>28</v>
      </c>
      <c r="J176" s="2" t="s">
        <v>1014</v>
      </c>
      <c r="L176" s="2" t="s">
        <v>30</v>
      </c>
      <c r="M176" s="2" t="s">
        <v>31</v>
      </c>
      <c r="N176" s="2" t="s">
        <v>32</v>
      </c>
      <c r="O176" s="2" t="s">
        <v>115</v>
      </c>
      <c r="P176" s="2" t="s">
        <v>34</v>
      </c>
      <c r="Q176" t="s">
        <v>46</v>
      </c>
      <c r="R176" s="2" t="s">
        <v>47</v>
      </c>
      <c r="T176" s="2" t="s">
        <v>34</v>
      </c>
      <c r="U176" s="2" t="s">
        <v>48</v>
      </c>
      <c r="V176" s="2" t="s">
        <v>1015</v>
      </c>
      <c r="W176" t="s">
        <v>1016</v>
      </c>
    </row>
    <row r="177" spans="1:23" x14ac:dyDescent="0.25">
      <c r="A177" t="s">
        <v>1017</v>
      </c>
      <c r="B177" s="4">
        <f t="shared" si="2"/>
        <v>71362</v>
      </c>
      <c r="C177" t="s">
        <v>1018</v>
      </c>
      <c r="D177" t="s">
        <v>103</v>
      </c>
      <c r="E177" t="s">
        <v>347</v>
      </c>
      <c r="F177">
        <v>1</v>
      </c>
      <c r="G177" t="s">
        <v>26</v>
      </c>
      <c r="H177" s="2" t="s">
        <v>27</v>
      </c>
      <c r="I177" t="s">
        <v>55</v>
      </c>
      <c r="J177" s="2" t="s">
        <v>1019</v>
      </c>
      <c r="L177" s="2" t="s">
        <v>30</v>
      </c>
      <c r="M177" s="2" t="s">
        <v>31</v>
      </c>
      <c r="N177" s="2" t="s">
        <v>32</v>
      </c>
      <c r="O177" s="2" t="s">
        <v>123</v>
      </c>
      <c r="P177" s="2" t="s">
        <v>34</v>
      </c>
      <c r="Q177" t="s">
        <v>1020</v>
      </c>
      <c r="R177" s="2" t="s">
        <v>1021</v>
      </c>
      <c r="T177" s="2" t="s">
        <v>60</v>
      </c>
    </row>
    <row r="178" spans="1:23" x14ac:dyDescent="0.25">
      <c r="A178" t="s">
        <v>1022</v>
      </c>
      <c r="B178" s="4">
        <f t="shared" si="2"/>
        <v>71363</v>
      </c>
      <c r="C178" t="s">
        <v>1023</v>
      </c>
      <c r="D178" t="s">
        <v>42</v>
      </c>
      <c r="E178" t="s">
        <v>1024</v>
      </c>
      <c r="F178">
        <v>3</v>
      </c>
      <c r="G178" t="s">
        <v>26</v>
      </c>
      <c r="H178" s="2" t="s">
        <v>27</v>
      </c>
      <c r="I178" t="s">
        <v>28</v>
      </c>
      <c r="J178" s="2" t="s">
        <v>1025</v>
      </c>
      <c r="L178" s="2" t="s">
        <v>30</v>
      </c>
      <c r="M178" s="2" t="s">
        <v>31</v>
      </c>
      <c r="N178" s="2" t="s">
        <v>32</v>
      </c>
      <c r="O178" s="2" t="s">
        <v>897</v>
      </c>
      <c r="P178" s="2" t="s">
        <v>34</v>
      </c>
      <c r="Q178" t="s">
        <v>145</v>
      </c>
      <c r="R178" s="2" t="s">
        <v>146</v>
      </c>
      <c r="T178" s="2" t="s">
        <v>60</v>
      </c>
    </row>
    <row r="179" spans="1:23" x14ac:dyDescent="0.25">
      <c r="A179" t="s">
        <v>1026</v>
      </c>
      <c r="B179" s="4">
        <f t="shared" si="2"/>
        <v>71365</v>
      </c>
      <c r="C179" t="s">
        <v>1027</v>
      </c>
      <c r="D179" t="s">
        <v>103</v>
      </c>
      <c r="E179" t="s">
        <v>347</v>
      </c>
      <c r="F179">
        <v>1</v>
      </c>
      <c r="G179" t="s">
        <v>26</v>
      </c>
      <c r="H179" s="2" t="s">
        <v>27</v>
      </c>
      <c r="I179" t="s">
        <v>55</v>
      </c>
      <c r="J179" s="2" t="s">
        <v>1028</v>
      </c>
      <c r="L179" s="2" t="s">
        <v>30</v>
      </c>
      <c r="M179" s="2" t="s">
        <v>31</v>
      </c>
      <c r="N179" s="2" t="s">
        <v>32</v>
      </c>
      <c r="O179" s="2" t="s">
        <v>1029</v>
      </c>
      <c r="P179" s="2" t="s">
        <v>34</v>
      </c>
      <c r="Q179" t="s">
        <v>1030</v>
      </c>
      <c r="R179" s="2" t="s">
        <v>1031</v>
      </c>
      <c r="T179" s="2" t="s">
        <v>60</v>
      </c>
    </row>
    <row r="180" spans="1:23" x14ac:dyDescent="0.25">
      <c r="A180" t="s">
        <v>1032</v>
      </c>
      <c r="B180" s="4">
        <f t="shared" si="2"/>
        <v>71366</v>
      </c>
      <c r="C180" t="s">
        <v>1033</v>
      </c>
      <c r="D180" t="s">
        <v>53</v>
      </c>
      <c r="E180" t="s">
        <v>689</v>
      </c>
      <c r="F180">
        <v>2</v>
      </c>
      <c r="G180" t="s">
        <v>26</v>
      </c>
      <c r="H180" s="2" t="s">
        <v>27</v>
      </c>
      <c r="I180" t="s">
        <v>55</v>
      </c>
      <c r="J180" s="2" t="s">
        <v>1034</v>
      </c>
      <c r="L180" s="2" t="s">
        <v>30</v>
      </c>
      <c r="M180" s="2" t="s">
        <v>31</v>
      </c>
      <c r="N180" s="2" t="s">
        <v>32</v>
      </c>
      <c r="O180" s="2" t="s">
        <v>375</v>
      </c>
      <c r="P180" s="2" t="s">
        <v>34</v>
      </c>
      <c r="Q180" t="s">
        <v>1035</v>
      </c>
      <c r="R180" s="2" t="s">
        <v>1036</v>
      </c>
      <c r="T180" s="2" t="s">
        <v>60</v>
      </c>
    </row>
    <row r="181" spans="1:23" x14ac:dyDescent="0.25">
      <c r="A181" t="s">
        <v>1037</v>
      </c>
      <c r="B181" s="4">
        <f t="shared" si="2"/>
        <v>71401</v>
      </c>
      <c r="C181" t="s">
        <v>1038</v>
      </c>
      <c r="D181" t="s">
        <v>103</v>
      </c>
      <c r="E181" t="s">
        <v>104</v>
      </c>
      <c r="F181">
        <v>1</v>
      </c>
      <c r="G181" t="s">
        <v>26</v>
      </c>
      <c r="H181" s="2" t="s">
        <v>27</v>
      </c>
      <c r="I181" t="s">
        <v>55</v>
      </c>
      <c r="J181" s="2" t="s">
        <v>1039</v>
      </c>
      <c r="L181" s="2" t="s">
        <v>30</v>
      </c>
      <c r="M181" s="2" t="s">
        <v>31</v>
      </c>
      <c r="N181" s="2" t="s">
        <v>32</v>
      </c>
      <c r="O181" s="2" t="s">
        <v>106</v>
      </c>
      <c r="P181" s="2" t="s">
        <v>34</v>
      </c>
      <c r="Q181" t="s">
        <v>107</v>
      </c>
      <c r="R181" s="2" t="s">
        <v>108</v>
      </c>
      <c r="T181" s="2" t="s">
        <v>34</v>
      </c>
      <c r="U181" s="2" t="s">
        <v>109</v>
      </c>
      <c r="V181" s="2" t="s">
        <v>1037</v>
      </c>
      <c r="W181" t="s">
        <v>1040</v>
      </c>
    </row>
    <row r="182" spans="1:23" x14ac:dyDescent="0.25">
      <c r="A182" t="s">
        <v>1041</v>
      </c>
      <c r="B182" s="4">
        <f t="shared" si="2"/>
        <v>71402</v>
      </c>
      <c r="C182" t="s">
        <v>1042</v>
      </c>
      <c r="D182" t="s">
        <v>103</v>
      </c>
      <c r="E182" t="s">
        <v>444</v>
      </c>
      <c r="F182">
        <v>1</v>
      </c>
      <c r="G182" t="s">
        <v>26</v>
      </c>
      <c r="H182" s="2" t="s">
        <v>27</v>
      </c>
      <c r="I182" t="s">
        <v>55</v>
      </c>
      <c r="J182" s="2" t="s">
        <v>1043</v>
      </c>
      <c r="L182" s="2" t="s">
        <v>30</v>
      </c>
      <c r="M182" s="2" t="s">
        <v>31</v>
      </c>
      <c r="N182" s="2" t="s">
        <v>32</v>
      </c>
      <c r="O182" s="2" t="s">
        <v>1044</v>
      </c>
      <c r="P182" s="2" t="s">
        <v>34</v>
      </c>
      <c r="Q182" t="s">
        <v>107</v>
      </c>
      <c r="R182" s="2" t="s">
        <v>108</v>
      </c>
      <c r="T182" s="2" t="s">
        <v>34</v>
      </c>
      <c r="U182" s="2" t="s">
        <v>109</v>
      </c>
    </row>
    <row r="183" spans="1:23" x14ac:dyDescent="0.25">
      <c r="A183" t="s">
        <v>1045</v>
      </c>
      <c r="B183" s="4">
        <f t="shared" si="2"/>
        <v>71423</v>
      </c>
      <c r="C183" t="s">
        <v>1046</v>
      </c>
      <c r="D183" t="s">
        <v>149</v>
      </c>
      <c r="E183" t="s">
        <v>789</v>
      </c>
      <c r="F183">
        <v>3</v>
      </c>
      <c r="G183" t="s">
        <v>26</v>
      </c>
      <c r="H183" s="2" t="s">
        <v>27</v>
      </c>
      <c r="I183" t="s">
        <v>55</v>
      </c>
      <c r="J183" s="2" t="s">
        <v>1047</v>
      </c>
      <c r="L183" s="2" t="s">
        <v>30</v>
      </c>
      <c r="M183" s="2" t="s">
        <v>31</v>
      </c>
      <c r="N183" s="2" t="s">
        <v>32</v>
      </c>
      <c r="O183" s="2" t="s">
        <v>711</v>
      </c>
      <c r="P183" s="2" t="s">
        <v>34</v>
      </c>
      <c r="Q183" t="s">
        <v>794</v>
      </c>
      <c r="R183" s="2" t="s">
        <v>795</v>
      </c>
      <c r="T183" s="2" t="s">
        <v>60</v>
      </c>
    </row>
    <row r="184" spans="1:23" x14ac:dyDescent="0.25">
      <c r="A184" t="s">
        <v>1048</v>
      </c>
      <c r="B184" s="4">
        <f t="shared" si="2"/>
        <v>71424</v>
      </c>
      <c r="C184" t="s">
        <v>1049</v>
      </c>
      <c r="D184" t="s">
        <v>185</v>
      </c>
      <c r="E184" t="s">
        <v>969</v>
      </c>
      <c r="F184" t="s">
        <v>543</v>
      </c>
      <c r="G184" t="s">
        <v>26</v>
      </c>
      <c r="H184" s="2" t="s">
        <v>27</v>
      </c>
      <c r="I184" t="s">
        <v>55</v>
      </c>
      <c r="J184" s="2" t="s">
        <v>1050</v>
      </c>
      <c r="L184" s="2" t="s">
        <v>30</v>
      </c>
      <c r="M184" s="2" t="s">
        <v>31</v>
      </c>
      <c r="N184" s="2" t="s">
        <v>32</v>
      </c>
      <c r="O184" s="2" t="s">
        <v>525</v>
      </c>
      <c r="P184" s="2" t="s">
        <v>34</v>
      </c>
      <c r="Q184" t="s">
        <v>1051</v>
      </c>
      <c r="R184" s="2" t="s">
        <v>206</v>
      </c>
      <c r="S184" s="2" t="s">
        <v>1052</v>
      </c>
      <c r="T184" s="2" t="s">
        <v>60</v>
      </c>
    </row>
    <row r="185" spans="1:23" x14ac:dyDescent="0.25">
      <c r="A185" t="s">
        <v>1053</v>
      </c>
      <c r="B185" s="4">
        <f t="shared" si="2"/>
        <v>71425</v>
      </c>
      <c r="C185" t="s">
        <v>1054</v>
      </c>
      <c r="D185" t="s">
        <v>185</v>
      </c>
      <c r="E185" t="s">
        <v>969</v>
      </c>
      <c r="F185" t="s">
        <v>543</v>
      </c>
      <c r="G185" t="s">
        <v>26</v>
      </c>
      <c r="H185" s="2" t="s">
        <v>27</v>
      </c>
      <c r="I185" t="s">
        <v>55</v>
      </c>
      <c r="J185" s="2" t="s">
        <v>1055</v>
      </c>
      <c r="L185" s="2" t="s">
        <v>30</v>
      </c>
      <c r="M185" s="2" t="s">
        <v>31</v>
      </c>
      <c r="N185" s="2" t="s">
        <v>32</v>
      </c>
      <c r="O185" s="2" t="s">
        <v>525</v>
      </c>
      <c r="P185" s="2" t="s">
        <v>34</v>
      </c>
      <c r="Q185" t="s">
        <v>1056</v>
      </c>
      <c r="R185" s="2" t="s">
        <v>1057</v>
      </c>
      <c r="T185" s="2" t="s">
        <v>60</v>
      </c>
    </row>
    <row r="186" spans="1:23" x14ac:dyDescent="0.25">
      <c r="A186" t="s">
        <v>1058</v>
      </c>
      <c r="B186" s="4">
        <f t="shared" si="2"/>
        <v>71426</v>
      </c>
      <c r="C186" t="s">
        <v>1059</v>
      </c>
      <c r="D186" t="s">
        <v>279</v>
      </c>
      <c r="E186" t="s">
        <v>280</v>
      </c>
      <c r="F186">
        <v>1</v>
      </c>
      <c r="G186" t="s">
        <v>26</v>
      </c>
      <c r="H186" s="2" t="s">
        <v>27</v>
      </c>
      <c r="I186" t="s">
        <v>55</v>
      </c>
      <c r="J186" s="2" t="s">
        <v>1060</v>
      </c>
      <c r="L186" s="2" t="s">
        <v>30</v>
      </c>
      <c r="M186" s="2" t="s">
        <v>31</v>
      </c>
      <c r="N186" s="2" t="s">
        <v>32</v>
      </c>
      <c r="O186" s="2" t="s">
        <v>525</v>
      </c>
      <c r="P186" s="2" t="s">
        <v>34</v>
      </c>
      <c r="Q186" t="s">
        <v>1061</v>
      </c>
      <c r="R186" s="2" t="s">
        <v>206</v>
      </c>
      <c r="S186" s="2" t="s">
        <v>1062</v>
      </c>
      <c r="T186" s="2" t="s">
        <v>60</v>
      </c>
    </row>
    <row r="187" spans="1:23" x14ac:dyDescent="0.25">
      <c r="A187" t="s">
        <v>1063</v>
      </c>
      <c r="B187" s="4">
        <f t="shared" si="2"/>
        <v>71430</v>
      </c>
      <c r="C187" t="s">
        <v>1064</v>
      </c>
      <c r="D187" t="s">
        <v>297</v>
      </c>
      <c r="E187" t="s">
        <v>444</v>
      </c>
      <c r="F187">
        <v>1</v>
      </c>
      <c r="G187" t="s">
        <v>26</v>
      </c>
      <c r="H187" s="2" t="s">
        <v>27</v>
      </c>
      <c r="I187" t="s">
        <v>55</v>
      </c>
      <c r="J187" s="2" t="s">
        <v>1065</v>
      </c>
      <c r="L187" s="2" t="s">
        <v>30</v>
      </c>
      <c r="M187" s="2" t="s">
        <v>31</v>
      </c>
      <c r="N187" s="2" t="s">
        <v>32</v>
      </c>
      <c r="O187" s="2" t="s">
        <v>306</v>
      </c>
      <c r="P187" s="2" t="s">
        <v>34</v>
      </c>
      <c r="Q187" t="s">
        <v>307</v>
      </c>
      <c r="R187" s="2" t="s">
        <v>308</v>
      </c>
      <c r="T187" s="2" t="s">
        <v>34</v>
      </c>
      <c r="U187" s="2" t="s">
        <v>309</v>
      </c>
      <c r="V187" s="2" t="s">
        <v>1063</v>
      </c>
      <c r="W187" t="s">
        <v>1066</v>
      </c>
    </row>
    <row r="188" spans="1:23" x14ac:dyDescent="0.25">
      <c r="A188" t="s">
        <v>1067</v>
      </c>
      <c r="B188" s="4">
        <f t="shared" si="2"/>
        <v>71435</v>
      </c>
      <c r="C188" t="s">
        <v>1068</v>
      </c>
      <c r="D188" t="s">
        <v>365</v>
      </c>
      <c r="E188" t="s">
        <v>1069</v>
      </c>
      <c r="F188" t="s">
        <v>187</v>
      </c>
      <c r="G188" t="s">
        <v>26</v>
      </c>
      <c r="H188" s="2" t="s">
        <v>27</v>
      </c>
      <c r="I188" t="s">
        <v>55</v>
      </c>
      <c r="J188" s="2" t="s">
        <v>1070</v>
      </c>
      <c r="L188" s="2" t="s">
        <v>30</v>
      </c>
      <c r="M188" s="2" t="s">
        <v>31</v>
      </c>
      <c r="N188" s="2" t="s">
        <v>32</v>
      </c>
      <c r="O188" s="2" t="s">
        <v>525</v>
      </c>
      <c r="P188" s="2" t="s">
        <v>34</v>
      </c>
      <c r="Q188" t="s">
        <v>1071</v>
      </c>
      <c r="R188" s="2" t="s">
        <v>206</v>
      </c>
      <c r="S188" s="2" t="s">
        <v>1072</v>
      </c>
      <c r="T188" s="2" t="s">
        <v>60</v>
      </c>
    </row>
    <row r="189" spans="1:23" x14ac:dyDescent="0.25">
      <c r="A189" t="s">
        <v>1073</v>
      </c>
      <c r="B189" s="4">
        <f t="shared" si="2"/>
        <v>71436</v>
      </c>
      <c r="C189" t="s">
        <v>1074</v>
      </c>
      <c r="D189" t="s">
        <v>365</v>
      </c>
      <c r="E189" t="s">
        <v>1069</v>
      </c>
      <c r="F189" t="s">
        <v>187</v>
      </c>
      <c r="G189" t="s">
        <v>26</v>
      </c>
      <c r="H189" s="2" t="s">
        <v>27</v>
      </c>
      <c r="I189" t="s">
        <v>55</v>
      </c>
      <c r="J189" s="2" t="s">
        <v>1075</v>
      </c>
      <c r="L189" s="2" t="s">
        <v>30</v>
      </c>
      <c r="M189" s="2" t="s">
        <v>31</v>
      </c>
      <c r="N189" s="2" t="s">
        <v>32</v>
      </c>
      <c r="O189" s="2" t="s">
        <v>525</v>
      </c>
      <c r="P189" s="2" t="s">
        <v>34</v>
      </c>
      <c r="Q189" t="s">
        <v>1071</v>
      </c>
      <c r="R189" s="2" t="s">
        <v>206</v>
      </c>
      <c r="S189" s="2" t="s">
        <v>1072</v>
      </c>
      <c r="T189" s="2" t="s">
        <v>60</v>
      </c>
    </row>
    <row r="190" spans="1:23" x14ac:dyDescent="0.25">
      <c r="A190" t="s">
        <v>1076</v>
      </c>
      <c r="B190" s="4">
        <f t="shared" si="2"/>
        <v>71438</v>
      </c>
      <c r="C190" t="s">
        <v>1077</v>
      </c>
      <c r="D190" t="s">
        <v>42</v>
      </c>
      <c r="E190" t="s">
        <v>502</v>
      </c>
      <c r="F190">
        <v>3</v>
      </c>
      <c r="G190" t="s">
        <v>26</v>
      </c>
      <c r="H190" s="2" t="s">
        <v>27</v>
      </c>
      <c r="I190" t="s">
        <v>55</v>
      </c>
      <c r="J190" s="2" t="s">
        <v>1078</v>
      </c>
      <c r="L190" s="2" t="s">
        <v>30</v>
      </c>
      <c r="M190" s="2" t="s">
        <v>31</v>
      </c>
      <c r="N190" s="2" t="s">
        <v>32</v>
      </c>
      <c r="O190" s="2" t="s">
        <v>79</v>
      </c>
      <c r="P190" s="2" t="s">
        <v>34</v>
      </c>
      <c r="Q190" t="s">
        <v>203</v>
      </c>
      <c r="R190" s="2" t="s">
        <v>204</v>
      </c>
      <c r="T190" s="2" t="s">
        <v>34</v>
      </c>
      <c r="U190" s="2" t="s">
        <v>205</v>
      </c>
      <c r="V190" s="2" t="s">
        <v>1076</v>
      </c>
      <c r="W190" t="s">
        <v>1079</v>
      </c>
    </row>
    <row r="191" spans="1:23" x14ac:dyDescent="0.25">
      <c r="A191" t="s">
        <v>1080</v>
      </c>
      <c r="B191" s="4">
        <f t="shared" si="2"/>
        <v>71439</v>
      </c>
      <c r="C191" t="s">
        <v>1081</v>
      </c>
      <c r="D191" t="s">
        <v>53</v>
      </c>
      <c r="E191" t="s">
        <v>178</v>
      </c>
      <c r="F191">
        <v>2</v>
      </c>
      <c r="G191" t="s">
        <v>26</v>
      </c>
      <c r="H191" s="2" t="s">
        <v>27</v>
      </c>
      <c r="I191" t="s">
        <v>55</v>
      </c>
      <c r="J191" s="2" t="s">
        <v>1082</v>
      </c>
      <c r="L191" s="2" t="s">
        <v>30</v>
      </c>
      <c r="M191" s="2" t="s">
        <v>31</v>
      </c>
      <c r="N191" s="2" t="s">
        <v>32</v>
      </c>
      <c r="O191" s="2" t="s">
        <v>180</v>
      </c>
      <c r="P191" s="2" t="s">
        <v>34</v>
      </c>
      <c r="Q191" t="s">
        <v>776</v>
      </c>
      <c r="R191" s="2" t="s">
        <v>777</v>
      </c>
      <c r="T191" s="2" t="s">
        <v>60</v>
      </c>
    </row>
    <row r="192" spans="1:23" x14ac:dyDescent="0.25">
      <c r="A192" t="s">
        <v>1083</v>
      </c>
      <c r="B192" s="4">
        <f t="shared" si="2"/>
        <v>71455</v>
      </c>
      <c r="C192" t="s">
        <v>1084</v>
      </c>
      <c r="D192" t="s">
        <v>42</v>
      </c>
      <c r="E192" t="s">
        <v>433</v>
      </c>
      <c r="F192">
        <v>3</v>
      </c>
      <c r="G192" t="s">
        <v>26</v>
      </c>
      <c r="H192" s="2" t="s">
        <v>27</v>
      </c>
      <c r="I192" t="s">
        <v>55</v>
      </c>
      <c r="J192" s="2" t="s">
        <v>1085</v>
      </c>
      <c r="L192" s="2" t="s">
        <v>30</v>
      </c>
      <c r="M192" s="2" t="s">
        <v>31</v>
      </c>
      <c r="N192" s="2" t="s">
        <v>32</v>
      </c>
      <c r="O192" s="2" t="s">
        <v>435</v>
      </c>
      <c r="P192" s="2" t="s">
        <v>34</v>
      </c>
      <c r="Q192" t="s">
        <v>203</v>
      </c>
      <c r="R192" s="2" t="s">
        <v>204</v>
      </c>
      <c r="T192" s="2" t="s">
        <v>34</v>
      </c>
      <c r="U192" s="2" t="s">
        <v>205</v>
      </c>
      <c r="V192" s="2" t="s">
        <v>1083</v>
      </c>
      <c r="W192" t="s">
        <v>1086</v>
      </c>
    </row>
    <row r="193" spans="1:23" x14ac:dyDescent="0.25">
      <c r="A193" t="s">
        <v>1087</v>
      </c>
      <c r="B193" s="4">
        <f t="shared" si="2"/>
        <v>71461</v>
      </c>
      <c r="C193" t="s">
        <v>1088</v>
      </c>
      <c r="D193" t="s">
        <v>42</v>
      </c>
      <c r="E193" t="s">
        <v>1089</v>
      </c>
      <c r="F193">
        <v>3</v>
      </c>
      <c r="G193" t="s">
        <v>26</v>
      </c>
      <c r="H193" s="2" t="s">
        <v>27</v>
      </c>
      <c r="I193" t="s">
        <v>55</v>
      </c>
      <c r="J193" s="2" t="s">
        <v>1090</v>
      </c>
      <c r="L193" s="2" t="s">
        <v>30</v>
      </c>
      <c r="M193" s="2" t="s">
        <v>31</v>
      </c>
      <c r="N193" s="2" t="s">
        <v>32</v>
      </c>
      <c r="O193" s="2" t="s">
        <v>100</v>
      </c>
      <c r="P193" s="2" t="s">
        <v>34</v>
      </c>
      <c r="Q193" t="s">
        <v>203</v>
      </c>
      <c r="R193" s="2" t="s">
        <v>204</v>
      </c>
      <c r="T193" s="2" t="s">
        <v>34</v>
      </c>
      <c r="U193" s="2" t="s">
        <v>205</v>
      </c>
      <c r="V193" s="2" t="s">
        <v>206</v>
      </c>
    </row>
    <row r="194" spans="1:23" x14ac:dyDescent="0.25">
      <c r="A194" t="s">
        <v>1091</v>
      </c>
      <c r="B194" s="4">
        <f t="shared" si="2"/>
        <v>71463</v>
      </c>
      <c r="C194" t="s">
        <v>1092</v>
      </c>
      <c r="D194" t="s">
        <v>103</v>
      </c>
      <c r="E194" t="s">
        <v>347</v>
      </c>
      <c r="F194">
        <v>1</v>
      </c>
      <c r="G194" t="s">
        <v>26</v>
      </c>
      <c r="H194" s="2" t="s">
        <v>27</v>
      </c>
      <c r="I194" t="s">
        <v>55</v>
      </c>
      <c r="J194" s="2" t="s">
        <v>1093</v>
      </c>
      <c r="L194" s="2" t="s">
        <v>30</v>
      </c>
      <c r="M194" s="2" t="s">
        <v>31</v>
      </c>
      <c r="N194" s="2" t="s">
        <v>32</v>
      </c>
      <c r="O194" s="2" t="s">
        <v>1094</v>
      </c>
      <c r="P194" s="2" t="s">
        <v>34</v>
      </c>
      <c r="Q194" t="s">
        <v>1095</v>
      </c>
      <c r="R194" s="2" t="s">
        <v>1096</v>
      </c>
      <c r="T194" s="2" t="s">
        <v>60</v>
      </c>
    </row>
    <row r="195" spans="1:23" x14ac:dyDescent="0.25">
      <c r="A195" t="s">
        <v>1097</v>
      </c>
      <c r="B195" s="4">
        <f t="shared" ref="B195:B258" si="3">REPLACE(A195, 1, 1, "")+0</f>
        <v>71464</v>
      </c>
      <c r="C195" t="s">
        <v>1098</v>
      </c>
      <c r="D195" t="s">
        <v>149</v>
      </c>
      <c r="E195" t="s">
        <v>133</v>
      </c>
      <c r="F195">
        <v>3</v>
      </c>
      <c r="G195" t="s">
        <v>26</v>
      </c>
      <c r="H195" s="2" t="s">
        <v>27</v>
      </c>
      <c r="I195" t="s">
        <v>55</v>
      </c>
      <c r="J195" s="2" t="s">
        <v>1099</v>
      </c>
      <c r="L195" s="2" t="s">
        <v>30</v>
      </c>
      <c r="M195" s="2" t="s">
        <v>31</v>
      </c>
      <c r="N195" s="2" t="s">
        <v>32</v>
      </c>
      <c r="O195" s="2" t="s">
        <v>152</v>
      </c>
      <c r="P195" s="2" t="s">
        <v>34</v>
      </c>
      <c r="Q195" t="s">
        <v>153</v>
      </c>
      <c r="R195" s="2" t="s">
        <v>154</v>
      </c>
      <c r="T195" s="2" t="s">
        <v>60</v>
      </c>
    </row>
    <row r="196" spans="1:23" x14ac:dyDescent="0.25">
      <c r="A196" t="s">
        <v>1100</v>
      </c>
      <c r="B196" s="4">
        <f t="shared" si="3"/>
        <v>71467</v>
      </c>
      <c r="C196" t="s">
        <v>1101</v>
      </c>
      <c r="D196" t="s">
        <v>185</v>
      </c>
      <c r="E196" t="s">
        <v>1102</v>
      </c>
      <c r="F196" t="s">
        <v>543</v>
      </c>
      <c r="G196" t="s">
        <v>352</v>
      </c>
      <c r="H196" s="2" t="s">
        <v>373</v>
      </c>
      <c r="I196" t="s">
        <v>379</v>
      </c>
      <c r="K196" s="2" t="s">
        <v>1103</v>
      </c>
      <c r="L196" s="2" t="s">
        <v>30</v>
      </c>
      <c r="M196" s="2" t="s">
        <v>31</v>
      </c>
      <c r="N196" s="2" t="s">
        <v>32</v>
      </c>
      <c r="O196" s="2" t="s">
        <v>1104</v>
      </c>
      <c r="P196" s="2" t="s">
        <v>34</v>
      </c>
      <c r="Q196" t="s">
        <v>1105</v>
      </c>
      <c r="R196" s="2" t="s">
        <v>206</v>
      </c>
      <c r="S196" s="2" t="s">
        <v>1106</v>
      </c>
      <c r="T196" s="2" t="s">
        <v>60</v>
      </c>
    </row>
    <row r="197" spans="1:23" x14ac:dyDescent="0.25">
      <c r="A197" t="s">
        <v>1107</v>
      </c>
      <c r="B197" s="4">
        <f t="shared" si="3"/>
        <v>71469</v>
      </c>
      <c r="C197" t="s">
        <v>1108</v>
      </c>
      <c r="D197" t="s">
        <v>120</v>
      </c>
      <c r="E197" t="s">
        <v>655</v>
      </c>
      <c r="F197">
        <v>1</v>
      </c>
      <c r="G197" t="s">
        <v>26</v>
      </c>
      <c r="H197" s="2" t="s">
        <v>27</v>
      </c>
      <c r="I197" t="s">
        <v>55</v>
      </c>
      <c r="J197" s="2" t="s">
        <v>1109</v>
      </c>
      <c r="L197" s="2" t="s">
        <v>30</v>
      </c>
      <c r="M197" s="2" t="s">
        <v>31</v>
      </c>
      <c r="N197" s="2" t="s">
        <v>32</v>
      </c>
      <c r="O197" s="2" t="s">
        <v>130</v>
      </c>
      <c r="P197" s="2" t="s">
        <v>34</v>
      </c>
      <c r="Q197" t="s">
        <v>107</v>
      </c>
      <c r="R197" s="2" t="s">
        <v>108</v>
      </c>
      <c r="T197" s="2" t="s">
        <v>34</v>
      </c>
      <c r="U197" s="2" t="s">
        <v>109</v>
      </c>
      <c r="V197" s="2" t="s">
        <v>1107</v>
      </c>
      <c r="W197" t="s">
        <v>1110</v>
      </c>
    </row>
    <row r="198" spans="1:23" x14ac:dyDescent="0.25">
      <c r="A198" t="s">
        <v>1111</v>
      </c>
      <c r="B198" s="4">
        <f t="shared" si="3"/>
        <v>71473</v>
      </c>
      <c r="C198" t="s">
        <v>1112</v>
      </c>
      <c r="D198" t="s">
        <v>185</v>
      </c>
      <c r="E198" t="s">
        <v>939</v>
      </c>
      <c r="F198" t="s">
        <v>680</v>
      </c>
      <c r="G198" t="s">
        <v>26</v>
      </c>
      <c r="H198" s="2" t="s">
        <v>27</v>
      </c>
      <c r="I198" t="s">
        <v>55</v>
      </c>
      <c r="J198" s="2" t="s">
        <v>1113</v>
      </c>
      <c r="L198" s="2" t="s">
        <v>30</v>
      </c>
      <c r="M198" s="2" t="s">
        <v>31</v>
      </c>
      <c r="N198" s="2" t="s">
        <v>32</v>
      </c>
      <c r="O198" s="2" t="s">
        <v>525</v>
      </c>
      <c r="P198" s="2" t="s">
        <v>34</v>
      </c>
      <c r="Q198" t="s">
        <v>1114</v>
      </c>
      <c r="R198" s="2" t="s">
        <v>206</v>
      </c>
      <c r="S198" s="2" t="s">
        <v>1115</v>
      </c>
      <c r="T198" s="2" t="s">
        <v>60</v>
      </c>
    </row>
    <row r="199" spans="1:23" x14ac:dyDescent="0.25">
      <c r="A199" t="s">
        <v>1116</v>
      </c>
      <c r="B199" s="4">
        <f t="shared" si="3"/>
        <v>71485</v>
      </c>
      <c r="C199" t="s">
        <v>1117</v>
      </c>
      <c r="D199" t="s">
        <v>185</v>
      </c>
      <c r="E199" t="s">
        <v>1118</v>
      </c>
      <c r="F199" t="s">
        <v>680</v>
      </c>
      <c r="G199" t="s">
        <v>26</v>
      </c>
      <c r="H199" s="2" t="s">
        <v>27</v>
      </c>
      <c r="I199" t="s">
        <v>28</v>
      </c>
      <c r="J199" s="2" t="s">
        <v>1119</v>
      </c>
      <c r="L199" s="2" t="s">
        <v>30</v>
      </c>
      <c r="M199" s="2" t="s">
        <v>31</v>
      </c>
      <c r="N199" s="2" t="s">
        <v>32</v>
      </c>
      <c r="O199" s="2" t="s">
        <v>525</v>
      </c>
      <c r="P199" s="2" t="s">
        <v>34</v>
      </c>
      <c r="Q199" t="s">
        <v>407</v>
      </c>
      <c r="R199" s="2" t="s">
        <v>408</v>
      </c>
      <c r="T199" s="2" t="s">
        <v>34</v>
      </c>
      <c r="U199" s="2" t="s">
        <v>409</v>
      </c>
      <c r="V199" s="2" t="s">
        <v>1120</v>
      </c>
      <c r="W199" t="s">
        <v>1121</v>
      </c>
    </row>
    <row r="200" spans="1:23" x14ac:dyDescent="0.25">
      <c r="A200" t="s">
        <v>1122</v>
      </c>
      <c r="B200" s="4">
        <f t="shared" si="3"/>
        <v>71486</v>
      </c>
      <c r="C200" t="s">
        <v>1123</v>
      </c>
      <c r="D200" t="s">
        <v>185</v>
      </c>
      <c r="E200" t="s">
        <v>1124</v>
      </c>
      <c r="F200" t="s">
        <v>543</v>
      </c>
      <c r="G200" t="s">
        <v>352</v>
      </c>
      <c r="H200" s="2" t="s">
        <v>27</v>
      </c>
      <c r="I200" t="s">
        <v>28</v>
      </c>
      <c r="J200" s="2" t="s">
        <v>1125</v>
      </c>
      <c r="L200" s="2" t="s">
        <v>30</v>
      </c>
      <c r="M200" s="2" t="s">
        <v>31</v>
      </c>
      <c r="N200" s="2" t="s">
        <v>32</v>
      </c>
      <c r="O200" s="2" t="s">
        <v>525</v>
      </c>
      <c r="P200" s="2" t="s">
        <v>34</v>
      </c>
      <c r="Q200" t="s">
        <v>407</v>
      </c>
      <c r="R200" s="2" t="s">
        <v>408</v>
      </c>
      <c r="T200" s="2" t="s">
        <v>34</v>
      </c>
      <c r="U200" s="2" t="s">
        <v>409</v>
      </c>
      <c r="V200" s="2" t="s">
        <v>1126</v>
      </c>
      <c r="W200" t="s">
        <v>1127</v>
      </c>
    </row>
    <row r="201" spans="1:23" x14ac:dyDescent="0.25">
      <c r="A201" t="s">
        <v>1128</v>
      </c>
      <c r="B201" s="4">
        <f t="shared" si="3"/>
        <v>71497</v>
      </c>
      <c r="C201" t="s">
        <v>1129</v>
      </c>
      <c r="D201" t="s">
        <v>279</v>
      </c>
      <c r="E201" t="s">
        <v>1130</v>
      </c>
      <c r="F201" t="s">
        <v>543</v>
      </c>
      <c r="G201" t="s">
        <v>26</v>
      </c>
      <c r="H201" s="2" t="s">
        <v>27</v>
      </c>
      <c r="I201" t="s">
        <v>28</v>
      </c>
      <c r="J201" s="2" t="s">
        <v>1131</v>
      </c>
      <c r="L201" s="2" t="s">
        <v>30</v>
      </c>
      <c r="M201" s="2" t="s">
        <v>31</v>
      </c>
      <c r="N201" s="2" t="s">
        <v>32</v>
      </c>
      <c r="O201" s="2" t="s">
        <v>525</v>
      </c>
      <c r="P201" s="2" t="s">
        <v>34</v>
      </c>
      <c r="Q201" t="s">
        <v>407</v>
      </c>
      <c r="R201" s="2" t="s">
        <v>408</v>
      </c>
      <c r="T201" s="2" t="s">
        <v>34</v>
      </c>
      <c r="U201" s="2" t="s">
        <v>409</v>
      </c>
      <c r="V201" s="2" t="s">
        <v>1132</v>
      </c>
      <c r="W201" t="s">
        <v>1133</v>
      </c>
    </row>
    <row r="202" spans="1:23" x14ac:dyDescent="0.25">
      <c r="A202" t="s">
        <v>1134</v>
      </c>
      <c r="B202" s="4">
        <f t="shared" si="3"/>
        <v>71503</v>
      </c>
      <c r="C202" t="s">
        <v>1135</v>
      </c>
      <c r="D202" t="s">
        <v>185</v>
      </c>
      <c r="E202" t="s">
        <v>1136</v>
      </c>
      <c r="F202" t="s">
        <v>543</v>
      </c>
      <c r="G202" t="s">
        <v>352</v>
      </c>
      <c r="H202" s="2" t="s">
        <v>27</v>
      </c>
      <c r="I202" t="s">
        <v>379</v>
      </c>
      <c r="J202" s="2" t="s">
        <v>1137</v>
      </c>
      <c r="L202" s="2" t="s">
        <v>30</v>
      </c>
      <c r="M202" s="2" t="s">
        <v>31</v>
      </c>
      <c r="N202" s="2" t="s">
        <v>32</v>
      </c>
      <c r="O202" s="2" t="s">
        <v>525</v>
      </c>
      <c r="P202" s="2" t="s">
        <v>34</v>
      </c>
      <c r="Q202" t="s">
        <v>1138</v>
      </c>
      <c r="R202" s="2" t="s">
        <v>206</v>
      </c>
      <c r="S202" s="2" t="s">
        <v>1139</v>
      </c>
      <c r="T202" s="2" t="s">
        <v>60</v>
      </c>
    </row>
    <row r="203" spans="1:23" x14ac:dyDescent="0.25">
      <c r="A203" t="s">
        <v>1140</v>
      </c>
      <c r="B203" s="4">
        <f t="shared" si="3"/>
        <v>71512</v>
      </c>
      <c r="C203" t="s">
        <v>1141</v>
      </c>
      <c r="D203" t="s">
        <v>103</v>
      </c>
      <c r="E203" t="s">
        <v>1142</v>
      </c>
      <c r="F203">
        <v>1</v>
      </c>
      <c r="G203" t="s">
        <v>26</v>
      </c>
      <c r="H203" s="2" t="s">
        <v>27</v>
      </c>
      <c r="I203" t="s">
        <v>55</v>
      </c>
      <c r="J203" s="2" t="s">
        <v>1143</v>
      </c>
      <c r="L203" s="2" t="s">
        <v>30</v>
      </c>
      <c r="M203" s="2" t="s">
        <v>31</v>
      </c>
      <c r="N203" s="2" t="s">
        <v>32</v>
      </c>
      <c r="O203" s="2" t="s">
        <v>106</v>
      </c>
      <c r="P203" s="2" t="s">
        <v>34</v>
      </c>
      <c r="Q203" t="s">
        <v>959</v>
      </c>
      <c r="R203" s="2" t="s">
        <v>960</v>
      </c>
      <c r="T203" s="2" t="s">
        <v>34</v>
      </c>
      <c r="U203" s="2" t="s">
        <v>961</v>
      </c>
      <c r="V203" s="2" t="s">
        <v>1140</v>
      </c>
      <c r="W203" t="s">
        <v>1141</v>
      </c>
    </row>
    <row r="204" spans="1:23" x14ac:dyDescent="0.25">
      <c r="A204" t="s">
        <v>1144</v>
      </c>
      <c r="B204" s="4">
        <f t="shared" si="3"/>
        <v>71528</v>
      </c>
      <c r="C204" t="s">
        <v>1145</v>
      </c>
      <c r="D204" t="s">
        <v>42</v>
      </c>
      <c r="E204" t="s">
        <v>201</v>
      </c>
      <c r="F204">
        <v>3</v>
      </c>
      <c r="G204" t="s">
        <v>26</v>
      </c>
      <c r="H204" s="2" t="s">
        <v>27</v>
      </c>
      <c r="I204" t="s">
        <v>28</v>
      </c>
      <c r="J204" s="2" t="s">
        <v>1146</v>
      </c>
      <c r="L204" s="2" t="s">
        <v>30</v>
      </c>
      <c r="M204" s="2" t="s">
        <v>31</v>
      </c>
      <c r="N204" s="2" t="s">
        <v>32</v>
      </c>
      <c r="O204" s="2" t="s">
        <v>144</v>
      </c>
      <c r="P204" s="2" t="s">
        <v>34</v>
      </c>
      <c r="Q204" t="s">
        <v>203</v>
      </c>
      <c r="R204" s="2" t="s">
        <v>204</v>
      </c>
      <c r="T204" s="2" t="s">
        <v>34</v>
      </c>
      <c r="U204" s="2" t="s">
        <v>205</v>
      </c>
      <c r="V204" s="2" t="s">
        <v>206</v>
      </c>
    </row>
    <row r="205" spans="1:23" x14ac:dyDescent="0.25">
      <c r="A205" t="s">
        <v>1147</v>
      </c>
      <c r="B205" s="4">
        <f t="shared" si="3"/>
        <v>71579</v>
      </c>
      <c r="C205" t="s">
        <v>1148</v>
      </c>
      <c r="D205" t="s">
        <v>1149</v>
      </c>
      <c r="E205" t="s">
        <v>1150</v>
      </c>
      <c r="F205" t="s">
        <v>680</v>
      </c>
      <c r="G205" t="s">
        <v>352</v>
      </c>
      <c r="H205" s="2" t="s">
        <v>373</v>
      </c>
      <c r="I205" t="s">
        <v>379</v>
      </c>
      <c r="K205" s="2" t="s">
        <v>1151</v>
      </c>
      <c r="L205" s="2" t="s">
        <v>30</v>
      </c>
      <c r="M205" s="2" t="s">
        <v>31</v>
      </c>
      <c r="N205" s="2" t="s">
        <v>32</v>
      </c>
      <c r="O205" s="2" t="s">
        <v>1152</v>
      </c>
      <c r="P205" s="2" t="s">
        <v>34</v>
      </c>
      <c r="Q205" t="s">
        <v>1153</v>
      </c>
      <c r="R205" s="2" t="s">
        <v>1154</v>
      </c>
      <c r="T205" s="2" t="s">
        <v>60</v>
      </c>
    </row>
    <row r="206" spans="1:23" x14ac:dyDescent="0.25">
      <c r="A206" t="s">
        <v>1155</v>
      </c>
      <c r="B206" s="4">
        <f t="shared" si="3"/>
        <v>71607</v>
      </c>
      <c r="C206" t="s">
        <v>1156</v>
      </c>
      <c r="D206" t="s">
        <v>365</v>
      </c>
      <c r="E206" t="s">
        <v>1157</v>
      </c>
      <c r="F206" t="s">
        <v>367</v>
      </c>
      <c r="G206" t="s">
        <v>352</v>
      </c>
      <c r="H206" s="2" t="s">
        <v>373</v>
      </c>
      <c r="I206" t="s">
        <v>379</v>
      </c>
      <c r="K206" s="2" t="s">
        <v>1158</v>
      </c>
      <c r="L206" s="2" t="s">
        <v>30</v>
      </c>
      <c r="M206" s="2" t="s">
        <v>31</v>
      </c>
      <c r="N206" s="2" t="s">
        <v>32</v>
      </c>
      <c r="O206" s="2" t="s">
        <v>1159</v>
      </c>
      <c r="P206" s="2" t="s">
        <v>34</v>
      </c>
      <c r="Q206" t="s">
        <v>1160</v>
      </c>
      <c r="R206" s="2" t="s">
        <v>206</v>
      </c>
      <c r="S206" s="2" t="s">
        <v>1161</v>
      </c>
      <c r="T206" s="2" t="s">
        <v>60</v>
      </c>
    </row>
    <row r="207" spans="1:23" x14ac:dyDescent="0.25">
      <c r="A207" t="s">
        <v>1162</v>
      </c>
      <c r="B207" s="4">
        <f t="shared" si="3"/>
        <v>71616</v>
      </c>
      <c r="C207" t="s">
        <v>1163</v>
      </c>
      <c r="D207" t="s">
        <v>24</v>
      </c>
      <c r="E207" t="s">
        <v>212</v>
      </c>
      <c r="F207">
        <v>2</v>
      </c>
      <c r="G207" t="s">
        <v>352</v>
      </c>
      <c r="H207" s="2" t="s">
        <v>27</v>
      </c>
      <c r="I207" t="s">
        <v>28</v>
      </c>
      <c r="J207" s="2" t="s">
        <v>1164</v>
      </c>
      <c r="L207" s="2" t="s">
        <v>30</v>
      </c>
      <c r="M207" s="2" t="s">
        <v>31</v>
      </c>
      <c r="N207" s="2" t="s">
        <v>32</v>
      </c>
      <c r="O207" s="2" t="s">
        <v>214</v>
      </c>
      <c r="P207" s="2" t="s">
        <v>34</v>
      </c>
      <c r="Q207" t="s">
        <v>46</v>
      </c>
      <c r="R207" s="2" t="s">
        <v>47</v>
      </c>
      <c r="T207" s="2" t="s">
        <v>34</v>
      </c>
      <c r="U207" s="2" t="s">
        <v>48</v>
      </c>
      <c r="V207" s="2" t="s">
        <v>1165</v>
      </c>
      <c r="W207" t="s">
        <v>1166</v>
      </c>
    </row>
    <row r="208" spans="1:23" x14ac:dyDescent="0.25">
      <c r="A208" t="s">
        <v>1167</v>
      </c>
      <c r="B208" s="4">
        <f t="shared" si="3"/>
        <v>71655</v>
      </c>
      <c r="C208" t="s">
        <v>1168</v>
      </c>
      <c r="D208" t="s">
        <v>42</v>
      </c>
      <c r="E208" t="s">
        <v>517</v>
      </c>
      <c r="F208">
        <v>2</v>
      </c>
      <c r="G208" t="s">
        <v>352</v>
      </c>
      <c r="H208" s="2" t="s">
        <v>27</v>
      </c>
      <c r="I208" t="s">
        <v>1169</v>
      </c>
      <c r="J208" s="2" t="s">
        <v>1170</v>
      </c>
      <c r="L208" s="2" t="s">
        <v>30</v>
      </c>
      <c r="M208" s="2" t="s">
        <v>31</v>
      </c>
      <c r="N208" s="2" t="s">
        <v>32</v>
      </c>
      <c r="O208" s="2" t="s">
        <v>1171</v>
      </c>
      <c r="P208" s="2" t="s">
        <v>34</v>
      </c>
      <c r="Q208" t="s">
        <v>35</v>
      </c>
      <c r="R208" s="2" t="s">
        <v>36</v>
      </c>
      <c r="T208" s="2" t="s">
        <v>34</v>
      </c>
      <c r="U208" s="2" t="s">
        <v>37</v>
      </c>
      <c r="V208" s="2" t="s">
        <v>1172</v>
      </c>
      <c r="W208" t="s">
        <v>1173</v>
      </c>
    </row>
    <row r="209" spans="1:23" x14ac:dyDescent="0.25">
      <c r="A209" t="s">
        <v>1174</v>
      </c>
      <c r="B209" s="4">
        <f t="shared" si="3"/>
        <v>71671</v>
      </c>
      <c r="C209" t="s">
        <v>1175</v>
      </c>
      <c r="D209" t="s">
        <v>42</v>
      </c>
      <c r="E209" t="s">
        <v>598</v>
      </c>
      <c r="F209">
        <v>3</v>
      </c>
      <c r="G209" t="s">
        <v>26</v>
      </c>
      <c r="H209" s="2" t="s">
        <v>27</v>
      </c>
      <c r="I209" t="s">
        <v>28</v>
      </c>
      <c r="J209" s="2" t="s">
        <v>1176</v>
      </c>
      <c r="L209" s="2" t="s">
        <v>30</v>
      </c>
      <c r="M209" s="2" t="s">
        <v>31</v>
      </c>
      <c r="N209" s="2" t="s">
        <v>32</v>
      </c>
      <c r="O209" s="2" t="s">
        <v>1177</v>
      </c>
      <c r="P209" s="2" t="s">
        <v>34</v>
      </c>
      <c r="Q209" t="s">
        <v>70</v>
      </c>
      <c r="R209" s="2" t="s">
        <v>71</v>
      </c>
      <c r="T209" s="2" t="s">
        <v>34</v>
      </c>
      <c r="U209" s="2" t="s">
        <v>72</v>
      </c>
      <c r="V209" s="2" t="s">
        <v>1174</v>
      </c>
      <c r="W209" t="s">
        <v>1178</v>
      </c>
    </row>
    <row r="210" spans="1:23" x14ac:dyDescent="0.25">
      <c r="A210" t="s">
        <v>1179</v>
      </c>
      <c r="B210" s="4">
        <f t="shared" si="3"/>
        <v>71682</v>
      </c>
      <c r="C210" t="s">
        <v>1180</v>
      </c>
      <c r="D210" t="s">
        <v>42</v>
      </c>
      <c r="E210" t="s">
        <v>77</v>
      </c>
      <c r="F210">
        <v>3</v>
      </c>
      <c r="G210" t="s">
        <v>26</v>
      </c>
      <c r="H210" s="2" t="s">
        <v>27</v>
      </c>
      <c r="I210" t="s">
        <v>55</v>
      </c>
      <c r="J210" s="2" t="s">
        <v>1181</v>
      </c>
      <c r="L210" s="2" t="s">
        <v>30</v>
      </c>
      <c r="M210" s="2" t="s">
        <v>31</v>
      </c>
      <c r="N210" s="2" t="s">
        <v>32</v>
      </c>
      <c r="O210" s="2" t="s">
        <v>79</v>
      </c>
      <c r="P210" s="2" t="s">
        <v>34</v>
      </c>
      <c r="Q210" t="s">
        <v>80</v>
      </c>
      <c r="R210" s="2" t="s">
        <v>81</v>
      </c>
      <c r="T210" s="2" t="s">
        <v>60</v>
      </c>
    </row>
    <row r="211" spans="1:23" x14ac:dyDescent="0.25">
      <c r="A211" t="s">
        <v>1182</v>
      </c>
      <c r="B211" s="4">
        <f t="shared" si="3"/>
        <v>71704</v>
      </c>
      <c r="C211" t="s">
        <v>1183</v>
      </c>
      <c r="D211" t="s">
        <v>185</v>
      </c>
      <c r="E211" t="s">
        <v>1184</v>
      </c>
      <c r="F211" t="s">
        <v>543</v>
      </c>
      <c r="G211" t="s">
        <v>26</v>
      </c>
      <c r="H211" s="2" t="s">
        <v>27</v>
      </c>
      <c r="I211" t="s">
        <v>28</v>
      </c>
      <c r="J211" s="2" t="s">
        <v>1185</v>
      </c>
      <c r="L211" s="2" t="s">
        <v>30</v>
      </c>
      <c r="M211" s="2" t="s">
        <v>31</v>
      </c>
      <c r="N211" s="2" t="s">
        <v>32</v>
      </c>
      <c r="O211" s="2" t="s">
        <v>525</v>
      </c>
      <c r="P211" s="2" t="s">
        <v>34</v>
      </c>
      <c r="Q211" t="s">
        <v>407</v>
      </c>
      <c r="R211" s="2" t="s">
        <v>408</v>
      </c>
      <c r="T211" s="2" t="s">
        <v>34</v>
      </c>
      <c r="U211" s="2" t="s">
        <v>409</v>
      </c>
      <c r="V211" s="2" t="s">
        <v>1186</v>
      </c>
      <c r="W211" t="s">
        <v>1187</v>
      </c>
    </row>
    <row r="212" spans="1:23" x14ac:dyDescent="0.25">
      <c r="A212" t="s">
        <v>1188</v>
      </c>
      <c r="B212" s="4">
        <f t="shared" si="3"/>
        <v>71706</v>
      </c>
      <c r="C212" t="s">
        <v>1189</v>
      </c>
      <c r="D212" t="s">
        <v>365</v>
      </c>
      <c r="E212" t="s">
        <v>1190</v>
      </c>
      <c r="F212" t="s">
        <v>187</v>
      </c>
      <c r="G212" t="s">
        <v>352</v>
      </c>
      <c r="H212" s="2" t="s">
        <v>27</v>
      </c>
      <c r="I212" t="s">
        <v>28</v>
      </c>
      <c r="J212" s="2" t="s">
        <v>1191</v>
      </c>
      <c r="L212" s="2" t="s">
        <v>30</v>
      </c>
      <c r="M212" s="2" t="s">
        <v>31</v>
      </c>
      <c r="N212" s="2" t="s">
        <v>32</v>
      </c>
      <c r="O212" s="2" t="s">
        <v>525</v>
      </c>
      <c r="P212" s="2" t="s">
        <v>34</v>
      </c>
      <c r="Q212" t="s">
        <v>389</v>
      </c>
      <c r="R212" s="2" t="s">
        <v>206</v>
      </c>
      <c r="S212" s="2" t="s">
        <v>390</v>
      </c>
      <c r="T212" s="2" t="s">
        <v>60</v>
      </c>
    </row>
    <row r="213" spans="1:23" x14ac:dyDescent="0.25">
      <c r="A213" t="s">
        <v>1192</v>
      </c>
      <c r="B213" s="4">
        <f t="shared" si="3"/>
        <v>71709</v>
      </c>
      <c r="C213" t="s">
        <v>1193</v>
      </c>
      <c r="D213" t="s">
        <v>365</v>
      </c>
      <c r="E213" t="s">
        <v>1194</v>
      </c>
      <c r="F213" t="s">
        <v>187</v>
      </c>
      <c r="G213" t="s">
        <v>26</v>
      </c>
      <c r="H213" s="2" t="s">
        <v>373</v>
      </c>
      <c r="I213" t="s">
        <v>28</v>
      </c>
      <c r="K213" s="2" t="s">
        <v>727</v>
      </c>
      <c r="L213" s="2" t="s">
        <v>30</v>
      </c>
      <c r="M213" s="2" t="s">
        <v>31</v>
      </c>
      <c r="N213" s="2" t="s">
        <v>32</v>
      </c>
      <c r="O213" s="2" t="s">
        <v>1195</v>
      </c>
      <c r="P213" s="2" t="s">
        <v>34</v>
      </c>
      <c r="Q213" t="s">
        <v>1196</v>
      </c>
      <c r="R213" s="2" t="s">
        <v>1197</v>
      </c>
      <c r="T213" s="2" t="s">
        <v>34</v>
      </c>
      <c r="U213" s="2" t="s">
        <v>1198</v>
      </c>
      <c r="V213" s="2" t="s">
        <v>1199</v>
      </c>
      <c r="W213" t="s">
        <v>1200</v>
      </c>
    </row>
    <row r="214" spans="1:23" x14ac:dyDescent="0.25">
      <c r="A214" t="s">
        <v>1201</v>
      </c>
      <c r="B214" s="4">
        <f t="shared" si="3"/>
        <v>71716</v>
      </c>
      <c r="C214" t="s">
        <v>1202</v>
      </c>
      <c r="D214" t="s">
        <v>185</v>
      </c>
      <c r="E214" t="s">
        <v>1118</v>
      </c>
      <c r="F214" t="s">
        <v>680</v>
      </c>
      <c r="G214" t="s">
        <v>352</v>
      </c>
      <c r="H214" s="2" t="s">
        <v>27</v>
      </c>
      <c r="I214" t="s">
        <v>28</v>
      </c>
      <c r="J214" s="2" t="s">
        <v>1203</v>
      </c>
      <c r="L214" s="2" t="s">
        <v>30</v>
      </c>
      <c r="M214" s="2" t="s">
        <v>31</v>
      </c>
      <c r="N214" s="2" t="s">
        <v>32</v>
      </c>
      <c r="O214" s="2" t="s">
        <v>1204</v>
      </c>
      <c r="P214" s="2" t="s">
        <v>34</v>
      </c>
      <c r="Q214" t="s">
        <v>446</v>
      </c>
      <c r="R214" s="2" t="s">
        <v>447</v>
      </c>
      <c r="T214" s="2" t="s">
        <v>34</v>
      </c>
      <c r="U214" s="2" t="s">
        <v>448</v>
      </c>
      <c r="V214" s="2" t="s">
        <v>1205</v>
      </c>
      <c r="W214" t="s">
        <v>1206</v>
      </c>
    </row>
    <row r="215" spans="1:23" x14ac:dyDescent="0.25">
      <c r="A215" t="s">
        <v>1207</v>
      </c>
      <c r="B215" s="4">
        <f t="shared" si="3"/>
        <v>71744</v>
      </c>
      <c r="C215" t="s">
        <v>1208</v>
      </c>
      <c r="D215" t="s">
        <v>42</v>
      </c>
      <c r="E215" t="s">
        <v>474</v>
      </c>
      <c r="F215">
        <v>3</v>
      </c>
      <c r="G215" t="s">
        <v>26</v>
      </c>
      <c r="H215" s="2" t="s">
        <v>27</v>
      </c>
      <c r="I215" t="s">
        <v>28</v>
      </c>
      <c r="J215" s="2" t="s">
        <v>1209</v>
      </c>
      <c r="L215" s="2" t="s">
        <v>30</v>
      </c>
      <c r="M215" s="2" t="s">
        <v>31</v>
      </c>
      <c r="N215" s="2" t="s">
        <v>32</v>
      </c>
      <c r="O215" s="2" t="s">
        <v>652</v>
      </c>
      <c r="P215" s="2" t="s">
        <v>34</v>
      </c>
      <c r="Q215" t="s">
        <v>35</v>
      </c>
      <c r="R215" s="2" t="s">
        <v>36</v>
      </c>
      <c r="T215" s="2" t="s">
        <v>34</v>
      </c>
      <c r="U215" s="2" t="s">
        <v>37</v>
      </c>
      <c r="V215" s="2" t="s">
        <v>1210</v>
      </c>
      <c r="W215" t="s">
        <v>1211</v>
      </c>
    </row>
    <row r="216" spans="1:23" x14ac:dyDescent="0.25">
      <c r="A216" t="s">
        <v>1212</v>
      </c>
      <c r="B216" s="4">
        <f t="shared" si="3"/>
        <v>71745</v>
      </c>
      <c r="C216" t="s">
        <v>1213</v>
      </c>
      <c r="D216" t="s">
        <v>42</v>
      </c>
      <c r="E216" t="s">
        <v>273</v>
      </c>
      <c r="F216">
        <v>3</v>
      </c>
      <c r="G216" t="s">
        <v>26</v>
      </c>
      <c r="H216" s="2" t="s">
        <v>27</v>
      </c>
      <c r="I216" t="s">
        <v>28</v>
      </c>
      <c r="J216" s="2" t="s">
        <v>1214</v>
      </c>
      <c r="L216" s="2" t="s">
        <v>30</v>
      </c>
      <c r="M216" s="2" t="s">
        <v>31</v>
      </c>
      <c r="N216" s="2" t="s">
        <v>32</v>
      </c>
      <c r="O216" s="2" t="s">
        <v>1171</v>
      </c>
      <c r="P216" s="2" t="s">
        <v>34</v>
      </c>
      <c r="Q216" t="s">
        <v>35</v>
      </c>
      <c r="R216" s="2" t="s">
        <v>36</v>
      </c>
      <c r="T216" s="2" t="s">
        <v>34</v>
      </c>
      <c r="U216" s="2" t="s">
        <v>37</v>
      </c>
      <c r="V216" s="2" t="s">
        <v>1215</v>
      </c>
      <c r="W216" t="s">
        <v>1216</v>
      </c>
    </row>
    <row r="217" spans="1:23" x14ac:dyDescent="0.25">
      <c r="A217" t="s">
        <v>1217</v>
      </c>
      <c r="B217" s="4">
        <f t="shared" si="3"/>
        <v>71747</v>
      </c>
      <c r="C217" t="s">
        <v>1218</v>
      </c>
      <c r="D217" t="s">
        <v>42</v>
      </c>
      <c r="E217" t="s">
        <v>142</v>
      </c>
      <c r="F217">
        <v>2</v>
      </c>
      <c r="G217" t="s">
        <v>26</v>
      </c>
      <c r="H217" s="2" t="s">
        <v>27</v>
      </c>
      <c r="I217" t="s">
        <v>28</v>
      </c>
      <c r="J217" s="2" t="s">
        <v>1219</v>
      </c>
      <c r="L217" s="2" t="s">
        <v>30</v>
      </c>
      <c r="M217" s="2" t="s">
        <v>31</v>
      </c>
      <c r="N217" s="2" t="s">
        <v>32</v>
      </c>
      <c r="O217" s="2" t="s">
        <v>144</v>
      </c>
      <c r="P217" s="2" t="s">
        <v>34</v>
      </c>
      <c r="Q217" t="s">
        <v>35</v>
      </c>
      <c r="R217" s="2" t="s">
        <v>36</v>
      </c>
      <c r="T217" s="2" t="s">
        <v>34</v>
      </c>
      <c r="U217" s="2" t="s">
        <v>37</v>
      </c>
      <c r="V217" s="2" t="s">
        <v>1220</v>
      </c>
      <c r="W217" t="s">
        <v>1221</v>
      </c>
    </row>
    <row r="218" spans="1:23" x14ac:dyDescent="0.25">
      <c r="A218" t="s">
        <v>1222</v>
      </c>
      <c r="B218" s="4">
        <f t="shared" si="3"/>
        <v>71750</v>
      </c>
      <c r="C218" t="s">
        <v>1223</v>
      </c>
      <c r="D218" t="s">
        <v>185</v>
      </c>
      <c r="E218" t="s">
        <v>1124</v>
      </c>
      <c r="F218" t="s">
        <v>680</v>
      </c>
      <c r="G218" t="s">
        <v>352</v>
      </c>
      <c r="H218" s="2" t="s">
        <v>27</v>
      </c>
      <c r="I218" t="s">
        <v>28</v>
      </c>
      <c r="J218" s="2" t="s">
        <v>1224</v>
      </c>
      <c r="L218" s="2" t="s">
        <v>30</v>
      </c>
      <c r="M218" s="2" t="s">
        <v>31</v>
      </c>
      <c r="N218" s="2" t="s">
        <v>32</v>
      </c>
      <c r="O218" s="2" t="s">
        <v>525</v>
      </c>
      <c r="P218" s="2" t="s">
        <v>34</v>
      </c>
      <c r="Q218" t="s">
        <v>1225</v>
      </c>
      <c r="R218" s="2" t="s">
        <v>1226</v>
      </c>
      <c r="T218" s="2" t="s">
        <v>34</v>
      </c>
      <c r="U218" s="2" t="s">
        <v>1227</v>
      </c>
      <c r="V218" s="2" t="s">
        <v>1228</v>
      </c>
      <c r="W218" t="s">
        <v>1229</v>
      </c>
    </row>
    <row r="219" spans="1:23" x14ac:dyDescent="0.25">
      <c r="A219" t="s">
        <v>1230</v>
      </c>
      <c r="B219" s="4">
        <f t="shared" si="3"/>
        <v>71757</v>
      </c>
      <c r="C219" t="s">
        <v>1231</v>
      </c>
      <c r="D219" t="s">
        <v>185</v>
      </c>
      <c r="E219" t="s">
        <v>1102</v>
      </c>
      <c r="F219" t="s">
        <v>543</v>
      </c>
      <c r="G219" t="s">
        <v>352</v>
      </c>
      <c r="H219" s="2" t="s">
        <v>373</v>
      </c>
      <c r="I219" t="s">
        <v>379</v>
      </c>
      <c r="K219" s="2" t="s">
        <v>1232</v>
      </c>
      <c r="L219" s="2" t="s">
        <v>30</v>
      </c>
      <c r="M219" s="2" t="s">
        <v>31</v>
      </c>
      <c r="N219" s="2" t="s">
        <v>32</v>
      </c>
      <c r="O219" s="2" t="s">
        <v>1233</v>
      </c>
      <c r="P219" s="2" t="s">
        <v>34</v>
      </c>
      <c r="Q219" t="s">
        <v>1105</v>
      </c>
      <c r="R219" s="2" t="s">
        <v>206</v>
      </c>
      <c r="S219" s="2" t="s">
        <v>1106</v>
      </c>
      <c r="T219" s="2" t="s">
        <v>60</v>
      </c>
    </row>
    <row r="220" spans="1:23" x14ac:dyDescent="0.25">
      <c r="A220" t="s">
        <v>1234</v>
      </c>
      <c r="B220" s="4">
        <f t="shared" si="3"/>
        <v>71773</v>
      </c>
      <c r="C220" t="s">
        <v>1235</v>
      </c>
      <c r="D220" t="s">
        <v>365</v>
      </c>
      <c r="E220" t="s">
        <v>1157</v>
      </c>
      <c r="F220" t="s">
        <v>367</v>
      </c>
      <c r="G220" t="s">
        <v>352</v>
      </c>
      <c r="H220" s="2" t="s">
        <v>27</v>
      </c>
      <c r="I220" t="s">
        <v>379</v>
      </c>
      <c r="J220" s="2" t="s">
        <v>1209</v>
      </c>
      <c r="L220" s="2" t="s">
        <v>30</v>
      </c>
      <c r="M220" s="2" t="s">
        <v>31</v>
      </c>
      <c r="N220" s="2" t="s">
        <v>32</v>
      </c>
      <c r="O220" s="2" t="s">
        <v>525</v>
      </c>
      <c r="P220" s="2" t="s">
        <v>34</v>
      </c>
      <c r="Q220" t="s">
        <v>1236</v>
      </c>
      <c r="R220" s="2" t="s">
        <v>206</v>
      </c>
      <c r="S220" s="2" t="s">
        <v>1237</v>
      </c>
      <c r="T220" s="2" t="s">
        <v>60</v>
      </c>
    </row>
    <row r="221" spans="1:23" x14ac:dyDescent="0.25">
      <c r="A221" t="s">
        <v>1238</v>
      </c>
      <c r="B221" s="4">
        <f t="shared" si="3"/>
        <v>71814</v>
      </c>
      <c r="C221" t="s">
        <v>1239</v>
      </c>
      <c r="D221" t="s">
        <v>365</v>
      </c>
      <c r="E221" t="s">
        <v>1240</v>
      </c>
      <c r="F221" t="s">
        <v>367</v>
      </c>
      <c r="G221" t="s">
        <v>26</v>
      </c>
      <c r="H221" s="2" t="s">
        <v>27</v>
      </c>
      <c r="I221" t="s">
        <v>28</v>
      </c>
      <c r="J221" s="2" t="s">
        <v>1241</v>
      </c>
      <c r="L221" s="2" t="s">
        <v>30</v>
      </c>
      <c r="M221" s="2" t="s">
        <v>31</v>
      </c>
      <c r="N221" s="2" t="s">
        <v>32</v>
      </c>
      <c r="O221" s="2" t="s">
        <v>525</v>
      </c>
      <c r="P221" s="2" t="s">
        <v>34</v>
      </c>
      <c r="Q221" t="s">
        <v>1242</v>
      </c>
      <c r="R221" s="2" t="s">
        <v>1243</v>
      </c>
      <c r="T221" s="2" t="s">
        <v>60</v>
      </c>
    </row>
    <row r="222" spans="1:23" x14ac:dyDescent="0.25">
      <c r="A222" t="s">
        <v>1244</v>
      </c>
      <c r="B222" s="4">
        <f t="shared" si="3"/>
        <v>71825</v>
      </c>
      <c r="C222" t="s">
        <v>1245</v>
      </c>
      <c r="D222" t="s">
        <v>53</v>
      </c>
      <c r="E222" t="s">
        <v>774</v>
      </c>
      <c r="F222">
        <v>2</v>
      </c>
      <c r="G222" t="s">
        <v>352</v>
      </c>
      <c r="H222" s="2" t="s">
        <v>27</v>
      </c>
      <c r="I222" t="s">
        <v>28</v>
      </c>
      <c r="J222" s="2" t="s">
        <v>1246</v>
      </c>
      <c r="L222" s="2" t="s">
        <v>30</v>
      </c>
      <c r="M222" s="2" t="s">
        <v>31</v>
      </c>
      <c r="N222" s="2" t="s">
        <v>32</v>
      </c>
      <c r="O222" s="2" t="s">
        <v>180</v>
      </c>
      <c r="P222" s="2" t="s">
        <v>34</v>
      </c>
      <c r="Q222" t="s">
        <v>1247</v>
      </c>
      <c r="R222" s="2" t="s">
        <v>1248</v>
      </c>
      <c r="T222" s="2" t="s">
        <v>34</v>
      </c>
      <c r="U222" s="2" t="s">
        <v>1249</v>
      </c>
      <c r="V222" s="2" t="s">
        <v>1250</v>
      </c>
      <c r="W222" t="s">
        <v>1251</v>
      </c>
    </row>
    <row r="223" spans="1:23" x14ac:dyDescent="0.25">
      <c r="A223" t="s">
        <v>1252</v>
      </c>
      <c r="B223" s="4">
        <f t="shared" si="3"/>
        <v>71841</v>
      </c>
      <c r="C223" t="s">
        <v>1253</v>
      </c>
      <c r="D223" t="s">
        <v>24</v>
      </c>
      <c r="E223" t="s">
        <v>655</v>
      </c>
      <c r="F223">
        <v>2</v>
      </c>
      <c r="G223" t="s">
        <v>26</v>
      </c>
      <c r="H223" s="2" t="s">
        <v>27</v>
      </c>
      <c r="I223" t="s">
        <v>55</v>
      </c>
      <c r="J223" s="2" t="s">
        <v>1254</v>
      </c>
      <c r="L223" s="2" t="s">
        <v>30</v>
      </c>
      <c r="M223" s="2" t="s">
        <v>31</v>
      </c>
      <c r="N223" s="2" t="s">
        <v>32</v>
      </c>
      <c r="O223" s="2" t="s">
        <v>1255</v>
      </c>
      <c r="P223" s="2" t="s">
        <v>34</v>
      </c>
      <c r="Q223" t="s">
        <v>1256</v>
      </c>
      <c r="R223" s="2" t="s">
        <v>206</v>
      </c>
      <c r="S223" s="2" t="s">
        <v>1257</v>
      </c>
      <c r="T223" s="2" t="s">
        <v>60</v>
      </c>
    </row>
    <row r="224" spans="1:23" x14ac:dyDescent="0.25">
      <c r="A224" t="s">
        <v>1258</v>
      </c>
      <c r="B224" s="4">
        <f t="shared" si="3"/>
        <v>71862</v>
      </c>
      <c r="C224" t="s">
        <v>1259</v>
      </c>
      <c r="D224" t="s">
        <v>365</v>
      </c>
      <c r="E224" t="s">
        <v>714</v>
      </c>
      <c r="F224" t="s">
        <v>367</v>
      </c>
      <c r="G224" t="s">
        <v>352</v>
      </c>
      <c r="H224" s="2" t="s">
        <v>27</v>
      </c>
      <c r="I224" t="s">
        <v>379</v>
      </c>
      <c r="J224" s="2" t="s">
        <v>1260</v>
      </c>
      <c r="L224" s="2" t="s">
        <v>30</v>
      </c>
      <c r="M224" s="2" t="s">
        <v>31</v>
      </c>
      <c r="N224" s="2" t="s">
        <v>32</v>
      </c>
      <c r="O224" s="2" t="s">
        <v>525</v>
      </c>
      <c r="P224" s="2" t="s">
        <v>34</v>
      </c>
      <c r="Q224" t="s">
        <v>758</v>
      </c>
      <c r="R224" s="2" t="s">
        <v>206</v>
      </c>
      <c r="S224" s="2" t="s">
        <v>759</v>
      </c>
      <c r="T224" s="2" t="s">
        <v>60</v>
      </c>
    </row>
    <row r="225" spans="1:23" x14ac:dyDescent="0.25">
      <c r="A225" t="s">
        <v>1261</v>
      </c>
      <c r="B225" s="4">
        <f t="shared" si="3"/>
        <v>71887</v>
      </c>
      <c r="C225" t="s">
        <v>1262</v>
      </c>
      <c r="D225" t="s">
        <v>185</v>
      </c>
      <c r="E225" t="s">
        <v>1124</v>
      </c>
      <c r="F225" t="s">
        <v>680</v>
      </c>
      <c r="G225" t="s">
        <v>352</v>
      </c>
      <c r="H225" s="2" t="s">
        <v>373</v>
      </c>
      <c r="I225" t="s">
        <v>379</v>
      </c>
      <c r="K225" s="2" t="s">
        <v>1263</v>
      </c>
      <c r="L225" s="2" t="s">
        <v>30</v>
      </c>
      <c r="M225" s="2" t="s">
        <v>31</v>
      </c>
      <c r="N225" s="2" t="s">
        <v>32</v>
      </c>
      <c r="O225" s="2" t="s">
        <v>1264</v>
      </c>
      <c r="P225" s="2" t="s">
        <v>34</v>
      </c>
      <c r="Q225" t="s">
        <v>1265</v>
      </c>
      <c r="R225" s="2" t="s">
        <v>206</v>
      </c>
      <c r="S225" s="2" t="s">
        <v>1266</v>
      </c>
      <c r="T225" s="2" t="s">
        <v>60</v>
      </c>
    </row>
    <row r="226" spans="1:23" x14ac:dyDescent="0.25">
      <c r="A226" t="s">
        <v>1267</v>
      </c>
      <c r="B226" s="4">
        <f t="shared" si="3"/>
        <v>71888</v>
      </c>
      <c r="C226" t="s">
        <v>1268</v>
      </c>
      <c r="D226" t="s">
        <v>1269</v>
      </c>
      <c r="E226" t="s">
        <v>1270</v>
      </c>
      <c r="F226">
        <v>2</v>
      </c>
      <c r="G226" t="s">
        <v>352</v>
      </c>
      <c r="H226" s="2" t="s">
        <v>27</v>
      </c>
      <c r="I226" t="s">
        <v>379</v>
      </c>
      <c r="J226" s="2" t="s">
        <v>428</v>
      </c>
      <c r="L226" s="2" t="s">
        <v>30</v>
      </c>
      <c r="M226" s="2" t="s">
        <v>31</v>
      </c>
      <c r="N226" s="2" t="s">
        <v>32</v>
      </c>
      <c r="O226" s="2" t="s">
        <v>100</v>
      </c>
      <c r="P226" s="2" t="s">
        <v>60</v>
      </c>
      <c r="R226" s="2" t="s">
        <v>206</v>
      </c>
      <c r="T226" s="2" t="s">
        <v>60</v>
      </c>
    </row>
    <row r="227" spans="1:23" x14ac:dyDescent="0.25">
      <c r="A227" t="s">
        <v>1271</v>
      </c>
      <c r="B227" s="4">
        <f t="shared" si="3"/>
        <v>71889</v>
      </c>
      <c r="C227" t="s">
        <v>1272</v>
      </c>
      <c r="D227" t="s">
        <v>185</v>
      </c>
      <c r="E227" t="s">
        <v>969</v>
      </c>
      <c r="F227" t="s">
        <v>543</v>
      </c>
      <c r="G227" t="s">
        <v>352</v>
      </c>
      <c r="H227" s="2" t="s">
        <v>373</v>
      </c>
      <c r="I227" t="s">
        <v>379</v>
      </c>
      <c r="K227" s="2" t="s">
        <v>1273</v>
      </c>
      <c r="L227" s="2" t="s">
        <v>30</v>
      </c>
      <c r="M227" s="2" t="s">
        <v>31</v>
      </c>
      <c r="N227" s="2" t="s">
        <v>32</v>
      </c>
      <c r="O227" s="2" t="s">
        <v>1274</v>
      </c>
      <c r="P227" s="2" t="s">
        <v>34</v>
      </c>
      <c r="Q227" t="s">
        <v>526</v>
      </c>
      <c r="R227" s="2" t="s">
        <v>206</v>
      </c>
      <c r="S227" s="2" t="s">
        <v>527</v>
      </c>
      <c r="T227" s="2" t="s">
        <v>60</v>
      </c>
    </row>
    <row r="228" spans="1:23" x14ac:dyDescent="0.25">
      <c r="A228" t="s">
        <v>1275</v>
      </c>
      <c r="B228" s="4">
        <f t="shared" si="3"/>
        <v>71963</v>
      </c>
      <c r="C228" t="s">
        <v>1276</v>
      </c>
      <c r="D228" t="s">
        <v>279</v>
      </c>
      <c r="E228" t="s">
        <v>1277</v>
      </c>
      <c r="F228">
        <v>1</v>
      </c>
      <c r="G228" t="s">
        <v>352</v>
      </c>
      <c r="H228" s="2" t="s">
        <v>27</v>
      </c>
      <c r="I228" t="s">
        <v>379</v>
      </c>
      <c r="J228" s="2" t="s">
        <v>1278</v>
      </c>
      <c r="L228" s="2" t="s">
        <v>30</v>
      </c>
      <c r="M228" s="2" t="s">
        <v>31</v>
      </c>
      <c r="N228" s="2" t="s">
        <v>32</v>
      </c>
      <c r="O228" s="2" t="s">
        <v>525</v>
      </c>
      <c r="P228" s="2" t="s">
        <v>34</v>
      </c>
      <c r="Q228" t="s">
        <v>1279</v>
      </c>
      <c r="R228" s="2" t="s">
        <v>206</v>
      </c>
      <c r="S228" s="2" t="s">
        <v>1280</v>
      </c>
      <c r="T228" s="2" t="s">
        <v>60</v>
      </c>
    </row>
    <row r="229" spans="1:23" x14ac:dyDescent="0.25">
      <c r="A229" t="s">
        <v>1281</v>
      </c>
      <c r="B229" s="4">
        <f t="shared" si="3"/>
        <v>71964</v>
      </c>
      <c r="C229" t="s">
        <v>1282</v>
      </c>
      <c r="D229" t="s">
        <v>365</v>
      </c>
      <c r="E229" t="s">
        <v>1283</v>
      </c>
      <c r="F229" t="s">
        <v>187</v>
      </c>
      <c r="G229" t="s">
        <v>352</v>
      </c>
      <c r="H229" s="2" t="s">
        <v>27</v>
      </c>
      <c r="I229" t="s">
        <v>28</v>
      </c>
      <c r="J229" s="2" t="s">
        <v>1284</v>
      </c>
      <c r="L229" s="2" t="s">
        <v>30</v>
      </c>
      <c r="M229" s="2" t="s">
        <v>31</v>
      </c>
      <c r="N229" s="2" t="s">
        <v>32</v>
      </c>
      <c r="O229" s="2" t="s">
        <v>1285</v>
      </c>
      <c r="P229" s="2" t="s">
        <v>34</v>
      </c>
      <c r="Q229" t="s">
        <v>1286</v>
      </c>
      <c r="R229" s="2" t="s">
        <v>206</v>
      </c>
      <c r="S229" s="2" t="s">
        <v>1287</v>
      </c>
      <c r="T229" s="2" t="s">
        <v>34</v>
      </c>
      <c r="U229" s="2" t="s">
        <v>1288</v>
      </c>
      <c r="V229" s="2" t="s">
        <v>1289</v>
      </c>
      <c r="W229" t="s">
        <v>1290</v>
      </c>
    </row>
    <row r="230" spans="1:23" x14ac:dyDescent="0.25">
      <c r="A230" t="s">
        <v>1291</v>
      </c>
      <c r="B230" s="4">
        <f t="shared" si="3"/>
        <v>71987</v>
      </c>
      <c r="C230" t="s">
        <v>1292</v>
      </c>
      <c r="D230" t="s">
        <v>42</v>
      </c>
      <c r="E230" t="s">
        <v>502</v>
      </c>
      <c r="F230">
        <v>3</v>
      </c>
      <c r="G230" t="s">
        <v>26</v>
      </c>
      <c r="H230" s="2" t="s">
        <v>27</v>
      </c>
      <c r="I230" t="s">
        <v>55</v>
      </c>
      <c r="J230" s="2" t="s">
        <v>1293</v>
      </c>
      <c r="L230" s="2" t="s">
        <v>30</v>
      </c>
      <c r="M230" s="2" t="s">
        <v>31</v>
      </c>
      <c r="N230" s="2" t="s">
        <v>32</v>
      </c>
      <c r="O230" s="2" t="s">
        <v>79</v>
      </c>
      <c r="P230" s="2" t="s">
        <v>34</v>
      </c>
      <c r="Q230" t="s">
        <v>203</v>
      </c>
      <c r="R230" s="2" t="s">
        <v>204</v>
      </c>
      <c r="T230" s="2" t="s">
        <v>34</v>
      </c>
      <c r="U230" s="2" t="s">
        <v>205</v>
      </c>
      <c r="V230" s="2" t="s">
        <v>206</v>
      </c>
    </row>
    <row r="231" spans="1:23" x14ac:dyDescent="0.25">
      <c r="A231" t="s">
        <v>1294</v>
      </c>
      <c r="B231" s="4">
        <f t="shared" si="3"/>
        <v>71993</v>
      </c>
      <c r="C231" t="s">
        <v>1295</v>
      </c>
      <c r="D231" t="s">
        <v>24</v>
      </c>
      <c r="E231" t="s">
        <v>655</v>
      </c>
      <c r="F231">
        <v>2</v>
      </c>
      <c r="G231" t="s">
        <v>26</v>
      </c>
      <c r="H231" s="2" t="s">
        <v>27</v>
      </c>
      <c r="I231" t="s">
        <v>55</v>
      </c>
      <c r="J231" s="2" t="s">
        <v>1296</v>
      </c>
      <c r="L231" s="2" t="s">
        <v>30</v>
      </c>
      <c r="M231" s="2" t="s">
        <v>31</v>
      </c>
      <c r="N231" s="2" t="s">
        <v>32</v>
      </c>
      <c r="O231" s="2" t="s">
        <v>657</v>
      </c>
      <c r="P231" s="2" t="s">
        <v>34</v>
      </c>
      <c r="Q231" t="s">
        <v>46</v>
      </c>
      <c r="R231" s="2" t="s">
        <v>47</v>
      </c>
      <c r="T231" s="2" t="s">
        <v>34</v>
      </c>
      <c r="U231" s="2" t="s">
        <v>48</v>
      </c>
      <c r="V231" s="2" t="s">
        <v>1297</v>
      </c>
      <c r="W231" t="s">
        <v>1298</v>
      </c>
    </row>
    <row r="232" spans="1:23" x14ac:dyDescent="0.25">
      <c r="A232" t="s">
        <v>1299</v>
      </c>
      <c r="B232" s="4">
        <f t="shared" si="3"/>
        <v>72004</v>
      </c>
      <c r="C232" t="s">
        <v>1300</v>
      </c>
      <c r="D232" t="s">
        <v>42</v>
      </c>
      <c r="E232" t="s">
        <v>43</v>
      </c>
      <c r="F232">
        <v>3</v>
      </c>
      <c r="G232" t="s">
        <v>26</v>
      </c>
      <c r="H232" s="2" t="s">
        <v>27</v>
      </c>
      <c r="I232" t="s">
        <v>55</v>
      </c>
      <c r="J232" s="2" t="s">
        <v>1301</v>
      </c>
      <c r="L232" s="2" t="s">
        <v>30</v>
      </c>
      <c r="M232" s="2" t="s">
        <v>31</v>
      </c>
      <c r="N232" s="2" t="s">
        <v>32</v>
      </c>
      <c r="O232" s="2" t="s">
        <v>92</v>
      </c>
      <c r="P232" s="2" t="s">
        <v>34</v>
      </c>
      <c r="Q232" t="s">
        <v>86</v>
      </c>
      <c r="R232" s="2" t="s">
        <v>87</v>
      </c>
      <c r="T232" s="2" t="s">
        <v>60</v>
      </c>
    </row>
    <row r="233" spans="1:23" x14ac:dyDescent="0.25">
      <c r="A233" t="s">
        <v>1302</v>
      </c>
      <c r="B233" s="4">
        <f t="shared" si="3"/>
        <v>72026</v>
      </c>
      <c r="C233" t="s">
        <v>1303</v>
      </c>
      <c r="D233" t="s">
        <v>24</v>
      </c>
      <c r="E233" t="s">
        <v>655</v>
      </c>
      <c r="F233">
        <v>2</v>
      </c>
      <c r="G233" t="s">
        <v>26</v>
      </c>
      <c r="H233" s="2" t="s">
        <v>27</v>
      </c>
      <c r="I233" t="s">
        <v>55</v>
      </c>
      <c r="J233" s="2" t="s">
        <v>1246</v>
      </c>
      <c r="L233" s="2" t="s">
        <v>30</v>
      </c>
      <c r="M233" s="2" t="s">
        <v>31</v>
      </c>
      <c r="N233" s="2" t="s">
        <v>32</v>
      </c>
      <c r="O233" s="2" t="s">
        <v>173</v>
      </c>
      <c r="P233" s="2" t="s">
        <v>34</v>
      </c>
      <c r="Q233" t="s">
        <v>174</v>
      </c>
      <c r="R233" s="2" t="s">
        <v>175</v>
      </c>
      <c r="T233" s="2" t="s">
        <v>60</v>
      </c>
    </row>
    <row r="234" spans="1:23" x14ac:dyDescent="0.25">
      <c r="A234" t="s">
        <v>1304</v>
      </c>
      <c r="B234" s="4">
        <f t="shared" si="3"/>
        <v>72035</v>
      </c>
      <c r="C234" t="s">
        <v>1305</v>
      </c>
      <c r="D234" t="s">
        <v>365</v>
      </c>
      <c r="E234" t="s">
        <v>1306</v>
      </c>
      <c r="F234" t="s">
        <v>187</v>
      </c>
      <c r="G234" t="s">
        <v>352</v>
      </c>
      <c r="H234" s="2" t="s">
        <v>373</v>
      </c>
      <c r="I234" t="s">
        <v>379</v>
      </c>
      <c r="K234" s="2" t="s">
        <v>1307</v>
      </c>
      <c r="L234" s="2" t="s">
        <v>30</v>
      </c>
      <c r="M234" s="2" t="s">
        <v>31</v>
      </c>
      <c r="N234" s="2" t="s">
        <v>32</v>
      </c>
      <c r="O234" s="2" t="s">
        <v>1274</v>
      </c>
      <c r="P234" s="2" t="s">
        <v>34</v>
      </c>
      <c r="Q234" t="s">
        <v>1308</v>
      </c>
      <c r="R234" s="2" t="s">
        <v>206</v>
      </c>
      <c r="S234" s="2" t="s">
        <v>1309</v>
      </c>
      <c r="T234" s="2" t="s">
        <v>60</v>
      </c>
    </row>
    <row r="235" spans="1:23" x14ac:dyDescent="0.25">
      <c r="A235" t="s">
        <v>1310</v>
      </c>
      <c r="B235" s="4">
        <f t="shared" si="3"/>
        <v>72080</v>
      </c>
      <c r="C235" t="s">
        <v>1311</v>
      </c>
      <c r="D235" t="s">
        <v>42</v>
      </c>
      <c r="E235" t="s">
        <v>1024</v>
      </c>
      <c r="F235">
        <v>3</v>
      </c>
      <c r="G235" t="s">
        <v>352</v>
      </c>
      <c r="H235" s="2" t="s">
        <v>27</v>
      </c>
      <c r="I235" t="s">
        <v>379</v>
      </c>
      <c r="J235" s="2" t="s">
        <v>1312</v>
      </c>
      <c r="L235" s="2" t="s">
        <v>30</v>
      </c>
      <c r="M235" s="2" t="s">
        <v>31</v>
      </c>
      <c r="N235" s="2" t="s">
        <v>32</v>
      </c>
      <c r="O235" s="2" t="s">
        <v>897</v>
      </c>
      <c r="P235" s="2" t="s">
        <v>34</v>
      </c>
      <c r="Q235" t="s">
        <v>1313</v>
      </c>
      <c r="R235" s="2" t="s">
        <v>1314</v>
      </c>
      <c r="T235" s="2" t="s">
        <v>60</v>
      </c>
    </row>
    <row r="236" spans="1:23" x14ac:dyDescent="0.25">
      <c r="A236" t="s">
        <v>1315</v>
      </c>
      <c r="B236" s="4">
        <f t="shared" si="3"/>
        <v>72103</v>
      </c>
      <c r="C236" t="s">
        <v>1316</v>
      </c>
      <c r="D236" t="s">
        <v>365</v>
      </c>
      <c r="E236" t="s">
        <v>714</v>
      </c>
      <c r="F236" t="s">
        <v>367</v>
      </c>
      <c r="G236" t="s">
        <v>352</v>
      </c>
      <c r="H236" s="2" t="s">
        <v>373</v>
      </c>
      <c r="I236" t="s">
        <v>379</v>
      </c>
      <c r="K236" s="2" t="s">
        <v>727</v>
      </c>
      <c r="L236" s="2" t="s">
        <v>30</v>
      </c>
      <c r="M236" s="2" t="s">
        <v>31</v>
      </c>
      <c r="N236" s="2" t="s">
        <v>32</v>
      </c>
      <c r="O236" s="2" t="s">
        <v>1317</v>
      </c>
      <c r="P236" s="2" t="s">
        <v>34</v>
      </c>
      <c r="Q236" t="s">
        <v>1318</v>
      </c>
      <c r="R236" s="2" t="s">
        <v>206</v>
      </c>
      <c r="S236" s="2" t="s">
        <v>1319</v>
      </c>
      <c r="T236" s="2" t="s">
        <v>60</v>
      </c>
    </row>
    <row r="237" spans="1:23" x14ac:dyDescent="0.25">
      <c r="A237" t="s">
        <v>1320</v>
      </c>
      <c r="B237" s="4">
        <f t="shared" si="3"/>
        <v>72131</v>
      </c>
      <c r="C237" t="s">
        <v>1321</v>
      </c>
      <c r="D237" t="s">
        <v>365</v>
      </c>
      <c r="E237" t="s">
        <v>378</v>
      </c>
      <c r="F237" t="s">
        <v>187</v>
      </c>
      <c r="G237" t="s">
        <v>352</v>
      </c>
      <c r="H237" s="2" t="s">
        <v>27</v>
      </c>
      <c r="I237" t="s">
        <v>379</v>
      </c>
      <c r="J237" s="2" t="s">
        <v>1322</v>
      </c>
      <c r="L237" s="2" t="s">
        <v>30</v>
      </c>
      <c r="M237" s="2" t="s">
        <v>31</v>
      </c>
      <c r="N237" s="2" t="s">
        <v>32</v>
      </c>
      <c r="O237" s="2" t="s">
        <v>1323</v>
      </c>
      <c r="P237" s="2" t="s">
        <v>34</v>
      </c>
      <c r="Q237" t="s">
        <v>1324</v>
      </c>
      <c r="R237" s="2" t="s">
        <v>206</v>
      </c>
      <c r="S237" s="2" t="s">
        <v>1325</v>
      </c>
      <c r="T237" s="2" t="s">
        <v>60</v>
      </c>
    </row>
    <row r="238" spans="1:23" x14ac:dyDescent="0.25">
      <c r="A238" t="s">
        <v>1326</v>
      </c>
      <c r="B238" s="4">
        <f t="shared" si="3"/>
        <v>72135</v>
      </c>
      <c r="C238" t="s">
        <v>1327</v>
      </c>
      <c r="D238" t="s">
        <v>1149</v>
      </c>
      <c r="E238" t="s">
        <v>1150</v>
      </c>
      <c r="F238" t="s">
        <v>680</v>
      </c>
      <c r="G238" t="s">
        <v>352</v>
      </c>
      <c r="H238" s="2" t="s">
        <v>373</v>
      </c>
      <c r="I238" t="s">
        <v>379</v>
      </c>
      <c r="K238" s="2" t="s">
        <v>1328</v>
      </c>
      <c r="L238" s="2" t="s">
        <v>30</v>
      </c>
      <c r="M238" s="2" t="s">
        <v>31</v>
      </c>
      <c r="N238" s="2" t="s">
        <v>32</v>
      </c>
      <c r="O238" s="2" t="s">
        <v>1329</v>
      </c>
      <c r="P238" s="2" t="s">
        <v>34</v>
      </c>
      <c r="Q238" t="s">
        <v>1330</v>
      </c>
      <c r="R238" s="2" t="s">
        <v>206</v>
      </c>
      <c r="S238" s="2" t="s">
        <v>1331</v>
      </c>
      <c r="T238" s="2" t="s">
        <v>60</v>
      </c>
    </row>
    <row r="239" spans="1:23" x14ac:dyDescent="0.25">
      <c r="A239" t="s">
        <v>1332</v>
      </c>
      <c r="B239" s="4">
        <f t="shared" si="3"/>
        <v>72137</v>
      </c>
      <c r="C239" t="s">
        <v>1333</v>
      </c>
      <c r="D239" t="s">
        <v>1149</v>
      </c>
      <c r="E239" t="s">
        <v>1334</v>
      </c>
      <c r="F239" t="s">
        <v>543</v>
      </c>
      <c r="G239" t="s">
        <v>352</v>
      </c>
      <c r="H239" s="2" t="s">
        <v>373</v>
      </c>
      <c r="I239" t="s">
        <v>379</v>
      </c>
      <c r="K239" s="2" t="s">
        <v>1335</v>
      </c>
      <c r="L239" s="2" t="s">
        <v>30</v>
      </c>
      <c r="M239" s="2" t="s">
        <v>31</v>
      </c>
      <c r="N239" s="2" t="s">
        <v>32</v>
      </c>
      <c r="O239" s="2" t="s">
        <v>1336</v>
      </c>
      <c r="P239" s="2" t="s">
        <v>34</v>
      </c>
      <c r="Q239" t="s">
        <v>1337</v>
      </c>
      <c r="R239" s="2" t="s">
        <v>206</v>
      </c>
      <c r="S239" s="2" t="s">
        <v>1338</v>
      </c>
      <c r="T239" s="2" t="s">
        <v>60</v>
      </c>
    </row>
    <row r="240" spans="1:23" x14ac:dyDescent="0.25">
      <c r="A240" t="s">
        <v>1339</v>
      </c>
      <c r="B240" s="4">
        <f t="shared" si="3"/>
        <v>72138</v>
      </c>
      <c r="C240" t="s">
        <v>1340</v>
      </c>
      <c r="D240" t="s">
        <v>185</v>
      </c>
      <c r="E240" t="s">
        <v>1341</v>
      </c>
      <c r="F240" t="s">
        <v>543</v>
      </c>
      <c r="G240" t="s">
        <v>352</v>
      </c>
      <c r="H240" s="2" t="s">
        <v>27</v>
      </c>
      <c r="I240" t="s">
        <v>379</v>
      </c>
      <c r="J240" s="2" t="s">
        <v>1342</v>
      </c>
      <c r="L240" s="2" t="s">
        <v>30</v>
      </c>
      <c r="M240" s="2" t="s">
        <v>31</v>
      </c>
      <c r="N240" s="2" t="s">
        <v>32</v>
      </c>
      <c r="O240" s="2" t="s">
        <v>1343</v>
      </c>
      <c r="P240" s="2" t="s">
        <v>34</v>
      </c>
      <c r="Q240" t="s">
        <v>1153</v>
      </c>
      <c r="R240" s="2" t="s">
        <v>1154</v>
      </c>
      <c r="T240" s="2" t="s">
        <v>60</v>
      </c>
    </row>
    <row r="241" spans="1:23" x14ac:dyDescent="0.25">
      <c r="A241" t="s">
        <v>1344</v>
      </c>
      <c r="B241" s="4">
        <f t="shared" si="3"/>
        <v>72158</v>
      </c>
      <c r="C241" t="s">
        <v>1345</v>
      </c>
      <c r="D241" t="s">
        <v>279</v>
      </c>
      <c r="E241" t="s">
        <v>414</v>
      </c>
      <c r="F241">
        <v>1</v>
      </c>
      <c r="G241" t="s">
        <v>352</v>
      </c>
      <c r="H241" s="2" t="s">
        <v>27</v>
      </c>
      <c r="I241" t="s">
        <v>379</v>
      </c>
      <c r="J241" s="2" t="s">
        <v>1346</v>
      </c>
      <c r="L241" s="2" t="s">
        <v>30</v>
      </c>
      <c r="M241" s="2" t="s">
        <v>31</v>
      </c>
      <c r="N241" s="2" t="s">
        <v>32</v>
      </c>
      <c r="O241" s="2" t="s">
        <v>1323</v>
      </c>
      <c r="P241" s="2" t="s">
        <v>34</v>
      </c>
      <c r="Q241" t="s">
        <v>1347</v>
      </c>
      <c r="R241" s="2" t="s">
        <v>206</v>
      </c>
      <c r="S241" s="2" t="s">
        <v>1348</v>
      </c>
      <c r="T241" s="2" t="s">
        <v>60</v>
      </c>
    </row>
    <row r="242" spans="1:23" x14ac:dyDescent="0.25">
      <c r="A242" t="s">
        <v>1349</v>
      </c>
      <c r="B242" s="4">
        <f t="shared" si="3"/>
        <v>72172</v>
      </c>
      <c r="C242" t="s">
        <v>1350</v>
      </c>
      <c r="D242" t="s">
        <v>279</v>
      </c>
      <c r="E242" t="s">
        <v>25</v>
      </c>
      <c r="F242">
        <v>1</v>
      </c>
      <c r="G242" t="s">
        <v>352</v>
      </c>
      <c r="H242" s="2" t="s">
        <v>27</v>
      </c>
      <c r="I242" t="s">
        <v>379</v>
      </c>
      <c r="J242" s="2" t="s">
        <v>1351</v>
      </c>
      <c r="L242" s="2" t="s">
        <v>30</v>
      </c>
      <c r="M242" s="2" t="s">
        <v>31</v>
      </c>
      <c r="N242" s="2" t="s">
        <v>32</v>
      </c>
      <c r="O242" s="2" t="s">
        <v>1323</v>
      </c>
      <c r="P242" s="2" t="s">
        <v>34</v>
      </c>
      <c r="Q242" t="s">
        <v>1352</v>
      </c>
      <c r="R242" s="2" t="s">
        <v>206</v>
      </c>
      <c r="S242" s="2" t="s">
        <v>1353</v>
      </c>
      <c r="T242" s="2" t="s">
        <v>60</v>
      </c>
    </row>
    <row r="243" spans="1:23" x14ac:dyDescent="0.25">
      <c r="A243" t="s">
        <v>1354</v>
      </c>
      <c r="B243" s="4">
        <f t="shared" si="3"/>
        <v>72185</v>
      </c>
      <c r="C243" t="s">
        <v>1355</v>
      </c>
      <c r="D243" t="s">
        <v>365</v>
      </c>
      <c r="E243" t="s">
        <v>523</v>
      </c>
      <c r="F243" t="s">
        <v>367</v>
      </c>
      <c r="G243" t="s">
        <v>352</v>
      </c>
      <c r="H243" s="2" t="s">
        <v>27</v>
      </c>
      <c r="I243" t="s">
        <v>379</v>
      </c>
      <c r="J243" s="2" t="s">
        <v>1356</v>
      </c>
      <c r="L243" s="2" t="s">
        <v>30</v>
      </c>
      <c r="M243" s="2" t="s">
        <v>31</v>
      </c>
      <c r="N243" s="2" t="s">
        <v>32</v>
      </c>
      <c r="O243" s="2" t="s">
        <v>1323</v>
      </c>
      <c r="P243" s="2" t="s">
        <v>34</v>
      </c>
      <c r="Q243" t="s">
        <v>1357</v>
      </c>
      <c r="R243" s="2" t="s">
        <v>206</v>
      </c>
      <c r="S243" s="2" t="s">
        <v>1358</v>
      </c>
      <c r="T243" s="2" t="s">
        <v>60</v>
      </c>
    </row>
    <row r="244" spans="1:23" x14ac:dyDescent="0.25">
      <c r="A244" t="s">
        <v>1359</v>
      </c>
      <c r="B244" s="4">
        <f t="shared" si="3"/>
        <v>72187</v>
      </c>
      <c r="C244" t="s">
        <v>1360</v>
      </c>
      <c r="D244" t="s">
        <v>185</v>
      </c>
      <c r="E244" t="s">
        <v>1136</v>
      </c>
      <c r="F244" t="s">
        <v>543</v>
      </c>
      <c r="G244" t="s">
        <v>26</v>
      </c>
      <c r="H244" s="2" t="s">
        <v>27</v>
      </c>
      <c r="I244" t="s">
        <v>28</v>
      </c>
      <c r="J244" s="2" t="s">
        <v>1361</v>
      </c>
      <c r="L244" s="2" t="s">
        <v>30</v>
      </c>
      <c r="M244" s="2" t="s">
        <v>31</v>
      </c>
      <c r="N244" s="2" t="s">
        <v>32</v>
      </c>
      <c r="O244" s="2" t="s">
        <v>1323</v>
      </c>
      <c r="P244" s="2" t="s">
        <v>34</v>
      </c>
      <c r="Q244" t="s">
        <v>407</v>
      </c>
      <c r="R244" s="2" t="s">
        <v>408</v>
      </c>
      <c r="T244" s="2" t="s">
        <v>34</v>
      </c>
      <c r="U244" s="2" t="s">
        <v>409</v>
      </c>
      <c r="V244" s="2" t="s">
        <v>1362</v>
      </c>
      <c r="W244" t="s">
        <v>1363</v>
      </c>
    </row>
    <row r="245" spans="1:23" x14ac:dyDescent="0.25">
      <c r="A245" t="s">
        <v>1364</v>
      </c>
      <c r="B245" s="4">
        <f t="shared" si="3"/>
        <v>72190</v>
      </c>
      <c r="C245" t="s">
        <v>1365</v>
      </c>
      <c r="D245" t="s">
        <v>120</v>
      </c>
      <c r="E245" t="s">
        <v>219</v>
      </c>
      <c r="F245">
        <v>1</v>
      </c>
      <c r="G245" t="s">
        <v>26</v>
      </c>
      <c r="H245" s="2" t="s">
        <v>27</v>
      </c>
      <c r="I245" t="s">
        <v>55</v>
      </c>
      <c r="J245" s="2" t="s">
        <v>1366</v>
      </c>
      <c r="L245" s="2" t="s">
        <v>30</v>
      </c>
      <c r="M245" s="2" t="s">
        <v>31</v>
      </c>
      <c r="N245" s="2" t="s">
        <v>32</v>
      </c>
      <c r="O245" s="2" t="s">
        <v>1367</v>
      </c>
      <c r="P245" s="2" t="s">
        <v>34</v>
      </c>
      <c r="Q245" t="s">
        <v>1368</v>
      </c>
      <c r="R245" s="2" t="s">
        <v>1369</v>
      </c>
      <c r="T245" s="2" t="s">
        <v>60</v>
      </c>
    </row>
    <row r="246" spans="1:23" x14ac:dyDescent="0.25">
      <c r="A246" t="s">
        <v>1370</v>
      </c>
      <c r="B246" s="4">
        <f t="shared" si="3"/>
        <v>72206</v>
      </c>
      <c r="C246" t="s">
        <v>1371</v>
      </c>
      <c r="D246" t="s">
        <v>185</v>
      </c>
      <c r="E246" t="s">
        <v>1372</v>
      </c>
      <c r="F246" t="s">
        <v>543</v>
      </c>
      <c r="G246" t="s">
        <v>26</v>
      </c>
      <c r="H246" s="2" t="s">
        <v>27</v>
      </c>
      <c r="I246" t="s">
        <v>28</v>
      </c>
      <c r="J246" s="2" t="s">
        <v>1373</v>
      </c>
      <c r="L246" s="2" t="s">
        <v>30</v>
      </c>
      <c r="M246" s="2" t="s">
        <v>31</v>
      </c>
      <c r="N246" s="2" t="s">
        <v>32</v>
      </c>
      <c r="O246" s="2" t="s">
        <v>1204</v>
      </c>
      <c r="P246" s="2" t="s">
        <v>34</v>
      </c>
      <c r="Q246" t="s">
        <v>1374</v>
      </c>
      <c r="R246" s="2" t="s">
        <v>206</v>
      </c>
      <c r="S246" s="2" t="s">
        <v>1375</v>
      </c>
      <c r="T246" s="2" t="s">
        <v>34</v>
      </c>
      <c r="U246" s="2" t="s">
        <v>1376</v>
      </c>
      <c r="V246" s="2" t="s">
        <v>1377</v>
      </c>
      <c r="W246" t="s">
        <v>1378</v>
      </c>
    </row>
    <row r="247" spans="1:23" x14ac:dyDescent="0.25">
      <c r="A247" t="s">
        <v>1379</v>
      </c>
      <c r="B247" s="4">
        <f t="shared" si="3"/>
        <v>72210</v>
      </c>
      <c r="C247" t="s">
        <v>1380</v>
      </c>
      <c r="D247" t="s">
        <v>149</v>
      </c>
      <c r="E247" t="s">
        <v>150</v>
      </c>
      <c r="F247">
        <v>3</v>
      </c>
      <c r="G247" t="s">
        <v>26</v>
      </c>
      <c r="H247" s="2" t="s">
        <v>27</v>
      </c>
      <c r="I247" t="s">
        <v>55</v>
      </c>
      <c r="J247" s="2" t="s">
        <v>1381</v>
      </c>
      <c r="L247" s="2" t="s">
        <v>30</v>
      </c>
      <c r="M247" s="2" t="s">
        <v>31</v>
      </c>
      <c r="N247" s="2" t="s">
        <v>32</v>
      </c>
      <c r="O247" s="2" t="s">
        <v>711</v>
      </c>
      <c r="P247" s="2" t="s">
        <v>34</v>
      </c>
      <c r="Q247" t="s">
        <v>794</v>
      </c>
      <c r="R247" s="2" t="s">
        <v>795</v>
      </c>
      <c r="T247" s="2" t="s">
        <v>60</v>
      </c>
    </row>
    <row r="248" spans="1:23" x14ac:dyDescent="0.25">
      <c r="A248" t="s">
        <v>1382</v>
      </c>
      <c r="B248" s="4">
        <f t="shared" si="3"/>
        <v>72222</v>
      </c>
      <c r="C248" t="s">
        <v>1383</v>
      </c>
      <c r="D248" t="s">
        <v>365</v>
      </c>
      <c r="E248" t="s">
        <v>878</v>
      </c>
      <c r="F248" t="s">
        <v>367</v>
      </c>
      <c r="G248" t="s">
        <v>352</v>
      </c>
      <c r="H248" s="2" t="s">
        <v>373</v>
      </c>
      <c r="I248" t="s">
        <v>379</v>
      </c>
      <c r="K248" s="2" t="s">
        <v>727</v>
      </c>
      <c r="L248" s="2" t="s">
        <v>30</v>
      </c>
      <c r="M248" s="2" t="s">
        <v>31</v>
      </c>
      <c r="N248" s="2" t="s">
        <v>32</v>
      </c>
      <c r="O248" s="2" t="s">
        <v>1384</v>
      </c>
      <c r="P248" s="2" t="s">
        <v>34</v>
      </c>
      <c r="Q248" t="s">
        <v>1357</v>
      </c>
      <c r="R248" s="2" t="s">
        <v>206</v>
      </c>
      <c r="S248" s="2" t="s">
        <v>1358</v>
      </c>
      <c r="T248" s="2" t="s">
        <v>60</v>
      </c>
    </row>
    <row r="249" spans="1:23" x14ac:dyDescent="0.25">
      <c r="A249" t="s">
        <v>1385</v>
      </c>
      <c r="B249" s="4">
        <f t="shared" si="3"/>
        <v>72248</v>
      </c>
      <c r="C249" t="s">
        <v>1386</v>
      </c>
      <c r="D249" t="s">
        <v>365</v>
      </c>
      <c r="E249" t="s">
        <v>1387</v>
      </c>
      <c r="F249" t="s">
        <v>367</v>
      </c>
      <c r="G249" t="s">
        <v>352</v>
      </c>
      <c r="H249" s="2" t="s">
        <v>27</v>
      </c>
      <c r="I249" t="s">
        <v>28</v>
      </c>
      <c r="J249" s="2" t="s">
        <v>1388</v>
      </c>
      <c r="L249" s="2" t="s">
        <v>30</v>
      </c>
      <c r="M249" s="2" t="s">
        <v>31</v>
      </c>
      <c r="N249" s="2" t="s">
        <v>32</v>
      </c>
      <c r="O249" s="2" t="s">
        <v>1323</v>
      </c>
      <c r="P249" s="2" t="s">
        <v>34</v>
      </c>
      <c r="Q249" t="s">
        <v>1389</v>
      </c>
      <c r="R249" s="2" t="s">
        <v>206</v>
      </c>
      <c r="S249" s="2" t="s">
        <v>1390</v>
      </c>
      <c r="T249" s="2" t="s">
        <v>34</v>
      </c>
      <c r="U249" s="2" t="s">
        <v>1391</v>
      </c>
      <c r="V249" s="2" t="s">
        <v>1392</v>
      </c>
      <c r="W249" t="s">
        <v>1393</v>
      </c>
    </row>
    <row r="250" spans="1:23" x14ac:dyDescent="0.25">
      <c r="A250" t="s">
        <v>1394</v>
      </c>
      <c r="B250" s="4">
        <f t="shared" si="3"/>
        <v>72249</v>
      </c>
      <c r="C250" t="s">
        <v>1395</v>
      </c>
      <c r="D250" t="s">
        <v>365</v>
      </c>
      <c r="E250" t="s">
        <v>1396</v>
      </c>
      <c r="F250" t="s">
        <v>367</v>
      </c>
      <c r="G250" t="s">
        <v>352</v>
      </c>
      <c r="H250" s="2" t="s">
        <v>27</v>
      </c>
      <c r="I250" t="s">
        <v>379</v>
      </c>
      <c r="J250" s="2" t="s">
        <v>1397</v>
      </c>
      <c r="L250" s="2" t="s">
        <v>30</v>
      </c>
      <c r="M250" s="2" t="s">
        <v>31</v>
      </c>
      <c r="N250" s="2" t="s">
        <v>32</v>
      </c>
      <c r="O250" s="2" t="s">
        <v>1323</v>
      </c>
      <c r="P250" s="2" t="s">
        <v>34</v>
      </c>
      <c r="Q250" t="s">
        <v>1236</v>
      </c>
      <c r="R250" s="2" t="s">
        <v>206</v>
      </c>
      <c r="S250" s="2" t="s">
        <v>1237</v>
      </c>
      <c r="T250" s="2" t="s">
        <v>60</v>
      </c>
    </row>
    <row r="251" spans="1:23" x14ac:dyDescent="0.25">
      <c r="A251" t="s">
        <v>1398</v>
      </c>
      <c r="B251" s="4">
        <f t="shared" si="3"/>
        <v>72252</v>
      </c>
      <c r="C251" t="s">
        <v>1399</v>
      </c>
      <c r="D251" t="s">
        <v>365</v>
      </c>
      <c r="E251" t="s">
        <v>1306</v>
      </c>
      <c r="F251" t="s">
        <v>187</v>
      </c>
      <c r="G251" t="s">
        <v>352</v>
      </c>
      <c r="H251" s="2" t="s">
        <v>373</v>
      </c>
      <c r="I251" t="s">
        <v>379</v>
      </c>
      <c r="K251" s="2" t="s">
        <v>1400</v>
      </c>
      <c r="L251" s="2" t="s">
        <v>30</v>
      </c>
      <c r="M251" s="2" t="s">
        <v>31</v>
      </c>
      <c r="N251" s="2" t="s">
        <v>32</v>
      </c>
      <c r="O251" s="2" t="s">
        <v>1401</v>
      </c>
      <c r="P251" s="2" t="s">
        <v>34</v>
      </c>
      <c r="Q251" t="s">
        <v>1308</v>
      </c>
      <c r="R251" s="2" t="s">
        <v>206</v>
      </c>
      <c r="S251" s="2" t="s">
        <v>1309</v>
      </c>
      <c r="T251" s="2" t="s">
        <v>60</v>
      </c>
    </row>
    <row r="252" spans="1:23" x14ac:dyDescent="0.25">
      <c r="A252" t="s">
        <v>1402</v>
      </c>
      <c r="B252" s="4">
        <f t="shared" si="3"/>
        <v>72263</v>
      </c>
      <c r="C252" t="s">
        <v>1403</v>
      </c>
      <c r="D252" t="s">
        <v>149</v>
      </c>
      <c r="E252" t="s">
        <v>150</v>
      </c>
      <c r="F252">
        <v>3</v>
      </c>
      <c r="G252" t="s">
        <v>26</v>
      </c>
      <c r="H252" s="2" t="s">
        <v>27</v>
      </c>
      <c r="I252" t="s">
        <v>55</v>
      </c>
      <c r="J252" s="2" t="s">
        <v>1404</v>
      </c>
      <c r="L252" s="2" t="s">
        <v>30</v>
      </c>
      <c r="M252" s="2" t="s">
        <v>31</v>
      </c>
      <c r="N252" s="2" t="s">
        <v>32</v>
      </c>
      <c r="O252" s="2" t="s">
        <v>198</v>
      </c>
      <c r="P252" s="2" t="s">
        <v>34</v>
      </c>
      <c r="Q252" t="s">
        <v>153</v>
      </c>
      <c r="R252" s="2" t="s">
        <v>154</v>
      </c>
      <c r="T252" s="2" t="s">
        <v>60</v>
      </c>
    </row>
    <row r="253" spans="1:23" x14ac:dyDescent="0.25">
      <c r="A253" t="s">
        <v>1405</v>
      </c>
      <c r="B253" s="4">
        <f t="shared" si="3"/>
        <v>72266</v>
      </c>
      <c r="C253" t="s">
        <v>1406</v>
      </c>
      <c r="D253" t="s">
        <v>365</v>
      </c>
      <c r="E253" t="s">
        <v>619</v>
      </c>
      <c r="F253" t="s">
        <v>367</v>
      </c>
      <c r="G253" t="s">
        <v>352</v>
      </c>
      <c r="H253" s="2" t="s">
        <v>27</v>
      </c>
      <c r="I253" t="s">
        <v>379</v>
      </c>
      <c r="J253" s="2" t="s">
        <v>1407</v>
      </c>
      <c r="L253" s="2" t="s">
        <v>30</v>
      </c>
      <c r="M253" s="2" t="s">
        <v>31</v>
      </c>
      <c r="N253" s="2" t="s">
        <v>32</v>
      </c>
      <c r="O253" s="2" t="s">
        <v>1323</v>
      </c>
      <c r="P253" s="2" t="s">
        <v>34</v>
      </c>
      <c r="Q253" t="s">
        <v>1408</v>
      </c>
      <c r="R253" s="2" t="s">
        <v>206</v>
      </c>
      <c r="S253" s="2" t="s">
        <v>1409</v>
      </c>
      <c r="T253" s="2" t="s">
        <v>60</v>
      </c>
    </row>
    <row r="254" spans="1:23" x14ac:dyDescent="0.25">
      <c r="A254" t="s">
        <v>1410</v>
      </c>
      <c r="B254" s="4">
        <f t="shared" si="3"/>
        <v>72295</v>
      </c>
      <c r="C254" t="s">
        <v>1411</v>
      </c>
      <c r="D254" t="s">
        <v>365</v>
      </c>
      <c r="E254" t="s">
        <v>1412</v>
      </c>
      <c r="F254" t="s">
        <v>367</v>
      </c>
      <c r="G254" t="s">
        <v>352</v>
      </c>
      <c r="H254" s="2" t="s">
        <v>27</v>
      </c>
      <c r="I254" t="s">
        <v>379</v>
      </c>
      <c r="J254" s="2" t="s">
        <v>1413</v>
      </c>
      <c r="L254" s="2" t="s">
        <v>30</v>
      </c>
      <c r="M254" s="2" t="s">
        <v>31</v>
      </c>
      <c r="N254" s="2" t="s">
        <v>32</v>
      </c>
      <c r="O254" s="2" t="s">
        <v>1323</v>
      </c>
      <c r="P254" s="2" t="s">
        <v>34</v>
      </c>
      <c r="Q254" t="s">
        <v>880</v>
      </c>
      <c r="R254" s="2" t="s">
        <v>881</v>
      </c>
      <c r="T254" s="2" t="s">
        <v>60</v>
      </c>
    </row>
    <row r="255" spans="1:23" x14ac:dyDescent="0.25">
      <c r="A255" t="s">
        <v>1414</v>
      </c>
      <c r="B255" s="4">
        <f t="shared" si="3"/>
        <v>72307</v>
      </c>
      <c r="C255" t="s">
        <v>1415</v>
      </c>
      <c r="D255" t="s">
        <v>185</v>
      </c>
      <c r="E255" t="s">
        <v>1416</v>
      </c>
      <c r="F255" t="s">
        <v>187</v>
      </c>
      <c r="G255" t="s">
        <v>352</v>
      </c>
      <c r="H255" s="2" t="s">
        <v>27</v>
      </c>
      <c r="I255" t="s">
        <v>379</v>
      </c>
      <c r="J255" s="2" t="s">
        <v>1417</v>
      </c>
      <c r="L255" s="2" t="s">
        <v>30</v>
      </c>
      <c r="M255" s="2" t="s">
        <v>31</v>
      </c>
      <c r="N255" s="2" t="s">
        <v>32</v>
      </c>
      <c r="O255" s="2" t="s">
        <v>1323</v>
      </c>
      <c r="P255" s="2" t="s">
        <v>34</v>
      </c>
      <c r="Q255" t="s">
        <v>1418</v>
      </c>
      <c r="R255" s="2" t="s">
        <v>1419</v>
      </c>
      <c r="T255" s="2" t="s">
        <v>60</v>
      </c>
    </row>
    <row r="256" spans="1:23" x14ac:dyDescent="0.25">
      <c r="A256" t="s">
        <v>1420</v>
      </c>
      <c r="B256" s="4">
        <f t="shared" si="3"/>
        <v>72309</v>
      </c>
      <c r="C256" t="s">
        <v>1421</v>
      </c>
      <c r="D256" t="s">
        <v>365</v>
      </c>
      <c r="E256" t="s">
        <v>1396</v>
      </c>
      <c r="F256" t="s">
        <v>367</v>
      </c>
      <c r="G256" t="s">
        <v>352</v>
      </c>
      <c r="H256" s="2" t="s">
        <v>373</v>
      </c>
      <c r="I256" t="s">
        <v>379</v>
      </c>
      <c r="K256" s="2" t="s">
        <v>1158</v>
      </c>
      <c r="L256" s="2" t="s">
        <v>30</v>
      </c>
      <c r="M256" s="2" t="s">
        <v>31</v>
      </c>
      <c r="N256" s="2" t="s">
        <v>32</v>
      </c>
      <c r="O256" s="2" t="s">
        <v>1422</v>
      </c>
      <c r="P256" s="2" t="s">
        <v>34</v>
      </c>
      <c r="Q256" t="s">
        <v>1423</v>
      </c>
      <c r="R256" s="2" t="s">
        <v>206</v>
      </c>
      <c r="S256" s="2" t="s">
        <v>1424</v>
      </c>
      <c r="T256" s="2" t="s">
        <v>60</v>
      </c>
    </row>
    <row r="257" spans="1:23" x14ac:dyDescent="0.25">
      <c r="A257" t="s">
        <v>1425</v>
      </c>
      <c r="B257" s="4">
        <f t="shared" si="3"/>
        <v>72319</v>
      </c>
      <c r="C257" t="s">
        <v>1426</v>
      </c>
      <c r="D257" t="s">
        <v>1149</v>
      </c>
      <c r="E257" t="s">
        <v>1427</v>
      </c>
      <c r="F257" t="s">
        <v>543</v>
      </c>
      <c r="G257" t="s">
        <v>352</v>
      </c>
      <c r="H257" s="2" t="s">
        <v>27</v>
      </c>
      <c r="I257" t="s">
        <v>379</v>
      </c>
      <c r="J257" s="2" t="s">
        <v>1428</v>
      </c>
      <c r="L257" s="2" t="s">
        <v>30</v>
      </c>
      <c r="M257" s="2" t="s">
        <v>31</v>
      </c>
      <c r="N257" s="2" t="s">
        <v>32</v>
      </c>
      <c r="O257" s="2" t="s">
        <v>1429</v>
      </c>
      <c r="P257" s="2" t="s">
        <v>34</v>
      </c>
      <c r="Q257" t="s">
        <v>1430</v>
      </c>
      <c r="R257" s="2" t="s">
        <v>206</v>
      </c>
      <c r="S257" s="2" t="s">
        <v>1431</v>
      </c>
      <c r="T257" s="2" t="s">
        <v>60</v>
      </c>
    </row>
    <row r="258" spans="1:23" x14ac:dyDescent="0.25">
      <c r="A258" t="s">
        <v>1432</v>
      </c>
      <c r="B258" s="4">
        <f t="shared" si="3"/>
        <v>72337</v>
      </c>
      <c r="C258" t="s">
        <v>1433</v>
      </c>
      <c r="D258" t="s">
        <v>279</v>
      </c>
      <c r="E258" t="s">
        <v>1277</v>
      </c>
      <c r="F258">
        <v>1</v>
      </c>
      <c r="G258" t="s">
        <v>352</v>
      </c>
      <c r="H258" s="2" t="s">
        <v>27</v>
      </c>
      <c r="I258" t="s">
        <v>379</v>
      </c>
      <c r="J258" s="2" t="s">
        <v>1434</v>
      </c>
      <c r="L258" s="2" t="s">
        <v>30</v>
      </c>
      <c r="M258" s="2" t="s">
        <v>31</v>
      </c>
      <c r="N258" s="2" t="s">
        <v>32</v>
      </c>
      <c r="O258" s="2" t="s">
        <v>1323</v>
      </c>
      <c r="P258" s="2" t="s">
        <v>34</v>
      </c>
      <c r="Q258" t="s">
        <v>1279</v>
      </c>
      <c r="R258" s="2" t="s">
        <v>206</v>
      </c>
      <c r="S258" s="2" t="s">
        <v>1280</v>
      </c>
      <c r="T258" s="2" t="s">
        <v>60</v>
      </c>
    </row>
    <row r="259" spans="1:23" x14ac:dyDescent="0.25">
      <c r="A259" t="s">
        <v>1435</v>
      </c>
      <c r="B259" s="4">
        <f t="shared" ref="B259:B322" si="4">REPLACE(A259, 1, 1, "")+0</f>
        <v>72367</v>
      </c>
      <c r="C259" t="s">
        <v>1436</v>
      </c>
      <c r="D259" t="s">
        <v>279</v>
      </c>
      <c r="E259" t="s">
        <v>557</v>
      </c>
      <c r="F259" t="s">
        <v>543</v>
      </c>
      <c r="G259" t="s">
        <v>26</v>
      </c>
      <c r="H259" s="2" t="s">
        <v>27</v>
      </c>
      <c r="I259" t="s">
        <v>28</v>
      </c>
      <c r="J259" s="2" t="s">
        <v>1437</v>
      </c>
      <c r="L259" s="2" t="s">
        <v>30</v>
      </c>
      <c r="M259" s="2" t="s">
        <v>31</v>
      </c>
      <c r="N259" s="2" t="s">
        <v>32</v>
      </c>
      <c r="O259" s="2" t="s">
        <v>1323</v>
      </c>
      <c r="P259" s="2" t="s">
        <v>34</v>
      </c>
      <c r="Q259" t="s">
        <v>307</v>
      </c>
      <c r="R259" s="2" t="s">
        <v>308</v>
      </c>
      <c r="T259" s="2" t="s">
        <v>34</v>
      </c>
      <c r="U259" s="2" t="s">
        <v>309</v>
      </c>
      <c r="V259" s="2" t="s">
        <v>1435</v>
      </c>
      <c r="W259" t="s">
        <v>1438</v>
      </c>
    </row>
    <row r="260" spans="1:23" x14ac:dyDescent="0.25">
      <c r="A260" t="s">
        <v>1439</v>
      </c>
      <c r="B260" s="4">
        <f t="shared" si="4"/>
        <v>72377</v>
      </c>
      <c r="C260" t="s">
        <v>1440</v>
      </c>
      <c r="D260" t="s">
        <v>365</v>
      </c>
      <c r="E260" t="s">
        <v>878</v>
      </c>
      <c r="F260" t="s">
        <v>367</v>
      </c>
      <c r="G260" t="s">
        <v>352</v>
      </c>
      <c r="H260" s="2" t="s">
        <v>27</v>
      </c>
      <c r="I260" t="s">
        <v>379</v>
      </c>
      <c r="J260" s="2" t="s">
        <v>1441</v>
      </c>
      <c r="L260" s="2" t="s">
        <v>30</v>
      </c>
      <c r="M260" s="2" t="s">
        <v>31</v>
      </c>
      <c r="N260" s="2" t="s">
        <v>32</v>
      </c>
      <c r="O260" s="2" t="s">
        <v>1323</v>
      </c>
      <c r="P260" s="2" t="s">
        <v>34</v>
      </c>
      <c r="Q260" t="s">
        <v>1442</v>
      </c>
      <c r="R260" s="2" t="s">
        <v>206</v>
      </c>
      <c r="S260" s="2" t="s">
        <v>1443</v>
      </c>
      <c r="T260" s="2" t="s">
        <v>60</v>
      </c>
    </row>
    <row r="261" spans="1:23" x14ac:dyDescent="0.25">
      <c r="A261" t="s">
        <v>1444</v>
      </c>
      <c r="B261" s="4">
        <f t="shared" si="4"/>
        <v>72382</v>
      </c>
      <c r="C261" t="s">
        <v>1445</v>
      </c>
      <c r="D261" t="s">
        <v>365</v>
      </c>
      <c r="E261" t="s">
        <v>366</v>
      </c>
      <c r="F261" t="s">
        <v>367</v>
      </c>
      <c r="G261" t="s">
        <v>26</v>
      </c>
      <c r="H261" s="2" t="s">
        <v>27</v>
      </c>
      <c r="I261" t="s">
        <v>28</v>
      </c>
      <c r="J261" s="2" t="s">
        <v>1446</v>
      </c>
      <c r="L261" s="2" t="s">
        <v>30</v>
      </c>
      <c r="M261" s="2" t="s">
        <v>31</v>
      </c>
      <c r="N261" s="2" t="s">
        <v>32</v>
      </c>
      <c r="O261" s="2" t="s">
        <v>1323</v>
      </c>
      <c r="P261" s="2" t="s">
        <v>34</v>
      </c>
      <c r="Q261" t="s">
        <v>1447</v>
      </c>
      <c r="R261" s="2" t="s">
        <v>1448</v>
      </c>
      <c r="T261" s="2" t="s">
        <v>34</v>
      </c>
      <c r="U261" s="2" t="s">
        <v>1449</v>
      </c>
      <c r="V261" s="2" t="s">
        <v>1450</v>
      </c>
      <c r="W261" t="s">
        <v>1451</v>
      </c>
    </row>
    <row r="262" spans="1:23" x14ac:dyDescent="0.25">
      <c r="A262" t="s">
        <v>1452</v>
      </c>
      <c r="B262" s="4">
        <f t="shared" si="4"/>
        <v>72395</v>
      </c>
      <c r="C262" t="s">
        <v>1453</v>
      </c>
      <c r="D262" t="s">
        <v>365</v>
      </c>
      <c r="E262" t="s">
        <v>774</v>
      </c>
      <c r="F262" t="s">
        <v>680</v>
      </c>
      <c r="G262" t="s">
        <v>26</v>
      </c>
      <c r="H262" s="2" t="s">
        <v>27</v>
      </c>
      <c r="I262" t="s">
        <v>28</v>
      </c>
      <c r="J262" s="2" t="s">
        <v>1454</v>
      </c>
      <c r="L262" s="2" t="s">
        <v>30</v>
      </c>
      <c r="M262" s="2" t="s">
        <v>31</v>
      </c>
      <c r="N262" s="2" t="s">
        <v>32</v>
      </c>
      <c r="O262" s="2" t="s">
        <v>1323</v>
      </c>
      <c r="P262" s="2" t="s">
        <v>34</v>
      </c>
      <c r="Q262" t="s">
        <v>1455</v>
      </c>
      <c r="R262" s="2" t="s">
        <v>1456</v>
      </c>
      <c r="T262" s="2" t="s">
        <v>60</v>
      </c>
    </row>
    <row r="263" spans="1:23" x14ac:dyDescent="0.25">
      <c r="A263" t="s">
        <v>1457</v>
      </c>
      <c r="B263" s="4">
        <f t="shared" si="4"/>
        <v>72405</v>
      </c>
      <c r="C263" t="s">
        <v>1458</v>
      </c>
      <c r="D263" t="s">
        <v>42</v>
      </c>
      <c r="E263" t="s">
        <v>90</v>
      </c>
      <c r="F263">
        <v>3</v>
      </c>
      <c r="G263" t="s">
        <v>26</v>
      </c>
      <c r="H263" s="2" t="s">
        <v>27</v>
      </c>
      <c r="I263" t="s">
        <v>55</v>
      </c>
      <c r="J263" s="2" t="s">
        <v>1459</v>
      </c>
      <c r="L263" s="2" t="s">
        <v>30</v>
      </c>
      <c r="M263" s="2" t="s">
        <v>31</v>
      </c>
      <c r="N263" s="2" t="s">
        <v>32</v>
      </c>
      <c r="O263" s="2" t="s">
        <v>85</v>
      </c>
      <c r="P263" s="2" t="s">
        <v>34</v>
      </c>
      <c r="Q263" t="s">
        <v>86</v>
      </c>
      <c r="R263" s="2" t="s">
        <v>87</v>
      </c>
      <c r="T263" s="2" t="s">
        <v>60</v>
      </c>
    </row>
    <row r="264" spans="1:23" x14ac:dyDescent="0.25">
      <c r="A264" t="s">
        <v>1460</v>
      </c>
      <c r="B264" s="4">
        <f t="shared" si="4"/>
        <v>72428</v>
      </c>
      <c r="C264" t="s">
        <v>244</v>
      </c>
      <c r="D264" t="s">
        <v>245</v>
      </c>
      <c r="E264" t="s">
        <v>246</v>
      </c>
      <c r="F264">
        <v>2</v>
      </c>
      <c r="G264" t="s">
        <v>352</v>
      </c>
      <c r="H264" s="2" t="s">
        <v>27</v>
      </c>
      <c r="I264" t="s">
        <v>379</v>
      </c>
      <c r="J264" s="2" t="s">
        <v>1461</v>
      </c>
      <c r="L264" s="2" t="s">
        <v>30</v>
      </c>
      <c r="M264" s="2" t="s">
        <v>31</v>
      </c>
      <c r="N264" s="2" t="s">
        <v>32</v>
      </c>
      <c r="O264" s="2" t="s">
        <v>248</v>
      </c>
      <c r="P264" s="2" t="s">
        <v>34</v>
      </c>
      <c r="Q264" t="s">
        <v>249</v>
      </c>
      <c r="R264" s="2" t="s">
        <v>206</v>
      </c>
      <c r="S264" s="2" t="s">
        <v>250</v>
      </c>
      <c r="T264" s="2" t="s">
        <v>60</v>
      </c>
    </row>
    <row r="265" spans="1:23" x14ac:dyDescent="0.25">
      <c r="A265" t="s">
        <v>1462</v>
      </c>
      <c r="B265" s="4">
        <f t="shared" si="4"/>
        <v>72451</v>
      </c>
      <c r="C265" t="s">
        <v>1463</v>
      </c>
      <c r="D265" t="s">
        <v>365</v>
      </c>
      <c r="E265" t="s">
        <v>1464</v>
      </c>
      <c r="F265" t="s">
        <v>367</v>
      </c>
      <c r="G265" t="s">
        <v>352</v>
      </c>
      <c r="H265" s="2" t="s">
        <v>27</v>
      </c>
      <c r="I265" t="s">
        <v>379</v>
      </c>
      <c r="J265" s="2" t="s">
        <v>1465</v>
      </c>
      <c r="L265" s="2" t="s">
        <v>30</v>
      </c>
      <c r="M265" s="2" t="s">
        <v>31</v>
      </c>
      <c r="N265" s="2" t="s">
        <v>32</v>
      </c>
      <c r="O265" s="2" t="s">
        <v>1323</v>
      </c>
      <c r="P265" s="2" t="s">
        <v>34</v>
      </c>
      <c r="Q265" t="s">
        <v>1466</v>
      </c>
      <c r="R265" s="2" t="s">
        <v>1467</v>
      </c>
      <c r="T265" s="2" t="s">
        <v>60</v>
      </c>
    </row>
    <row r="266" spans="1:23" x14ac:dyDescent="0.25">
      <c r="A266" t="s">
        <v>1468</v>
      </c>
      <c r="B266" s="4">
        <f t="shared" si="4"/>
        <v>72457</v>
      </c>
      <c r="C266" t="s">
        <v>1469</v>
      </c>
      <c r="D266" t="s">
        <v>365</v>
      </c>
      <c r="E266" t="s">
        <v>1157</v>
      </c>
      <c r="F266" t="s">
        <v>367</v>
      </c>
      <c r="G266" t="s">
        <v>352</v>
      </c>
      <c r="H266" s="2" t="s">
        <v>373</v>
      </c>
      <c r="I266" t="s">
        <v>379</v>
      </c>
      <c r="K266" s="2" t="s">
        <v>1470</v>
      </c>
      <c r="L266" s="2" t="s">
        <v>30</v>
      </c>
      <c r="M266" s="2" t="s">
        <v>31</v>
      </c>
      <c r="N266" s="2" t="s">
        <v>32</v>
      </c>
      <c r="O266" s="2" t="s">
        <v>1471</v>
      </c>
      <c r="P266" s="2" t="s">
        <v>34</v>
      </c>
      <c r="Q266" t="s">
        <v>1472</v>
      </c>
      <c r="R266" s="2" t="s">
        <v>206</v>
      </c>
      <c r="S266" s="2" t="s">
        <v>1473</v>
      </c>
      <c r="T266" s="2" t="s">
        <v>60</v>
      </c>
    </row>
    <row r="267" spans="1:23" x14ac:dyDescent="0.25">
      <c r="A267" t="s">
        <v>1474</v>
      </c>
      <c r="B267" s="4">
        <f t="shared" si="4"/>
        <v>72458</v>
      </c>
      <c r="C267" t="s">
        <v>1475</v>
      </c>
      <c r="D267" t="s">
        <v>365</v>
      </c>
      <c r="E267" t="s">
        <v>1069</v>
      </c>
      <c r="F267" t="s">
        <v>187</v>
      </c>
      <c r="G267" t="s">
        <v>352</v>
      </c>
      <c r="H267" s="2" t="s">
        <v>27</v>
      </c>
      <c r="I267" t="s">
        <v>379</v>
      </c>
      <c r="J267" s="2" t="s">
        <v>1476</v>
      </c>
      <c r="L267" s="2" t="s">
        <v>30</v>
      </c>
      <c r="M267" s="2" t="s">
        <v>31</v>
      </c>
      <c r="N267" s="2" t="s">
        <v>32</v>
      </c>
      <c r="O267" s="2" t="s">
        <v>1323</v>
      </c>
      <c r="P267" s="2" t="s">
        <v>34</v>
      </c>
      <c r="Q267" t="s">
        <v>1477</v>
      </c>
      <c r="R267" s="2" t="s">
        <v>206</v>
      </c>
      <c r="S267" s="2" t="s">
        <v>1478</v>
      </c>
      <c r="T267" s="2" t="s">
        <v>60</v>
      </c>
    </row>
    <row r="268" spans="1:23" x14ac:dyDescent="0.25">
      <c r="A268" t="s">
        <v>1479</v>
      </c>
      <c r="B268" s="4">
        <f t="shared" si="4"/>
        <v>72476</v>
      </c>
      <c r="C268" t="s">
        <v>1480</v>
      </c>
      <c r="D268" t="s">
        <v>365</v>
      </c>
      <c r="E268" t="s">
        <v>1481</v>
      </c>
      <c r="F268" t="s">
        <v>187</v>
      </c>
      <c r="G268" t="s">
        <v>352</v>
      </c>
      <c r="H268" s="2" t="s">
        <v>373</v>
      </c>
      <c r="I268" t="s">
        <v>379</v>
      </c>
      <c r="K268" s="2" t="s">
        <v>1482</v>
      </c>
      <c r="L268" s="2" t="s">
        <v>30</v>
      </c>
      <c r="M268" s="2" t="s">
        <v>31</v>
      </c>
      <c r="N268" s="2" t="s">
        <v>32</v>
      </c>
      <c r="O268" s="2" t="s">
        <v>1483</v>
      </c>
      <c r="P268" s="2" t="s">
        <v>34</v>
      </c>
      <c r="Q268" t="s">
        <v>1484</v>
      </c>
      <c r="R268" s="2" t="s">
        <v>206</v>
      </c>
      <c r="S268" s="2" t="s">
        <v>1485</v>
      </c>
      <c r="T268" s="2" t="s">
        <v>60</v>
      </c>
    </row>
    <row r="269" spans="1:23" x14ac:dyDescent="0.25">
      <c r="A269" t="s">
        <v>1486</v>
      </c>
      <c r="B269" s="4">
        <f t="shared" si="4"/>
        <v>72499</v>
      </c>
      <c r="C269" t="s">
        <v>1487</v>
      </c>
      <c r="D269" t="s">
        <v>320</v>
      </c>
      <c r="E269" t="s">
        <v>238</v>
      </c>
      <c r="F269">
        <v>1</v>
      </c>
      <c r="G269" t="s">
        <v>352</v>
      </c>
      <c r="H269" s="2" t="s">
        <v>27</v>
      </c>
      <c r="I269" t="s">
        <v>28</v>
      </c>
      <c r="J269" s="2" t="s">
        <v>1488</v>
      </c>
      <c r="L269" s="2" t="s">
        <v>30</v>
      </c>
      <c r="M269" s="2" t="s">
        <v>31</v>
      </c>
      <c r="N269" s="2" t="s">
        <v>32</v>
      </c>
      <c r="O269" s="2" t="s">
        <v>1195</v>
      </c>
      <c r="P269" s="2" t="s">
        <v>34</v>
      </c>
      <c r="Q269" t="s">
        <v>1196</v>
      </c>
      <c r="R269" s="2" t="s">
        <v>1197</v>
      </c>
      <c r="T269" s="2" t="s">
        <v>34</v>
      </c>
      <c r="U269" s="2" t="s">
        <v>1198</v>
      </c>
      <c r="V269" s="2" t="s">
        <v>1489</v>
      </c>
      <c r="W269" t="s">
        <v>1490</v>
      </c>
    </row>
    <row r="270" spans="1:23" x14ac:dyDescent="0.25">
      <c r="A270" t="s">
        <v>1491</v>
      </c>
      <c r="B270" s="4">
        <f t="shared" si="4"/>
        <v>72514</v>
      </c>
      <c r="C270" t="s">
        <v>1492</v>
      </c>
      <c r="D270" t="s">
        <v>279</v>
      </c>
      <c r="E270" t="s">
        <v>335</v>
      </c>
      <c r="F270">
        <v>1</v>
      </c>
      <c r="G270" t="s">
        <v>352</v>
      </c>
      <c r="H270" s="2" t="s">
        <v>27</v>
      </c>
      <c r="I270" t="s">
        <v>379</v>
      </c>
      <c r="J270" s="2" t="s">
        <v>1493</v>
      </c>
      <c r="L270" s="2" t="s">
        <v>30</v>
      </c>
      <c r="M270" s="2" t="s">
        <v>31</v>
      </c>
      <c r="N270" s="2" t="s">
        <v>32</v>
      </c>
      <c r="O270" s="2" t="s">
        <v>1323</v>
      </c>
      <c r="P270" s="2" t="s">
        <v>34</v>
      </c>
      <c r="Q270" t="s">
        <v>1494</v>
      </c>
      <c r="R270" s="2" t="s">
        <v>206</v>
      </c>
      <c r="S270" s="2" t="s">
        <v>1495</v>
      </c>
      <c r="T270" s="2" t="s">
        <v>60</v>
      </c>
    </row>
    <row r="271" spans="1:23" x14ac:dyDescent="0.25">
      <c r="A271" t="s">
        <v>1496</v>
      </c>
      <c r="B271" s="4">
        <f t="shared" si="4"/>
        <v>72525</v>
      </c>
      <c r="C271" t="s">
        <v>1497</v>
      </c>
      <c r="D271" t="s">
        <v>365</v>
      </c>
      <c r="E271" t="s">
        <v>378</v>
      </c>
      <c r="F271" t="s">
        <v>187</v>
      </c>
      <c r="G271" t="s">
        <v>352</v>
      </c>
      <c r="H271" s="2" t="s">
        <v>27</v>
      </c>
      <c r="I271" t="s">
        <v>379</v>
      </c>
      <c r="J271" s="2" t="s">
        <v>1498</v>
      </c>
      <c r="L271" s="2" t="s">
        <v>30</v>
      </c>
      <c r="M271" s="2" t="s">
        <v>31</v>
      </c>
      <c r="N271" s="2" t="s">
        <v>32</v>
      </c>
      <c r="O271" s="2" t="s">
        <v>1323</v>
      </c>
      <c r="P271" s="2" t="s">
        <v>34</v>
      </c>
      <c r="Q271" t="s">
        <v>1499</v>
      </c>
      <c r="R271" s="2" t="s">
        <v>206</v>
      </c>
      <c r="S271" s="2" t="s">
        <v>1500</v>
      </c>
      <c r="T271" s="2" t="s">
        <v>60</v>
      </c>
    </row>
    <row r="272" spans="1:23" x14ac:dyDescent="0.25">
      <c r="A272" t="s">
        <v>1501</v>
      </c>
      <c r="B272" s="4">
        <f t="shared" si="4"/>
        <v>72533</v>
      </c>
      <c r="C272" t="s">
        <v>1502</v>
      </c>
      <c r="D272" t="s">
        <v>42</v>
      </c>
      <c r="E272" t="s">
        <v>133</v>
      </c>
      <c r="F272">
        <v>2</v>
      </c>
      <c r="G272" t="s">
        <v>26</v>
      </c>
      <c r="H272" s="2" t="s">
        <v>27</v>
      </c>
      <c r="I272" t="s">
        <v>55</v>
      </c>
      <c r="J272" s="2" t="s">
        <v>1503</v>
      </c>
      <c r="L272" s="2" t="s">
        <v>30</v>
      </c>
      <c r="M272" s="2" t="s">
        <v>31</v>
      </c>
      <c r="N272" s="2" t="s">
        <v>32</v>
      </c>
      <c r="O272" s="2" t="s">
        <v>1504</v>
      </c>
      <c r="P272" s="2" t="s">
        <v>34</v>
      </c>
      <c r="Q272" t="s">
        <v>1505</v>
      </c>
      <c r="R272" s="2" t="s">
        <v>1506</v>
      </c>
      <c r="T272" s="2" t="s">
        <v>60</v>
      </c>
    </row>
    <row r="273" spans="1:23" x14ac:dyDescent="0.25">
      <c r="A273" t="s">
        <v>1507</v>
      </c>
      <c r="B273" s="4">
        <f t="shared" si="4"/>
        <v>72536</v>
      </c>
      <c r="C273" t="s">
        <v>1508</v>
      </c>
      <c r="D273" t="s">
        <v>245</v>
      </c>
      <c r="E273" t="s">
        <v>563</v>
      </c>
      <c r="F273">
        <v>2</v>
      </c>
      <c r="G273" t="s">
        <v>26</v>
      </c>
      <c r="H273" s="2" t="s">
        <v>27</v>
      </c>
      <c r="I273" t="s">
        <v>55</v>
      </c>
      <c r="J273" s="2" t="s">
        <v>1509</v>
      </c>
      <c r="L273" s="2" t="s">
        <v>30</v>
      </c>
      <c r="M273" s="2" t="s">
        <v>31</v>
      </c>
      <c r="N273" s="2" t="s">
        <v>32</v>
      </c>
      <c r="O273" s="2" t="s">
        <v>180</v>
      </c>
      <c r="P273" s="2" t="s">
        <v>34</v>
      </c>
      <c r="Q273" t="s">
        <v>1510</v>
      </c>
      <c r="R273" s="2" t="s">
        <v>206</v>
      </c>
      <c r="S273" s="2" t="s">
        <v>1511</v>
      </c>
      <c r="T273" s="2" t="s">
        <v>60</v>
      </c>
    </row>
    <row r="274" spans="1:23" x14ac:dyDescent="0.25">
      <c r="A274" t="s">
        <v>1512</v>
      </c>
      <c r="B274" s="4">
        <f t="shared" si="4"/>
        <v>72554</v>
      </c>
      <c r="C274" t="s">
        <v>1513</v>
      </c>
      <c r="D274" t="s">
        <v>42</v>
      </c>
      <c r="E274" t="s">
        <v>133</v>
      </c>
      <c r="F274">
        <v>2</v>
      </c>
      <c r="G274" t="s">
        <v>352</v>
      </c>
      <c r="H274" s="2" t="s">
        <v>373</v>
      </c>
      <c r="I274" t="s">
        <v>379</v>
      </c>
      <c r="K274" s="2" t="s">
        <v>1514</v>
      </c>
      <c r="L274" s="2" t="s">
        <v>30</v>
      </c>
      <c r="M274" s="2" t="s">
        <v>31</v>
      </c>
      <c r="N274" s="2" t="s">
        <v>32</v>
      </c>
      <c r="O274" s="2" t="s">
        <v>1515</v>
      </c>
      <c r="P274" s="2" t="s">
        <v>34</v>
      </c>
      <c r="Q274" t="s">
        <v>1516</v>
      </c>
      <c r="R274" s="2" t="s">
        <v>206</v>
      </c>
      <c r="S274" s="2" t="s">
        <v>1517</v>
      </c>
      <c r="T274" s="2" t="s">
        <v>60</v>
      </c>
    </row>
    <row r="275" spans="1:23" x14ac:dyDescent="0.25">
      <c r="A275" t="s">
        <v>1518</v>
      </c>
      <c r="B275" s="4">
        <f t="shared" si="4"/>
        <v>72566</v>
      </c>
      <c r="C275" t="s">
        <v>1519</v>
      </c>
      <c r="D275" t="s">
        <v>291</v>
      </c>
      <c r="E275" t="s">
        <v>1520</v>
      </c>
      <c r="F275">
        <v>1</v>
      </c>
      <c r="G275" t="s">
        <v>26</v>
      </c>
      <c r="H275" s="2" t="s">
        <v>27</v>
      </c>
      <c r="I275" t="s">
        <v>28</v>
      </c>
      <c r="J275" s="2" t="s">
        <v>1521</v>
      </c>
      <c r="L275" s="2" t="s">
        <v>30</v>
      </c>
      <c r="M275" s="2" t="s">
        <v>31</v>
      </c>
      <c r="N275" s="2" t="s">
        <v>32</v>
      </c>
      <c r="O275" s="2" t="s">
        <v>1522</v>
      </c>
      <c r="P275" s="2" t="s">
        <v>34</v>
      </c>
      <c r="Q275" t="s">
        <v>1523</v>
      </c>
      <c r="R275" s="2" t="s">
        <v>206</v>
      </c>
      <c r="S275" s="2" t="s">
        <v>1524</v>
      </c>
      <c r="T275" s="2" t="s">
        <v>34</v>
      </c>
      <c r="U275" s="2" t="s">
        <v>1525</v>
      </c>
      <c r="V275" s="2" t="s">
        <v>1526</v>
      </c>
      <c r="W275" t="s">
        <v>1527</v>
      </c>
    </row>
    <row r="276" spans="1:23" x14ac:dyDescent="0.25">
      <c r="A276" t="s">
        <v>1528</v>
      </c>
      <c r="B276" s="4">
        <f t="shared" si="4"/>
        <v>72568</v>
      </c>
      <c r="C276" t="s">
        <v>1529</v>
      </c>
      <c r="D276" t="s">
        <v>185</v>
      </c>
      <c r="E276" t="s">
        <v>815</v>
      </c>
      <c r="F276" t="s">
        <v>543</v>
      </c>
      <c r="G276" t="s">
        <v>352</v>
      </c>
      <c r="H276" s="2" t="s">
        <v>27</v>
      </c>
      <c r="I276" t="s">
        <v>28</v>
      </c>
      <c r="J276" s="2" t="s">
        <v>1530</v>
      </c>
      <c r="L276" s="2" t="s">
        <v>30</v>
      </c>
      <c r="M276" s="2" t="s">
        <v>31</v>
      </c>
      <c r="N276" s="2" t="s">
        <v>32</v>
      </c>
      <c r="O276" s="2" t="s">
        <v>1323</v>
      </c>
      <c r="P276" s="2" t="s">
        <v>34</v>
      </c>
      <c r="Q276" t="s">
        <v>1196</v>
      </c>
      <c r="R276" s="2" t="s">
        <v>1197</v>
      </c>
      <c r="T276" s="2" t="s">
        <v>34</v>
      </c>
      <c r="U276" s="2" t="s">
        <v>1198</v>
      </c>
      <c r="V276" s="2" t="s">
        <v>1531</v>
      </c>
      <c r="W276" t="s">
        <v>1532</v>
      </c>
    </row>
    <row r="277" spans="1:23" x14ac:dyDescent="0.25">
      <c r="A277" t="s">
        <v>1533</v>
      </c>
      <c r="B277" s="4">
        <f t="shared" si="4"/>
        <v>72571</v>
      </c>
      <c r="C277" t="s">
        <v>1534</v>
      </c>
      <c r="D277" t="s">
        <v>42</v>
      </c>
      <c r="E277" t="s">
        <v>479</v>
      </c>
      <c r="F277">
        <v>3</v>
      </c>
      <c r="G277" t="s">
        <v>26</v>
      </c>
      <c r="H277" s="2" t="s">
        <v>27</v>
      </c>
      <c r="I277" t="s">
        <v>55</v>
      </c>
      <c r="J277" s="2" t="s">
        <v>1535</v>
      </c>
      <c r="L277" s="2" t="s">
        <v>30</v>
      </c>
      <c r="M277" s="2" t="s">
        <v>31</v>
      </c>
      <c r="N277" s="2" t="s">
        <v>32</v>
      </c>
      <c r="O277" s="2" t="s">
        <v>100</v>
      </c>
      <c r="P277" s="2" t="s">
        <v>34</v>
      </c>
      <c r="Q277" t="s">
        <v>203</v>
      </c>
      <c r="R277" s="2" t="s">
        <v>204</v>
      </c>
      <c r="T277" s="2" t="s">
        <v>34</v>
      </c>
      <c r="U277" s="2" t="s">
        <v>205</v>
      </c>
      <c r="V277" s="2" t="s">
        <v>206</v>
      </c>
    </row>
    <row r="278" spans="1:23" x14ac:dyDescent="0.25">
      <c r="A278" t="s">
        <v>1536</v>
      </c>
      <c r="B278" s="4">
        <f t="shared" si="4"/>
        <v>72580</v>
      </c>
      <c r="C278" t="s">
        <v>1537</v>
      </c>
      <c r="D278" t="s">
        <v>279</v>
      </c>
      <c r="E278" t="s">
        <v>557</v>
      </c>
      <c r="F278" t="s">
        <v>543</v>
      </c>
      <c r="G278" t="s">
        <v>26</v>
      </c>
      <c r="H278" s="2" t="s">
        <v>27</v>
      </c>
      <c r="I278" t="s">
        <v>28</v>
      </c>
      <c r="J278" s="2" t="s">
        <v>1538</v>
      </c>
      <c r="L278" s="2" t="s">
        <v>30</v>
      </c>
      <c r="M278" s="2" t="s">
        <v>31</v>
      </c>
      <c r="N278" s="2" t="s">
        <v>32</v>
      </c>
      <c r="O278" s="2" t="s">
        <v>1323</v>
      </c>
      <c r="P278" s="2" t="s">
        <v>34</v>
      </c>
      <c r="Q278" t="s">
        <v>1539</v>
      </c>
      <c r="R278" s="2" t="s">
        <v>1540</v>
      </c>
      <c r="T278" s="2" t="s">
        <v>34</v>
      </c>
      <c r="U278" s="2" t="s">
        <v>1541</v>
      </c>
      <c r="V278" s="2" t="s">
        <v>1542</v>
      </c>
      <c r="W278" t="s">
        <v>1543</v>
      </c>
    </row>
    <row r="279" spans="1:23" x14ac:dyDescent="0.25">
      <c r="A279" t="s">
        <v>1544</v>
      </c>
      <c r="B279" s="4">
        <f t="shared" si="4"/>
        <v>72584</v>
      </c>
      <c r="C279" t="s">
        <v>1545</v>
      </c>
      <c r="D279" t="s">
        <v>365</v>
      </c>
      <c r="E279" t="s">
        <v>738</v>
      </c>
      <c r="F279" t="s">
        <v>187</v>
      </c>
      <c r="G279" t="s">
        <v>352</v>
      </c>
      <c r="H279" s="2" t="s">
        <v>373</v>
      </c>
      <c r="I279" t="s">
        <v>379</v>
      </c>
      <c r="K279" s="2" t="s">
        <v>1546</v>
      </c>
      <c r="L279" s="2" t="s">
        <v>30</v>
      </c>
      <c r="M279" s="2" t="s">
        <v>31</v>
      </c>
      <c r="N279" s="2" t="s">
        <v>32</v>
      </c>
      <c r="O279" s="2" t="s">
        <v>370</v>
      </c>
      <c r="P279" s="2" t="s">
        <v>34</v>
      </c>
      <c r="Q279" t="s">
        <v>1547</v>
      </c>
      <c r="R279" s="2" t="s">
        <v>206</v>
      </c>
      <c r="S279" s="2" t="s">
        <v>1548</v>
      </c>
      <c r="T279" s="2" t="s">
        <v>60</v>
      </c>
    </row>
    <row r="280" spans="1:23" x14ac:dyDescent="0.25">
      <c r="A280" t="s">
        <v>1549</v>
      </c>
      <c r="B280" s="4">
        <f t="shared" si="4"/>
        <v>72587</v>
      </c>
      <c r="C280" t="s">
        <v>1550</v>
      </c>
      <c r="D280" t="s">
        <v>185</v>
      </c>
      <c r="E280" t="s">
        <v>969</v>
      </c>
      <c r="F280" t="s">
        <v>543</v>
      </c>
      <c r="G280" t="s">
        <v>26</v>
      </c>
      <c r="H280" s="2" t="s">
        <v>27</v>
      </c>
      <c r="I280" t="s">
        <v>368</v>
      </c>
      <c r="J280" s="2" t="s">
        <v>1551</v>
      </c>
      <c r="L280" s="2" t="s">
        <v>30</v>
      </c>
      <c r="M280" s="2" t="s">
        <v>31</v>
      </c>
      <c r="N280" s="2" t="s">
        <v>32</v>
      </c>
      <c r="O280" s="2" t="s">
        <v>1323</v>
      </c>
      <c r="P280" s="2" t="s">
        <v>34</v>
      </c>
      <c r="Q280" t="s">
        <v>1552</v>
      </c>
      <c r="R280" s="2" t="s">
        <v>1553</v>
      </c>
      <c r="T280" s="2" t="s">
        <v>60</v>
      </c>
    </row>
    <row r="281" spans="1:23" x14ac:dyDescent="0.25">
      <c r="A281" t="s">
        <v>1554</v>
      </c>
      <c r="B281" s="4">
        <f t="shared" si="4"/>
        <v>72594</v>
      </c>
      <c r="C281" t="s">
        <v>1555</v>
      </c>
      <c r="D281" t="s">
        <v>279</v>
      </c>
      <c r="E281" t="s">
        <v>25</v>
      </c>
      <c r="F281">
        <v>1</v>
      </c>
      <c r="G281" t="s">
        <v>352</v>
      </c>
      <c r="H281" s="2" t="s">
        <v>27</v>
      </c>
      <c r="I281" t="s">
        <v>379</v>
      </c>
      <c r="J281" s="2" t="s">
        <v>1556</v>
      </c>
      <c r="L281" s="2" t="s">
        <v>30</v>
      </c>
      <c r="M281" s="2" t="s">
        <v>31</v>
      </c>
      <c r="N281" s="2" t="s">
        <v>32</v>
      </c>
      <c r="O281" s="2" t="s">
        <v>1323</v>
      </c>
      <c r="P281" s="2" t="s">
        <v>34</v>
      </c>
      <c r="Q281" t="s">
        <v>1557</v>
      </c>
      <c r="R281" s="2" t="s">
        <v>206</v>
      </c>
      <c r="S281" s="2" t="s">
        <v>1558</v>
      </c>
      <c r="T281" s="2" t="s">
        <v>60</v>
      </c>
    </row>
    <row r="282" spans="1:23" x14ac:dyDescent="0.25">
      <c r="A282" t="s">
        <v>1559</v>
      </c>
      <c r="B282" s="4">
        <f t="shared" si="4"/>
        <v>72597</v>
      </c>
      <c r="C282" t="s">
        <v>1560</v>
      </c>
      <c r="D282" t="s">
        <v>320</v>
      </c>
      <c r="E282" t="s">
        <v>238</v>
      </c>
      <c r="F282">
        <v>1</v>
      </c>
      <c r="G282" t="s">
        <v>26</v>
      </c>
      <c r="H282" s="2" t="s">
        <v>27</v>
      </c>
      <c r="I282" t="s">
        <v>55</v>
      </c>
      <c r="J282" s="2" t="s">
        <v>1561</v>
      </c>
      <c r="L282" s="2" t="s">
        <v>30</v>
      </c>
      <c r="M282" s="2" t="s">
        <v>31</v>
      </c>
      <c r="N282" s="2" t="s">
        <v>32</v>
      </c>
      <c r="O282" s="2" t="s">
        <v>323</v>
      </c>
      <c r="P282" s="2" t="s">
        <v>34</v>
      </c>
      <c r="Q282" t="s">
        <v>1562</v>
      </c>
      <c r="R282" s="2" t="s">
        <v>1563</v>
      </c>
      <c r="T282" s="2" t="s">
        <v>60</v>
      </c>
    </row>
    <row r="283" spans="1:23" x14ac:dyDescent="0.25">
      <c r="A283" t="s">
        <v>1564</v>
      </c>
      <c r="B283" s="4">
        <f t="shared" si="4"/>
        <v>72601</v>
      </c>
      <c r="C283" t="s">
        <v>1565</v>
      </c>
      <c r="D283" t="s">
        <v>365</v>
      </c>
      <c r="E283" t="s">
        <v>1464</v>
      </c>
      <c r="F283" t="s">
        <v>367</v>
      </c>
      <c r="G283" t="s">
        <v>352</v>
      </c>
      <c r="H283" s="2" t="s">
        <v>27</v>
      </c>
      <c r="I283" t="s">
        <v>28</v>
      </c>
      <c r="J283" s="2" t="s">
        <v>1566</v>
      </c>
      <c r="L283" s="2" t="s">
        <v>30</v>
      </c>
      <c r="M283" s="2" t="s">
        <v>31</v>
      </c>
      <c r="N283" s="2" t="s">
        <v>32</v>
      </c>
      <c r="O283" s="2" t="s">
        <v>1323</v>
      </c>
      <c r="P283" s="2" t="s">
        <v>34</v>
      </c>
      <c r="Q283" t="s">
        <v>1389</v>
      </c>
      <c r="R283" s="2" t="s">
        <v>206</v>
      </c>
      <c r="S283" s="2" t="s">
        <v>1390</v>
      </c>
      <c r="T283" s="2" t="s">
        <v>34</v>
      </c>
      <c r="U283" s="2" t="s">
        <v>1391</v>
      </c>
      <c r="V283" s="2" t="s">
        <v>1567</v>
      </c>
      <c r="W283" t="s">
        <v>1568</v>
      </c>
    </row>
    <row r="284" spans="1:23" x14ac:dyDescent="0.25">
      <c r="A284" t="s">
        <v>1569</v>
      </c>
      <c r="B284" s="4">
        <f t="shared" si="4"/>
        <v>72603</v>
      </c>
      <c r="C284" t="s">
        <v>1570</v>
      </c>
      <c r="D284" t="s">
        <v>365</v>
      </c>
      <c r="E284" t="s">
        <v>1571</v>
      </c>
      <c r="F284" t="s">
        <v>367</v>
      </c>
      <c r="G284" t="s">
        <v>26</v>
      </c>
      <c r="H284" s="2" t="s">
        <v>27</v>
      </c>
      <c r="I284" t="s">
        <v>28</v>
      </c>
      <c r="J284" s="2" t="s">
        <v>1572</v>
      </c>
      <c r="L284" s="2" t="s">
        <v>30</v>
      </c>
      <c r="M284" s="2" t="s">
        <v>31</v>
      </c>
      <c r="N284" s="2" t="s">
        <v>32</v>
      </c>
      <c r="O284" s="2" t="s">
        <v>1323</v>
      </c>
      <c r="P284" s="2" t="s">
        <v>34</v>
      </c>
      <c r="Q284" t="s">
        <v>1573</v>
      </c>
      <c r="R284" s="2" t="s">
        <v>1574</v>
      </c>
      <c r="T284" s="2" t="s">
        <v>34</v>
      </c>
      <c r="U284" s="2" t="s">
        <v>1575</v>
      </c>
      <c r="V284" s="2" t="s">
        <v>1576</v>
      </c>
      <c r="W284" t="s">
        <v>1577</v>
      </c>
    </row>
    <row r="285" spans="1:23" x14ac:dyDescent="0.25">
      <c r="A285" t="s">
        <v>1578</v>
      </c>
      <c r="B285" s="4">
        <f t="shared" si="4"/>
        <v>72604</v>
      </c>
      <c r="C285" t="s">
        <v>1579</v>
      </c>
      <c r="D285" t="s">
        <v>185</v>
      </c>
      <c r="E285" t="s">
        <v>1118</v>
      </c>
      <c r="F285" t="s">
        <v>680</v>
      </c>
      <c r="G285" t="s">
        <v>26</v>
      </c>
      <c r="H285" s="2" t="s">
        <v>27</v>
      </c>
      <c r="I285" t="s">
        <v>28</v>
      </c>
      <c r="J285" s="2" t="s">
        <v>1580</v>
      </c>
      <c r="L285" s="2" t="s">
        <v>30</v>
      </c>
      <c r="M285" s="2" t="s">
        <v>31</v>
      </c>
      <c r="N285" s="2" t="s">
        <v>32</v>
      </c>
      <c r="O285" s="2" t="s">
        <v>1323</v>
      </c>
      <c r="P285" s="2" t="s">
        <v>34</v>
      </c>
      <c r="Q285" t="s">
        <v>1581</v>
      </c>
      <c r="R285" s="2" t="s">
        <v>1582</v>
      </c>
      <c r="T285" s="2" t="s">
        <v>60</v>
      </c>
    </row>
    <row r="286" spans="1:23" x14ac:dyDescent="0.25">
      <c r="A286" t="s">
        <v>1583</v>
      </c>
      <c r="B286" s="4">
        <f t="shared" si="4"/>
        <v>72614</v>
      </c>
      <c r="C286" t="s">
        <v>1584</v>
      </c>
      <c r="D286" t="s">
        <v>185</v>
      </c>
      <c r="E286" t="s">
        <v>815</v>
      </c>
      <c r="F286" t="s">
        <v>543</v>
      </c>
      <c r="G286" t="s">
        <v>352</v>
      </c>
      <c r="H286" s="2" t="s">
        <v>27</v>
      </c>
      <c r="I286" t="s">
        <v>28</v>
      </c>
      <c r="J286" s="2" t="s">
        <v>1585</v>
      </c>
      <c r="L286" s="2" t="s">
        <v>30</v>
      </c>
      <c r="M286" s="2" t="s">
        <v>31</v>
      </c>
      <c r="N286" s="2" t="s">
        <v>32</v>
      </c>
      <c r="O286" s="2" t="s">
        <v>1323</v>
      </c>
      <c r="P286" s="2" t="s">
        <v>34</v>
      </c>
      <c r="Q286" t="s">
        <v>1586</v>
      </c>
      <c r="R286" s="2" t="s">
        <v>1587</v>
      </c>
      <c r="T286" s="2" t="s">
        <v>34</v>
      </c>
      <c r="U286" s="2" t="s">
        <v>1588</v>
      </c>
      <c r="V286" s="2" t="s">
        <v>1589</v>
      </c>
      <c r="W286" t="s">
        <v>1590</v>
      </c>
    </row>
    <row r="287" spans="1:23" x14ac:dyDescent="0.25">
      <c r="A287" t="s">
        <v>1591</v>
      </c>
      <c r="B287" s="4">
        <f t="shared" si="4"/>
        <v>72616</v>
      </c>
      <c r="C287" t="s">
        <v>1592</v>
      </c>
      <c r="D287" t="s">
        <v>1149</v>
      </c>
      <c r="E287" t="s">
        <v>1593</v>
      </c>
      <c r="F287" t="s">
        <v>543</v>
      </c>
      <c r="G287" t="s">
        <v>352</v>
      </c>
      <c r="H287" s="2" t="s">
        <v>27</v>
      </c>
      <c r="I287" t="s">
        <v>379</v>
      </c>
      <c r="J287" s="2" t="s">
        <v>1594</v>
      </c>
      <c r="L287" s="2" t="s">
        <v>30</v>
      </c>
      <c r="M287" s="2" t="s">
        <v>31</v>
      </c>
      <c r="N287" s="2" t="s">
        <v>32</v>
      </c>
      <c r="O287" s="2" t="s">
        <v>1595</v>
      </c>
      <c r="P287" s="2" t="s">
        <v>34</v>
      </c>
      <c r="Q287" t="s">
        <v>1596</v>
      </c>
      <c r="R287" s="2" t="s">
        <v>206</v>
      </c>
      <c r="S287" s="2" t="s">
        <v>1597</v>
      </c>
      <c r="T287" s="2" t="s">
        <v>60</v>
      </c>
    </row>
    <row r="288" spans="1:23" x14ac:dyDescent="0.25">
      <c r="A288" t="s">
        <v>1598</v>
      </c>
      <c r="B288" s="4">
        <f t="shared" si="4"/>
        <v>72621</v>
      </c>
      <c r="C288" t="s">
        <v>1599</v>
      </c>
      <c r="D288" t="s">
        <v>365</v>
      </c>
      <c r="E288" t="s">
        <v>978</v>
      </c>
      <c r="F288" t="s">
        <v>367</v>
      </c>
      <c r="G288" t="s">
        <v>352</v>
      </c>
      <c r="H288" s="2" t="s">
        <v>27</v>
      </c>
      <c r="I288" t="s">
        <v>379</v>
      </c>
      <c r="J288" s="2" t="s">
        <v>1600</v>
      </c>
      <c r="L288" s="2" t="s">
        <v>30</v>
      </c>
      <c r="M288" s="2" t="s">
        <v>31</v>
      </c>
      <c r="N288" s="2" t="s">
        <v>32</v>
      </c>
      <c r="O288" s="2" t="s">
        <v>1323</v>
      </c>
      <c r="P288" s="2" t="s">
        <v>34</v>
      </c>
      <c r="Q288" t="s">
        <v>1601</v>
      </c>
      <c r="R288" s="2" t="s">
        <v>206</v>
      </c>
      <c r="S288" s="2" t="s">
        <v>1602</v>
      </c>
      <c r="T288" s="2" t="s">
        <v>60</v>
      </c>
    </row>
    <row r="289" spans="1:23" x14ac:dyDescent="0.25">
      <c r="A289" t="s">
        <v>1603</v>
      </c>
      <c r="B289" s="4">
        <f t="shared" si="4"/>
        <v>72626</v>
      </c>
      <c r="C289" t="s">
        <v>1604</v>
      </c>
      <c r="D289" t="s">
        <v>365</v>
      </c>
      <c r="E289" t="s">
        <v>1157</v>
      </c>
      <c r="F289" t="s">
        <v>367</v>
      </c>
      <c r="G289" t="s">
        <v>352</v>
      </c>
      <c r="H289" s="2" t="s">
        <v>373</v>
      </c>
      <c r="I289" t="s">
        <v>379</v>
      </c>
      <c r="K289" s="2" t="s">
        <v>1605</v>
      </c>
      <c r="L289" s="2" t="s">
        <v>30</v>
      </c>
      <c r="M289" s="2" t="s">
        <v>31</v>
      </c>
      <c r="N289" s="2" t="s">
        <v>32</v>
      </c>
      <c r="O289" s="2" t="s">
        <v>1606</v>
      </c>
      <c r="P289" s="2" t="s">
        <v>34</v>
      </c>
      <c r="Q289" t="s">
        <v>1607</v>
      </c>
      <c r="R289" s="2" t="s">
        <v>1608</v>
      </c>
      <c r="T289" s="2" t="s">
        <v>60</v>
      </c>
    </row>
    <row r="290" spans="1:23" x14ac:dyDescent="0.25">
      <c r="A290" t="s">
        <v>1609</v>
      </c>
      <c r="B290" s="4">
        <f t="shared" si="4"/>
        <v>72636</v>
      </c>
      <c r="C290" t="s">
        <v>1610</v>
      </c>
      <c r="D290" t="s">
        <v>42</v>
      </c>
      <c r="E290" t="s">
        <v>90</v>
      </c>
      <c r="F290">
        <v>3</v>
      </c>
      <c r="G290" t="s">
        <v>26</v>
      </c>
      <c r="H290" s="2" t="s">
        <v>27</v>
      </c>
      <c r="I290" t="s">
        <v>55</v>
      </c>
      <c r="J290" s="2" t="s">
        <v>1611</v>
      </c>
      <c r="L290" s="2" t="s">
        <v>30</v>
      </c>
      <c r="M290" s="2" t="s">
        <v>31</v>
      </c>
      <c r="N290" s="2" t="s">
        <v>32</v>
      </c>
      <c r="O290" s="2" t="s">
        <v>100</v>
      </c>
      <c r="P290" s="2" t="s">
        <v>34</v>
      </c>
      <c r="Q290" t="s">
        <v>86</v>
      </c>
      <c r="R290" s="2" t="s">
        <v>87</v>
      </c>
      <c r="T290" s="2" t="s">
        <v>60</v>
      </c>
    </row>
    <row r="291" spans="1:23" x14ac:dyDescent="0.25">
      <c r="A291" t="s">
        <v>1612</v>
      </c>
      <c r="B291" s="4">
        <f t="shared" si="4"/>
        <v>72637</v>
      </c>
      <c r="C291" t="s">
        <v>1613</v>
      </c>
      <c r="D291" t="s">
        <v>24</v>
      </c>
      <c r="E291" t="s">
        <v>1614</v>
      </c>
      <c r="F291">
        <v>2</v>
      </c>
      <c r="G291" t="s">
        <v>26</v>
      </c>
      <c r="H291" s="2" t="s">
        <v>27</v>
      </c>
      <c r="I291" t="s">
        <v>28</v>
      </c>
      <c r="J291" s="2" t="s">
        <v>1615</v>
      </c>
      <c r="L291" s="2" t="s">
        <v>30</v>
      </c>
      <c r="M291" s="2" t="s">
        <v>31</v>
      </c>
      <c r="N291" s="2" t="s">
        <v>32</v>
      </c>
      <c r="O291" s="2" t="s">
        <v>214</v>
      </c>
      <c r="P291" s="2" t="s">
        <v>34</v>
      </c>
      <c r="Q291" t="s">
        <v>1616</v>
      </c>
      <c r="R291" s="2" t="s">
        <v>1617</v>
      </c>
      <c r="T291" s="2" t="s">
        <v>34</v>
      </c>
      <c r="U291" s="2" t="s">
        <v>1618</v>
      </c>
      <c r="V291" s="2" t="s">
        <v>1612</v>
      </c>
      <c r="W291" t="s">
        <v>1614</v>
      </c>
    </row>
    <row r="292" spans="1:23" x14ac:dyDescent="0.25">
      <c r="A292" t="s">
        <v>1619</v>
      </c>
      <c r="B292" s="4">
        <f t="shared" si="4"/>
        <v>72648</v>
      </c>
      <c r="C292" t="s">
        <v>1620</v>
      </c>
      <c r="D292" t="s">
        <v>53</v>
      </c>
      <c r="E292" t="s">
        <v>1621</v>
      </c>
      <c r="F292">
        <v>2</v>
      </c>
      <c r="G292" t="s">
        <v>26</v>
      </c>
      <c r="H292" s="2" t="s">
        <v>27</v>
      </c>
      <c r="I292" t="s">
        <v>55</v>
      </c>
      <c r="J292" s="2" t="s">
        <v>1622</v>
      </c>
      <c r="L292" s="2" t="s">
        <v>30</v>
      </c>
      <c r="M292" s="2" t="s">
        <v>31</v>
      </c>
      <c r="N292" s="2" t="s">
        <v>32</v>
      </c>
      <c r="O292" s="2" t="s">
        <v>674</v>
      </c>
      <c r="P292" s="2" t="s">
        <v>34</v>
      </c>
      <c r="Q292" t="s">
        <v>675</v>
      </c>
      <c r="R292" s="2" t="s">
        <v>676</v>
      </c>
      <c r="T292" s="2" t="s">
        <v>60</v>
      </c>
    </row>
    <row r="293" spans="1:23" x14ac:dyDescent="0.25">
      <c r="A293" t="s">
        <v>1623</v>
      </c>
      <c r="B293" s="4">
        <f t="shared" si="4"/>
        <v>72649</v>
      </c>
      <c r="C293" t="s">
        <v>1624</v>
      </c>
      <c r="D293" t="s">
        <v>42</v>
      </c>
      <c r="E293" t="s">
        <v>77</v>
      </c>
      <c r="F293">
        <v>3</v>
      </c>
      <c r="G293" t="s">
        <v>26</v>
      </c>
      <c r="H293" s="2" t="s">
        <v>27</v>
      </c>
      <c r="I293" t="s">
        <v>368</v>
      </c>
      <c r="J293" s="2" t="s">
        <v>1625</v>
      </c>
      <c r="L293" s="2" t="s">
        <v>30</v>
      </c>
      <c r="M293" s="2" t="s">
        <v>31</v>
      </c>
      <c r="N293" s="2" t="s">
        <v>32</v>
      </c>
      <c r="O293" s="2" t="s">
        <v>1626</v>
      </c>
      <c r="P293" s="2" t="s">
        <v>34</v>
      </c>
      <c r="Q293" t="s">
        <v>1627</v>
      </c>
      <c r="R293" s="2" t="s">
        <v>1628</v>
      </c>
      <c r="T293" s="2" t="s">
        <v>60</v>
      </c>
    </row>
    <row r="294" spans="1:23" x14ac:dyDescent="0.25">
      <c r="A294" t="s">
        <v>1629</v>
      </c>
      <c r="B294" s="4">
        <f t="shared" si="4"/>
        <v>72654</v>
      </c>
      <c r="C294" t="s">
        <v>1630</v>
      </c>
      <c r="D294" t="s">
        <v>365</v>
      </c>
      <c r="E294" t="s">
        <v>1631</v>
      </c>
      <c r="F294" t="s">
        <v>367</v>
      </c>
      <c r="G294" t="s">
        <v>352</v>
      </c>
      <c r="H294" s="2" t="s">
        <v>27</v>
      </c>
      <c r="I294" t="s">
        <v>379</v>
      </c>
      <c r="J294" s="2" t="s">
        <v>1632</v>
      </c>
      <c r="L294" s="2" t="s">
        <v>30</v>
      </c>
      <c r="M294" s="2" t="s">
        <v>31</v>
      </c>
      <c r="N294" s="2" t="s">
        <v>32</v>
      </c>
      <c r="O294" s="2" t="s">
        <v>1323</v>
      </c>
      <c r="P294" s="2" t="s">
        <v>34</v>
      </c>
      <c r="Q294" t="s">
        <v>1633</v>
      </c>
      <c r="R294" s="2" t="s">
        <v>206</v>
      </c>
      <c r="S294" s="2" t="s">
        <v>1634</v>
      </c>
      <c r="T294" s="2" t="s">
        <v>60</v>
      </c>
    </row>
    <row r="295" spans="1:23" x14ac:dyDescent="0.25">
      <c r="A295" t="s">
        <v>1635</v>
      </c>
      <c r="B295" s="4">
        <f t="shared" si="4"/>
        <v>72655</v>
      </c>
      <c r="C295" t="s">
        <v>1636</v>
      </c>
      <c r="D295" t="s">
        <v>365</v>
      </c>
      <c r="E295" t="s">
        <v>1240</v>
      </c>
      <c r="F295" t="s">
        <v>367</v>
      </c>
      <c r="G295" t="s">
        <v>352</v>
      </c>
      <c r="H295" s="2" t="s">
        <v>373</v>
      </c>
      <c r="I295" t="s">
        <v>28</v>
      </c>
      <c r="K295" s="2" t="s">
        <v>1158</v>
      </c>
      <c r="L295" s="2" t="s">
        <v>30</v>
      </c>
      <c r="M295" s="2" t="s">
        <v>31</v>
      </c>
      <c r="N295" s="2" t="s">
        <v>32</v>
      </c>
      <c r="O295" s="2" t="s">
        <v>1637</v>
      </c>
      <c r="P295" s="2" t="s">
        <v>34</v>
      </c>
      <c r="Q295" t="s">
        <v>1389</v>
      </c>
      <c r="R295" s="2" t="s">
        <v>206</v>
      </c>
      <c r="S295" s="2" t="s">
        <v>1390</v>
      </c>
      <c r="T295" s="2" t="s">
        <v>34</v>
      </c>
      <c r="U295" s="2" t="s">
        <v>1391</v>
      </c>
      <c r="V295" s="2" t="s">
        <v>1638</v>
      </c>
      <c r="W295" t="s">
        <v>1639</v>
      </c>
    </row>
    <row r="296" spans="1:23" x14ac:dyDescent="0.25">
      <c r="A296" t="s">
        <v>1640</v>
      </c>
      <c r="B296" s="4">
        <f t="shared" si="4"/>
        <v>72664</v>
      </c>
      <c r="C296" t="s">
        <v>1641</v>
      </c>
      <c r="D296" t="s">
        <v>279</v>
      </c>
      <c r="E296" t="s">
        <v>280</v>
      </c>
      <c r="F296">
        <v>1</v>
      </c>
      <c r="G296" t="s">
        <v>26</v>
      </c>
      <c r="H296" s="2" t="s">
        <v>27</v>
      </c>
      <c r="I296" t="s">
        <v>55</v>
      </c>
      <c r="J296" s="2" t="s">
        <v>1642</v>
      </c>
      <c r="L296" s="2" t="s">
        <v>30</v>
      </c>
      <c r="M296" s="2" t="s">
        <v>31</v>
      </c>
      <c r="N296" s="2" t="s">
        <v>32</v>
      </c>
      <c r="O296" s="2" t="s">
        <v>1323</v>
      </c>
      <c r="P296" s="2" t="s">
        <v>34</v>
      </c>
      <c r="Q296" t="s">
        <v>1643</v>
      </c>
      <c r="R296" s="2" t="s">
        <v>1644</v>
      </c>
      <c r="T296" s="2" t="s">
        <v>60</v>
      </c>
    </row>
    <row r="297" spans="1:23" x14ac:dyDescent="0.25">
      <c r="A297" t="s">
        <v>1645</v>
      </c>
      <c r="B297" s="4">
        <f t="shared" si="4"/>
        <v>72668</v>
      </c>
      <c r="C297" t="s">
        <v>1646</v>
      </c>
      <c r="D297" t="s">
        <v>365</v>
      </c>
      <c r="E297" t="s">
        <v>1647</v>
      </c>
      <c r="F297" t="s">
        <v>367</v>
      </c>
      <c r="G297" t="s">
        <v>352</v>
      </c>
      <c r="H297" s="2" t="s">
        <v>27</v>
      </c>
      <c r="I297" t="s">
        <v>379</v>
      </c>
      <c r="J297" s="2" t="s">
        <v>1648</v>
      </c>
      <c r="L297" s="2" t="s">
        <v>30</v>
      </c>
      <c r="M297" s="2" t="s">
        <v>31</v>
      </c>
      <c r="N297" s="2" t="s">
        <v>32</v>
      </c>
      <c r="O297" s="2" t="s">
        <v>1323</v>
      </c>
      <c r="P297" s="2" t="s">
        <v>34</v>
      </c>
      <c r="Q297" t="s">
        <v>1649</v>
      </c>
      <c r="R297" s="2" t="s">
        <v>206</v>
      </c>
      <c r="S297" s="2" t="s">
        <v>1650</v>
      </c>
      <c r="T297" s="2" t="s">
        <v>60</v>
      </c>
    </row>
    <row r="298" spans="1:23" x14ac:dyDescent="0.25">
      <c r="A298" t="s">
        <v>1651</v>
      </c>
      <c r="B298" s="4">
        <f t="shared" si="4"/>
        <v>72672</v>
      </c>
      <c r="C298" t="s">
        <v>1652</v>
      </c>
      <c r="D298" t="s">
        <v>297</v>
      </c>
      <c r="E298" t="s">
        <v>1653</v>
      </c>
      <c r="F298">
        <v>1</v>
      </c>
      <c r="G298" t="s">
        <v>26</v>
      </c>
      <c r="H298" s="2" t="s">
        <v>27</v>
      </c>
      <c r="I298" t="s">
        <v>368</v>
      </c>
      <c r="J298" s="2" t="s">
        <v>1654</v>
      </c>
      <c r="L298" s="2" t="s">
        <v>30</v>
      </c>
      <c r="M298" s="2" t="s">
        <v>31</v>
      </c>
      <c r="N298" s="2" t="s">
        <v>32</v>
      </c>
      <c r="O298" s="2" t="s">
        <v>1655</v>
      </c>
      <c r="P298" s="2" t="s">
        <v>34</v>
      </c>
      <c r="Q298" t="s">
        <v>1656</v>
      </c>
      <c r="R298" s="2" t="s">
        <v>1657</v>
      </c>
      <c r="T298" s="2" t="s">
        <v>60</v>
      </c>
    </row>
    <row r="299" spans="1:23" x14ac:dyDescent="0.25">
      <c r="A299" t="s">
        <v>1658</v>
      </c>
      <c r="B299" s="4">
        <f t="shared" si="4"/>
        <v>72692</v>
      </c>
      <c r="C299" t="s">
        <v>1659</v>
      </c>
      <c r="D299" t="s">
        <v>279</v>
      </c>
      <c r="E299" t="s">
        <v>1660</v>
      </c>
      <c r="F299" t="s">
        <v>543</v>
      </c>
      <c r="G299" t="s">
        <v>352</v>
      </c>
      <c r="H299" s="2" t="s">
        <v>27</v>
      </c>
      <c r="I299" t="s">
        <v>379</v>
      </c>
      <c r="J299" s="2" t="s">
        <v>1661</v>
      </c>
      <c r="L299" s="2" t="s">
        <v>30</v>
      </c>
      <c r="M299" s="2" t="s">
        <v>31</v>
      </c>
      <c r="N299" s="2" t="s">
        <v>32</v>
      </c>
      <c r="O299" s="2" t="s">
        <v>1323</v>
      </c>
      <c r="P299" s="2" t="s">
        <v>34</v>
      </c>
      <c r="Q299" t="s">
        <v>389</v>
      </c>
      <c r="R299" s="2" t="s">
        <v>206</v>
      </c>
      <c r="S299" s="2" t="s">
        <v>390</v>
      </c>
      <c r="T299" s="2" t="s">
        <v>60</v>
      </c>
    </row>
    <row r="300" spans="1:23" x14ac:dyDescent="0.25">
      <c r="A300" t="s">
        <v>1662</v>
      </c>
      <c r="B300" s="4">
        <f t="shared" si="4"/>
        <v>72694</v>
      </c>
      <c r="C300" t="s">
        <v>1663</v>
      </c>
      <c r="D300" t="s">
        <v>42</v>
      </c>
      <c r="E300" t="s">
        <v>1024</v>
      </c>
      <c r="F300">
        <v>3</v>
      </c>
      <c r="G300" t="s">
        <v>352</v>
      </c>
      <c r="H300" s="2" t="s">
        <v>27</v>
      </c>
      <c r="I300" t="s">
        <v>379</v>
      </c>
      <c r="J300" s="2" t="s">
        <v>1664</v>
      </c>
      <c r="L300" s="2" t="s">
        <v>30</v>
      </c>
      <c r="M300" s="2" t="s">
        <v>31</v>
      </c>
      <c r="N300" s="2" t="s">
        <v>32</v>
      </c>
      <c r="O300" s="2" t="s">
        <v>897</v>
      </c>
      <c r="P300" s="2" t="s">
        <v>34</v>
      </c>
      <c r="Q300" t="s">
        <v>1665</v>
      </c>
      <c r="R300" s="2" t="s">
        <v>206</v>
      </c>
      <c r="S300" s="2" t="s">
        <v>1666</v>
      </c>
      <c r="T300" s="2" t="s">
        <v>60</v>
      </c>
    </row>
    <row r="301" spans="1:23" x14ac:dyDescent="0.25">
      <c r="A301" t="s">
        <v>1667</v>
      </c>
      <c r="B301" s="4">
        <f t="shared" si="4"/>
        <v>72697</v>
      </c>
      <c r="C301" t="s">
        <v>1668</v>
      </c>
      <c r="D301" t="s">
        <v>279</v>
      </c>
      <c r="E301" t="s">
        <v>414</v>
      </c>
      <c r="F301">
        <v>1</v>
      </c>
      <c r="G301" t="s">
        <v>352</v>
      </c>
      <c r="H301" s="2" t="s">
        <v>27</v>
      </c>
      <c r="I301" t="s">
        <v>379</v>
      </c>
      <c r="J301" s="2" t="s">
        <v>1669</v>
      </c>
      <c r="L301" s="2" t="s">
        <v>30</v>
      </c>
      <c r="M301" s="2" t="s">
        <v>31</v>
      </c>
      <c r="N301" s="2" t="s">
        <v>32</v>
      </c>
      <c r="O301" s="2" t="s">
        <v>1323</v>
      </c>
      <c r="P301" s="2" t="s">
        <v>34</v>
      </c>
      <c r="Q301" t="s">
        <v>1279</v>
      </c>
      <c r="R301" s="2" t="s">
        <v>206</v>
      </c>
      <c r="S301" s="2" t="s">
        <v>1280</v>
      </c>
      <c r="T301" s="2" t="s">
        <v>60</v>
      </c>
    </row>
    <row r="302" spans="1:23" x14ac:dyDescent="0.25">
      <c r="A302" t="s">
        <v>1670</v>
      </c>
      <c r="B302" s="4">
        <f t="shared" si="4"/>
        <v>72716</v>
      </c>
      <c r="C302" t="s">
        <v>1671</v>
      </c>
      <c r="D302" t="s">
        <v>365</v>
      </c>
      <c r="E302" t="s">
        <v>878</v>
      </c>
      <c r="F302" t="s">
        <v>367</v>
      </c>
      <c r="G302" t="s">
        <v>352</v>
      </c>
      <c r="H302" s="2" t="s">
        <v>373</v>
      </c>
      <c r="I302" t="s">
        <v>28</v>
      </c>
      <c r="K302" s="2" t="s">
        <v>727</v>
      </c>
      <c r="L302" s="2" t="s">
        <v>30</v>
      </c>
      <c r="M302" s="2" t="s">
        <v>31</v>
      </c>
      <c r="N302" s="2" t="s">
        <v>32</v>
      </c>
      <c r="O302" s="2" t="s">
        <v>1672</v>
      </c>
      <c r="P302" s="2" t="s">
        <v>34</v>
      </c>
      <c r="Q302" t="s">
        <v>1389</v>
      </c>
      <c r="R302" s="2" t="s">
        <v>206</v>
      </c>
      <c r="S302" s="2" t="s">
        <v>1390</v>
      </c>
      <c r="T302" s="2" t="s">
        <v>34</v>
      </c>
      <c r="U302" s="2" t="s">
        <v>1391</v>
      </c>
      <c r="V302" s="2" t="s">
        <v>1673</v>
      </c>
      <c r="W302" t="s">
        <v>1674</v>
      </c>
    </row>
    <row r="303" spans="1:23" x14ac:dyDescent="0.25">
      <c r="A303" t="s">
        <v>1675</v>
      </c>
      <c r="B303" s="4">
        <f t="shared" si="4"/>
        <v>72718</v>
      </c>
      <c r="C303" t="s">
        <v>1676</v>
      </c>
      <c r="D303" t="s">
        <v>185</v>
      </c>
      <c r="E303" t="s">
        <v>393</v>
      </c>
      <c r="F303" t="s">
        <v>187</v>
      </c>
      <c r="G303" t="s">
        <v>352</v>
      </c>
      <c r="H303" s="2" t="s">
        <v>27</v>
      </c>
      <c r="I303" t="s">
        <v>379</v>
      </c>
      <c r="J303" s="2" t="s">
        <v>1677</v>
      </c>
      <c r="L303" s="2" t="s">
        <v>30</v>
      </c>
      <c r="M303" s="2" t="s">
        <v>31</v>
      </c>
      <c r="N303" s="2" t="s">
        <v>32</v>
      </c>
      <c r="O303" s="2" t="s">
        <v>1323</v>
      </c>
      <c r="P303" s="2" t="s">
        <v>34</v>
      </c>
      <c r="Q303" t="s">
        <v>1678</v>
      </c>
      <c r="R303" s="2" t="s">
        <v>206</v>
      </c>
      <c r="S303" s="2" t="s">
        <v>1679</v>
      </c>
      <c r="T303" s="2" t="s">
        <v>60</v>
      </c>
    </row>
    <row r="304" spans="1:23" x14ac:dyDescent="0.25">
      <c r="A304" t="s">
        <v>1680</v>
      </c>
      <c r="B304" s="4">
        <f t="shared" si="4"/>
        <v>72723</v>
      </c>
      <c r="C304" t="s">
        <v>1681</v>
      </c>
      <c r="D304" t="s">
        <v>365</v>
      </c>
      <c r="E304" t="s">
        <v>1396</v>
      </c>
      <c r="F304" t="s">
        <v>367</v>
      </c>
      <c r="G304" t="s">
        <v>352</v>
      </c>
      <c r="H304" s="2" t="s">
        <v>373</v>
      </c>
      <c r="I304" t="s">
        <v>379</v>
      </c>
      <c r="K304" s="2" t="s">
        <v>727</v>
      </c>
      <c r="L304" s="2" t="s">
        <v>30</v>
      </c>
      <c r="M304" s="2" t="s">
        <v>31</v>
      </c>
      <c r="N304" s="2" t="s">
        <v>32</v>
      </c>
      <c r="O304" s="2" t="s">
        <v>1323</v>
      </c>
      <c r="P304" s="2" t="s">
        <v>34</v>
      </c>
      <c r="Q304" t="s">
        <v>526</v>
      </c>
      <c r="R304" s="2" t="s">
        <v>206</v>
      </c>
      <c r="S304" s="2" t="s">
        <v>527</v>
      </c>
      <c r="T304" s="2" t="s">
        <v>60</v>
      </c>
    </row>
    <row r="305" spans="1:23" x14ac:dyDescent="0.25">
      <c r="A305" t="s">
        <v>1682</v>
      </c>
      <c r="B305" s="4">
        <f t="shared" si="4"/>
        <v>72744</v>
      </c>
      <c r="C305" t="s">
        <v>1683</v>
      </c>
      <c r="D305" t="s">
        <v>365</v>
      </c>
      <c r="E305" t="s">
        <v>878</v>
      </c>
      <c r="F305" t="s">
        <v>367</v>
      </c>
      <c r="G305" t="s">
        <v>352</v>
      </c>
      <c r="H305" s="2" t="s">
        <v>27</v>
      </c>
      <c r="I305" t="s">
        <v>379</v>
      </c>
      <c r="J305" s="2" t="s">
        <v>1684</v>
      </c>
      <c r="L305" s="2" t="s">
        <v>30</v>
      </c>
      <c r="M305" s="2" t="s">
        <v>31</v>
      </c>
      <c r="N305" s="2" t="s">
        <v>32</v>
      </c>
      <c r="O305" s="2" t="s">
        <v>1323</v>
      </c>
      <c r="P305" s="2" t="s">
        <v>34</v>
      </c>
      <c r="Q305" t="s">
        <v>1685</v>
      </c>
      <c r="R305" s="2" t="s">
        <v>206</v>
      </c>
      <c r="S305" s="2" t="s">
        <v>1686</v>
      </c>
      <c r="T305" s="2" t="s">
        <v>60</v>
      </c>
    </row>
    <row r="306" spans="1:23" x14ac:dyDescent="0.25">
      <c r="A306" t="s">
        <v>1687</v>
      </c>
      <c r="B306" s="4">
        <f t="shared" si="4"/>
        <v>72745</v>
      </c>
      <c r="C306" t="s">
        <v>1688</v>
      </c>
      <c r="D306" t="s">
        <v>42</v>
      </c>
      <c r="E306" t="s">
        <v>90</v>
      </c>
      <c r="F306">
        <v>3</v>
      </c>
      <c r="G306" t="s">
        <v>26</v>
      </c>
      <c r="H306" s="2" t="s">
        <v>27</v>
      </c>
      <c r="I306" t="s">
        <v>55</v>
      </c>
      <c r="J306" s="2" t="s">
        <v>1689</v>
      </c>
      <c r="L306" s="2" t="s">
        <v>30</v>
      </c>
      <c r="M306" s="2" t="s">
        <v>31</v>
      </c>
      <c r="N306" s="2" t="s">
        <v>32</v>
      </c>
      <c r="O306" s="2" t="s">
        <v>85</v>
      </c>
      <c r="P306" s="2" t="s">
        <v>34</v>
      </c>
      <c r="Q306" t="s">
        <v>86</v>
      </c>
      <c r="R306" s="2" t="s">
        <v>87</v>
      </c>
      <c r="T306" s="2" t="s">
        <v>60</v>
      </c>
    </row>
    <row r="307" spans="1:23" x14ac:dyDescent="0.25">
      <c r="A307" t="s">
        <v>1690</v>
      </c>
      <c r="B307" s="4">
        <f t="shared" si="4"/>
        <v>72764</v>
      </c>
      <c r="C307" t="s">
        <v>1691</v>
      </c>
      <c r="D307" t="s">
        <v>185</v>
      </c>
      <c r="E307" t="s">
        <v>1692</v>
      </c>
      <c r="F307" t="s">
        <v>680</v>
      </c>
      <c r="G307" t="s">
        <v>352</v>
      </c>
      <c r="H307" s="2" t="s">
        <v>27</v>
      </c>
      <c r="I307" t="s">
        <v>28</v>
      </c>
      <c r="J307" s="2" t="s">
        <v>1693</v>
      </c>
      <c r="L307" s="2" t="s">
        <v>30</v>
      </c>
      <c r="M307" s="2" t="s">
        <v>31</v>
      </c>
      <c r="N307" s="2" t="s">
        <v>32</v>
      </c>
      <c r="O307" s="2" t="s">
        <v>1323</v>
      </c>
      <c r="P307" s="2" t="s">
        <v>34</v>
      </c>
      <c r="Q307" t="s">
        <v>1694</v>
      </c>
      <c r="R307" s="2" t="s">
        <v>1695</v>
      </c>
      <c r="T307" s="2" t="s">
        <v>34</v>
      </c>
      <c r="U307" s="2" t="s">
        <v>1696</v>
      </c>
      <c r="V307" s="2" t="s">
        <v>1697</v>
      </c>
      <c r="W307" t="s">
        <v>1698</v>
      </c>
    </row>
    <row r="308" spans="1:23" x14ac:dyDescent="0.25">
      <c r="A308" t="s">
        <v>1699</v>
      </c>
      <c r="B308" s="4">
        <f t="shared" si="4"/>
        <v>72770</v>
      </c>
      <c r="C308" t="s">
        <v>1700</v>
      </c>
      <c r="D308" t="s">
        <v>24</v>
      </c>
      <c r="E308" t="s">
        <v>113</v>
      </c>
      <c r="F308">
        <v>2</v>
      </c>
      <c r="G308" t="s">
        <v>26</v>
      </c>
      <c r="H308" s="2" t="s">
        <v>27</v>
      </c>
      <c r="I308" t="s">
        <v>28</v>
      </c>
      <c r="J308" s="2" t="s">
        <v>428</v>
      </c>
      <c r="L308" s="2" t="s">
        <v>30</v>
      </c>
      <c r="M308" s="2" t="s">
        <v>31</v>
      </c>
      <c r="N308" s="2" t="s">
        <v>32</v>
      </c>
      <c r="O308" s="2" t="s">
        <v>115</v>
      </c>
      <c r="P308" s="2" t="s">
        <v>60</v>
      </c>
      <c r="R308" s="2" t="s">
        <v>206</v>
      </c>
      <c r="T308" s="2" t="s">
        <v>60</v>
      </c>
    </row>
    <row r="309" spans="1:23" x14ac:dyDescent="0.25">
      <c r="A309" t="s">
        <v>1701</v>
      </c>
      <c r="B309" s="4">
        <f t="shared" si="4"/>
        <v>72798</v>
      </c>
      <c r="C309" t="s">
        <v>1702</v>
      </c>
      <c r="D309" t="s">
        <v>24</v>
      </c>
      <c r="E309" t="s">
        <v>655</v>
      </c>
      <c r="F309">
        <v>2</v>
      </c>
      <c r="G309" t="s">
        <v>26</v>
      </c>
      <c r="H309" s="2" t="s">
        <v>27</v>
      </c>
      <c r="I309" t="s">
        <v>55</v>
      </c>
      <c r="J309" s="2" t="s">
        <v>1703</v>
      </c>
      <c r="L309" s="2" t="s">
        <v>30</v>
      </c>
      <c r="M309" s="2" t="s">
        <v>31</v>
      </c>
      <c r="N309" s="2" t="s">
        <v>32</v>
      </c>
      <c r="O309" s="2" t="s">
        <v>1704</v>
      </c>
      <c r="P309" s="2" t="s">
        <v>34</v>
      </c>
      <c r="Q309" t="s">
        <v>1705</v>
      </c>
      <c r="R309" s="2" t="s">
        <v>1706</v>
      </c>
      <c r="T309" s="2" t="s">
        <v>60</v>
      </c>
    </row>
    <row r="310" spans="1:23" x14ac:dyDescent="0.25">
      <c r="A310" t="s">
        <v>1707</v>
      </c>
      <c r="B310" s="4">
        <f t="shared" si="4"/>
        <v>72803</v>
      </c>
      <c r="C310" t="s">
        <v>1708</v>
      </c>
      <c r="D310" t="s">
        <v>42</v>
      </c>
      <c r="E310" t="s">
        <v>517</v>
      </c>
      <c r="F310">
        <v>2</v>
      </c>
      <c r="G310" t="s">
        <v>352</v>
      </c>
      <c r="H310" s="2" t="s">
        <v>373</v>
      </c>
      <c r="I310" t="s">
        <v>379</v>
      </c>
      <c r="K310" s="2" t="s">
        <v>1709</v>
      </c>
      <c r="L310" s="2" t="s">
        <v>30</v>
      </c>
      <c r="M310" s="2" t="s">
        <v>31</v>
      </c>
      <c r="N310" s="2" t="s">
        <v>32</v>
      </c>
      <c r="O310" s="2" t="s">
        <v>275</v>
      </c>
      <c r="P310" s="2" t="s">
        <v>34</v>
      </c>
      <c r="Q310" t="s">
        <v>1516</v>
      </c>
      <c r="R310" s="2" t="s">
        <v>206</v>
      </c>
      <c r="S310" s="2" t="s">
        <v>1517</v>
      </c>
      <c r="T310" s="2" t="s">
        <v>60</v>
      </c>
    </row>
    <row r="311" spans="1:23" x14ac:dyDescent="0.25">
      <c r="A311" t="s">
        <v>1710</v>
      </c>
      <c r="B311" s="4">
        <f t="shared" si="4"/>
        <v>72808</v>
      </c>
      <c r="C311" t="s">
        <v>1711</v>
      </c>
      <c r="D311" t="s">
        <v>185</v>
      </c>
      <c r="E311" t="s">
        <v>1416</v>
      </c>
      <c r="F311" t="s">
        <v>187</v>
      </c>
      <c r="G311" t="s">
        <v>352</v>
      </c>
      <c r="H311" s="2" t="s">
        <v>27</v>
      </c>
      <c r="I311" t="s">
        <v>379</v>
      </c>
      <c r="J311" s="2" t="s">
        <v>1712</v>
      </c>
      <c r="L311" s="2" t="s">
        <v>30</v>
      </c>
      <c r="M311" s="2" t="s">
        <v>31</v>
      </c>
      <c r="N311" s="2" t="s">
        <v>32</v>
      </c>
      <c r="O311" s="2" t="s">
        <v>1323</v>
      </c>
      <c r="P311" s="2" t="s">
        <v>34</v>
      </c>
      <c r="Q311" t="s">
        <v>1713</v>
      </c>
      <c r="R311" s="2" t="s">
        <v>206</v>
      </c>
      <c r="S311" s="2" t="s">
        <v>1714</v>
      </c>
      <c r="T311" s="2" t="s">
        <v>60</v>
      </c>
    </row>
    <row r="312" spans="1:23" x14ac:dyDescent="0.25">
      <c r="A312" t="s">
        <v>1715</v>
      </c>
      <c r="B312" s="4">
        <f t="shared" si="4"/>
        <v>72824</v>
      </c>
      <c r="C312" t="s">
        <v>1716</v>
      </c>
      <c r="D312" t="s">
        <v>185</v>
      </c>
      <c r="E312" t="s">
        <v>1717</v>
      </c>
      <c r="F312" t="s">
        <v>543</v>
      </c>
      <c r="G312" t="s">
        <v>26</v>
      </c>
      <c r="H312" s="2" t="s">
        <v>27</v>
      </c>
      <c r="I312" t="s">
        <v>28</v>
      </c>
      <c r="J312" s="2" t="s">
        <v>1718</v>
      </c>
      <c r="L312" s="2" t="s">
        <v>30</v>
      </c>
      <c r="M312" s="2" t="s">
        <v>31</v>
      </c>
      <c r="N312" s="2" t="s">
        <v>32</v>
      </c>
      <c r="O312" s="2" t="s">
        <v>1323</v>
      </c>
      <c r="P312" s="2" t="s">
        <v>34</v>
      </c>
      <c r="Q312" t="s">
        <v>1719</v>
      </c>
      <c r="R312" s="2" t="s">
        <v>1720</v>
      </c>
      <c r="T312" s="2" t="s">
        <v>60</v>
      </c>
    </row>
    <row r="313" spans="1:23" x14ac:dyDescent="0.25">
      <c r="A313" t="s">
        <v>1721</v>
      </c>
      <c r="B313" s="4">
        <f t="shared" si="4"/>
        <v>72827</v>
      </c>
      <c r="C313" t="s">
        <v>1722</v>
      </c>
      <c r="D313" t="s">
        <v>279</v>
      </c>
      <c r="E313" t="s">
        <v>280</v>
      </c>
      <c r="F313">
        <v>1</v>
      </c>
      <c r="G313" t="s">
        <v>26</v>
      </c>
      <c r="H313" s="2" t="s">
        <v>27</v>
      </c>
      <c r="I313" t="s">
        <v>55</v>
      </c>
      <c r="J313" s="2" t="s">
        <v>1723</v>
      </c>
      <c r="L313" s="2" t="s">
        <v>30</v>
      </c>
      <c r="M313" s="2" t="s">
        <v>31</v>
      </c>
      <c r="N313" s="2" t="s">
        <v>32</v>
      </c>
      <c r="O313" s="2" t="s">
        <v>1323</v>
      </c>
      <c r="P313" s="2" t="s">
        <v>34</v>
      </c>
      <c r="Q313" t="s">
        <v>282</v>
      </c>
      <c r="R313" s="2" t="s">
        <v>206</v>
      </c>
      <c r="S313" s="2" t="s">
        <v>283</v>
      </c>
      <c r="T313" s="2" t="s">
        <v>60</v>
      </c>
    </row>
    <row r="314" spans="1:23" x14ac:dyDescent="0.25">
      <c r="A314" t="s">
        <v>1724</v>
      </c>
      <c r="B314" s="4">
        <f t="shared" si="4"/>
        <v>72828</v>
      </c>
      <c r="C314" t="s">
        <v>1725</v>
      </c>
      <c r="D314" t="s">
        <v>297</v>
      </c>
      <c r="E314" t="s">
        <v>313</v>
      </c>
      <c r="F314">
        <v>1</v>
      </c>
      <c r="G314" t="s">
        <v>26</v>
      </c>
      <c r="H314" s="2" t="s">
        <v>27</v>
      </c>
      <c r="I314" t="s">
        <v>55</v>
      </c>
      <c r="J314" s="2" t="s">
        <v>1726</v>
      </c>
      <c r="L314" s="2" t="s">
        <v>30</v>
      </c>
      <c r="M314" s="2" t="s">
        <v>31</v>
      </c>
      <c r="N314" s="2" t="s">
        <v>32</v>
      </c>
      <c r="O314" s="2" t="s">
        <v>497</v>
      </c>
      <c r="P314" s="2" t="s">
        <v>34</v>
      </c>
      <c r="Q314" t="s">
        <v>1727</v>
      </c>
      <c r="R314" s="2" t="s">
        <v>1728</v>
      </c>
      <c r="T314" s="2" t="s">
        <v>60</v>
      </c>
    </row>
    <row r="315" spans="1:23" x14ac:dyDescent="0.25">
      <c r="A315" t="s">
        <v>1729</v>
      </c>
      <c r="B315" s="4">
        <f t="shared" si="4"/>
        <v>72831</v>
      </c>
      <c r="C315" t="s">
        <v>1730</v>
      </c>
      <c r="D315" t="s">
        <v>1149</v>
      </c>
      <c r="E315" t="s">
        <v>1427</v>
      </c>
      <c r="F315" t="s">
        <v>543</v>
      </c>
      <c r="G315" t="s">
        <v>352</v>
      </c>
      <c r="H315" s="2" t="s">
        <v>27</v>
      </c>
      <c r="I315" t="s">
        <v>379</v>
      </c>
      <c r="J315" s="2" t="s">
        <v>1731</v>
      </c>
      <c r="L315" s="2" t="s">
        <v>30</v>
      </c>
      <c r="M315" s="2" t="s">
        <v>31</v>
      </c>
      <c r="N315" s="2" t="s">
        <v>32</v>
      </c>
      <c r="O315" s="2" t="s">
        <v>1429</v>
      </c>
      <c r="P315" s="2" t="s">
        <v>34</v>
      </c>
      <c r="Q315" t="s">
        <v>1732</v>
      </c>
      <c r="R315" s="2" t="s">
        <v>206</v>
      </c>
      <c r="S315" s="2" t="s">
        <v>1733</v>
      </c>
      <c r="T315" s="2" t="s">
        <v>60</v>
      </c>
    </row>
    <row r="316" spans="1:23" x14ac:dyDescent="0.25">
      <c r="A316" t="s">
        <v>1734</v>
      </c>
      <c r="B316" s="4">
        <f t="shared" si="4"/>
        <v>72834</v>
      </c>
      <c r="C316" t="s">
        <v>1735</v>
      </c>
      <c r="D316" t="s">
        <v>185</v>
      </c>
      <c r="E316" t="s">
        <v>1136</v>
      </c>
      <c r="F316" t="s">
        <v>543</v>
      </c>
      <c r="G316" t="s">
        <v>352</v>
      </c>
      <c r="H316" s="2" t="s">
        <v>27</v>
      </c>
      <c r="I316" t="s">
        <v>379</v>
      </c>
      <c r="J316" s="2" t="s">
        <v>1736</v>
      </c>
      <c r="L316" s="2" t="s">
        <v>30</v>
      </c>
      <c r="M316" s="2" t="s">
        <v>31</v>
      </c>
      <c r="N316" s="2" t="s">
        <v>32</v>
      </c>
      <c r="O316" s="2" t="s">
        <v>1323</v>
      </c>
      <c r="P316" s="2" t="s">
        <v>34</v>
      </c>
      <c r="Q316" t="s">
        <v>1737</v>
      </c>
      <c r="R316" s="2" t="s">
        <v>206</v>
      </c>
      <c r="S316" s="2" t="s">
        <v>1738</v>
      </c>
      <c r="T316" s="2" t="s">
        <v>60</v>
      </c>
    </row>
    <row r="317" spans="1:23" x14ac:dyDescent="0.25">
      <c r="A317" t="s">
        <v>1739</v>
      </c>
      <c r="B317" s="4">
        <f t="shared" si="4"/>
        <v>72837</v>
      </c>
      <c r="C317" t="s">
        <v>1740</v>
      </c>
      <c r="D317" t="s">
        <v>365</v>
      </c>
      <c r="E317" t="s">
        <v>366</v>
      </c>
      <c r="F317" t="s">
        <v>367</v>
      </c>
      <c r="G317" t="s">
        <v>352</v>
      </c>
      <c r="H317" s="2" t="s">
        <v>373</v>
      </c>
      <c r="I317" t="s">
        <v>28</v>
      </c>
      <c r="K317" s="2" t="s">
        <v>727</v>
      </c>
      <c r="L317" s="2" t="s">
        <v>30</v>
      </c>
      <c r="M317" s="2" t="s">
        <v>31</v>
      </c>
      <c r="N317" s="2" t="s">
        <v>32</v>
      </c>
      <c r="O317" s="2" t="s">
        <v>1741</v>
      </c>
      <c r="P317" s="2" t="s">
        <v>34</v>
      </c>
      <c r="Q317" t="s">
        <v>1742</v>
      </c>
      <c r="R317" s="2" t="s">
        <v>206</v>
      </c>
      <c r="S317" s="2" t="s">
        <v>1743</v>
      </c>
      <c r="T317" s="2" t="s">
        <v>60</v>
      </c>
    </row>
    <row r="318" spans="1:23" x14ac:dyDescent="0.25">
      <c r="A318" t="s">
        <v>1744</v>
      </c>
      <c r="B318" s="4">
        <f t="shared" si="4"/>
        <v>72848</v>
      </c>
      <c r="C318" t="s">
        <v>1745</v>
      </c>
      <c r="D318" t="s">
        <v>320</v>
      </c>
      <c r="E318" t="s">
        <v>67</v>
      </c>
      <c r="F318">
        <v>1</v>
      </c>
      <c r="G318" t="s">
        <v>352</v>
      </c>
      <c r="H318" s="2" t="s">
        <v>27</v>
      </c>
      <c r="I318" t="s">
        <v>28</v>
      </c>
      <c r="J318" s="2" t="s">
        <v>1746</v>
      </c>
      <c r="L318" s="2" t="s">
        <v>30</v>
      </c>
      <c r="M318" s="2" t="s">
        <v>31</v>
      </c>
      <c r="N318" s="2" t="s">
        <v>32</v>
      </c>
      <c r="O318" s="2" t="s">
        <v>1747</v>
      </c>
      <c r="P318" s="2" t="s">
        <v>34</v>
      </c>
      <c r="Q318" t="s">
        <v>1748</v>
      </c>
      <c r="R318" s="2" t="s">
        <v>1749</v>
      </c>
      <c r="T318" s="2" t="s">
        <v>34</v>
      </c>
      <c r="U318" s="2" t="s">
        <v>1750</v>
      </c>
      <c r="V318" s="2" t="s">
        <v>1751</v>
      </c>
      <c r="W318" t="s">
        <v>1752</v>
      </c>
    </row>
    <row r="319" spans="1:23" x14ac:dyDescent="0.25">
      <c r="A319" t="s">
        <v>1753</v>
      </c>
      <c r="B319" s="4">
        <f t="shared" si="4"/>
        <v>72849</v>
      </c>
      <c r="C319" t="s">
        <v>1754</v>
      </c>
      <c r="D319" t="s">
        <v>1149</v>
      </c>
      <c r="E319" t="s">
        <v>1593</v>
      </c>
      <c r="F319" t="s">
        <v>543</v>
      </c>
      <c r="G319" t="s">
        <v>352</v>
      </c>
      <c r="H319" s="2" t="s">
        <v>27</v>
      </c>
      <c r="I319" t="s">
        <v>379</v>
      </c>
      <c r="J319" s="2" t="s">
        <v>1755</v>
      </c>
      <c r="L319" s="2" t="s">
        <v>30</v>
      </c>
      <c r="M319" s="2" t="s">
        <v>31</v>
      </c>
      <c r="N319" s="2" t="s">
        <v>32</v>
      </c>
      <c r="O319" s="2" t="s">
        <v>1756</v>
      </c>
      <c r="P319" s="2" t="s">
        <v>34</v>
      </c>
      <c r="Q319" t="s">
        <v>1757</v>
      </c>
      <c r="R319" s="2" t="s">
        <v>1758</v>
      </c>
      <c r="T319" s="2" t="s">
        <v>60</v>
      </c>
    </row>
    <row r="320" spans="1:23" x14ac:dyDescent="0.25">
      <c r="A320" t="s">
        <v>1759</v>
      </c>
      <c r="B320" s="4">
        <f t="shared" si="4"/>
        <v>72855</v>
      </c>
      <c r="C320" t="s">
        <v>1760</v>
      </c>
      <c r="D320" t="s">
        <v>149</v>
      </c>
      <c r="E320" t="s">
        <v>150</v>
      </c>
      <c r="F320">
        <v>3</v>
      </c>
      <c r="G320" t="s">
        <v>26</v>
      </c>
      <c r="H320" s="2" t="s">
        <v>27</v>
      </c>
      <c r="I320" t="s">
        <v>55</v>
      </c>
      <c r="J320" s="2" t="s">
        <v>1761</v>
      </c>
      <c r="L320" s="2" t="s">
        <v>30</v>
      </c>
      <c r="M320" s="2" t="s">
        <v>31</v>
      </c>
      <c r="N320" s="2" t="s">
        <v>32</v>
      </c>
      <c r="O320" s="2" t="s">
        <v>711</v>
      </c>
      <c r="P320" s="2" t="s">
        <v>34</v>
      </c>
      <c r="Q320" t="s">
        <v>794</v>
      </c>
      <c r="R320" s="2" t="s">
        <v>795</v>
      </c>
      <c r="T320" s="2" t="s">
        <v>60</v>
      </c>
    </row>
    <row r="321" spans="1:23" x14ac:dyDescent="0.25">
      <c r="A321" t="s">
        <v>1762</v>
      </c>
      <c r="B321" s="4">
        <f t="shared" si="4"/>
        <v>72856</v>
      </c>
      <c r="C321" t="s">
        <v>1763</v>
      </c>
      <c r="D321" t="s">
        <v>365</v>
      </c>
      <c r="E321" t="s">
        <v>1764</v>
      </c>
      <c r="F321" t="s">
        <v>187</v>
      </c>
      <c r="G321" t="s">
        <v>26</v>
      </c>
      <c r="H321" s="2" t="s">
        <v>27</v>
      </c>
      <c r="I321" t="s">
        <v>55</v>
      </c>
      <c r="J321" s="2" t="s">
        <v>1765</v>
      </c>
      <c r="L321" s="2" t="s">
        <v>30</v>
      </c>
      <c r="M321" s="2" t="s">
        <v>31</v>
      </c>
      <c r="N321" s="2" t="s">
        <v>32</v>
      </c>
      <c r="O321" s="2" t="s">
        <v>1323</v>
      </c>
      <c r="P321" s="2" t="s">
        <v>34</v>
      </c>
      <c r="Q321" t="s">
        <v>1766</v>
      </c>
      <c r="R321" s="2" t="s">
        <v>206</v>
      </c>
      <c r="S321" s="2" t="s">
        <v>1767</v>
      </c>
      <c r="T321" s="2" t="s">
        <v>60</v>
      </c>
    </row>
    <row r="322" spans="1:23" x14ac:dyDescent="0.25">
      <c r="A322" t="s">
        <v>1768</v>
      </c>
      <c r="B322" s="4">
        <f t="shared" si="4"/>
        <v>72857</v>
      </c>
      <c r="C322" t="s">
        <v>1769</v>
      </c>
      <c r="D322" t="s">
        <v>279</v>
      </c>
      <c r="E322" t="s">
        <v>1660</v>
      </c>
      <c r="F322" t="s">
        <v>543</v>
      </c>
      <c r="G322" t="s">
        <v>352</v>
      </c>
      <c r="H322" s="2" t="s">
        <v>27</v>
      </c>
      <c r="I322" t="s">
        <v>379</v>
      </c>
      <c r="J322" s="2" t="s">
        <v>1770</v>
      </c>
      <c r="L322" s="2" t="s">
        <v>30</v>
      </c>
      <c r="M322" s="2" t="s">
        <v>31</v>
      </c>
      <c r="N322" s="2" t="s">
        <v>32</v>
      </c>
      <c r="O322" s="2" t="s">
        <v>1323</v>
      </c>
      <c r="P322" s="2" t="s">
        <v>34</v>
      </c>
      <c r="Q322" t="s">
        <v>1771</v>
      </c>
      <c r="R322" s="2" t="s">
        <v>206</v>
      </c>
      <c r="S322" s="2" t="s">
        <v>1772</v>
      </c>
      <c r="T322" s="2" t="s">
        <v>60</v>
      </c>
    </row>
    <row r="323" spans="1:23" x14ac:dyDescent="0.25">
      <c r="A323" t="s">
        <v>1773</v>
      </c>
      <c r="B323" s="4">
        <f t="shared" ref="B323:B386" si="5">REPLACE(A323, 1, 1, "")+0</f>
        <v>72858</v>
      </c>
      <c r="C323" t="s">
        <v>1774</v>
      </c>
      <c r="D323" t="s">
        <v>365</v>
      </c>
      <c r="E323" t="s">
        <v>90</v>
      </c>
      <c r="F323" t="s">
        <v>367</v>
      </c>
      <c r="G323" t="s">
        <v>26</v>
      </c>
      <c r="H323" s="2" t="s">
        <v>373</v>
      </c>
      <c r="I323" t="s">
        <v>822</v>
      </c>
      <c r="K323" s="2" t="s">
        <v>1775</v>
      </c>
      <c r="L323" s="2" t="s">
        <v>30</v>
      </c>
      <c r="M323" s="2" t="s">
        <v>31</v>
      </c>
      <c r="N323" s="2" t="s">
        <v>32</v>
      </c>
      <c r="O323" s="2" t="s">
        <v>1776</v>
      </c>
      <c r="P323" s="2" t="s">
        <v>34</v>
      </c>
      <c r="Q323" t="s">
        <v>1777</v>
      </c>
      <c r="R323" s="2" t="s">
        <v>206</v>
      </c>
      <c r="S323" s="2" t="s">
        <v>1778</v>
      </c>
      <c r="T323" s="2" t="s">
        <v>60</v>
      </c>
    </row>
    <row r="324" spans="1:23" x14ac:dyDescent="0.25">
      <c r="A324" t="s">
        <v>1779</v>
      </c>
      <c r="B324" s="4">
        <f t="shared" si="5"/>
        <v>72863</v>
      </c>
      <c r="C324" t="s">
        <v>1780</v>
      </c>
      <c r="D324" t="s">
        <v>1781</v>
      </c>
      <c r="E324" t="s">
        <v>1782</v>
      </c>
      <c r="F324">
        <v>3</v>
      </c>
      <c r="G324" t="s">
        <v>26</v>
      </c>
      <c r="H324" s="2" t="s">
        <v>27</v>
      </c>
      <c r="I324" t="s">
        <v>368</v>
      </c>
      <c r="J324" s="2" t="s">
        <v>1783</v>
      </c>
      <c r="L324" s="2" t="s">
        <v>30</v>
      </c>
      <c r="M324" s="2" t="s">
        <v>31</v>
      </c>
      <c r="N324" s="2" t="s">
        <v>32</v>
      </c>
      <c r="O324" s="2" t="s">
        <v>79</v>
      </c>
      <c r="P324" s="2" t="s">
        <v>34</v>
      </c>
      <c r="Q324" t="s">
        <v>1784</v>
      </c>
      <c r="R324" s="2" t="s">
        <v>1785</v>
      </c>
      <c r="T324" s="2" t="s">
        <v>60</v>
      </c>
    </row>
    <row r="325" spans="1:23" x14ac:dyDescent="0.25">
      <c r="A325" t="s">
        <v>1786</v>
      </c>
      <c r="B325" s="4">
        <f t="shared" si="5"/>
        <v>72870</v>
      </c>
      <c r="C325" t="s">
        <v>1787</v>
      </c>
      <c r="D325" t="s">
        <v>185</v>
      </c>
      <c r="E325" t="s">
        <v>1593</v>
      </c>
      <c r="F325" t="s">
        <v>543</v>
      </c>
      <c r="G325" t="s">
        <v>352</v>
      </c>
      <c r="H325" s="2" t="s">
        <v>373</v>
      </c>
      <c r="I325" t="s">
        <v>379</v>
      </c>
      <c r="K325" s="2" t="s">
        <v>1232</v>
      </c>
      <c r="L325" s="2" t="s">
        <v>30</v>
      </c>
      <c r="M325" s="2" t="s">
        <v>31</v>
      </c>
      <c r="N325" s="2" t="s">
        <v>32</v>
      </c>
      <c r="O325" s="2" t="s">
        <v>1788</v>
      </c>
      <c r="P325" s="2" t="s">
        <v>34</v>
      </c>
      <c r="Q325" t="s">
        <v>1789</v>
      </c>
      <c r="R325" s="2" t="s">
        <v>1790</v>
      </c>
      <c r="T325" s="2" t="s">
        <v>60</v>
      </c>
    </row>
    <row r="326" spans="1:23" x14ac:dyDescent="0.25">
      <c r="A326" t="s">
        <v>1791</v>
      </c>
      <c r="B326" s="4">
        <f t="shared" si="5"/>
        <v>72871</v>
      </c>
      <c r="C326" t="s">
        <v>1792</v>
      </c>
      <c r="D326" t="s">
        <v>320</v>
      </c>
      <c r="E326" t="s">
        <v>1793</v>
      </c>
      <c r="F326" t="s">
        <v>187</v>
      </c>
      <c r="G326" t="s">
        <v>26</v>
      </c>
      <c r="H326" s="2" t="s">
        <v>27</v>
      </c>
      <c r="I326" t="s">
        <v>28</v>
      </c>
      <c r="J326" s="2" t="s">
        <v>1794</v>
      </c>
      <c r="L326" s="2" t="s">
        <v>30</v>
      </c>
      <c r="M326" s="2" t="s">
        <v>31</v>
      </c>
      <c r="N326" s="2" t="s">
        <v>32</v>
      </c>
      <c r="O326" s="2" t="s">
        <v>1795</v>
      </c>
      <c r="P326" s="2" t="s">
        <v>34</v>
      </c>
      <c r="Q326" t="s">
        <v>1796</v>
      </c>
      <c r="R326" s="2" t="s">
        <v>1797</v>
      </c>
      <c r="T326" s="2" t="s">
        <v>60</v>
      </c>
    </row>
    <row r="327" spans="1:23" x14ac:dyDescent="0.25">
      <c r="A327" t="s">
        <v>1798</v>
      </c>
      <c r="B327" s="4">
        <f t="shared" si="5"/>
        <v>72874</v>
      </c>
      <c r="C327" t="s">
        <v>1799</v>
      </c>
      <c r="D327" t="s">
        <v>297</v>
      </c>
      <c r="E327" t="s">
        <v>298</v>
      </c>
      <c r="F327">
        <v>1</v>
      </c>
      <c r="G327" t="s">
        <v>26</v>
      </c>
      <c r="H327" s="2" t="s">
        <v>27</v>
      </c>
      <c r="I327" t="s">
        <v>55</v>
      </c>
      <c r="J327" s="2" t="s">
        <v>1800</v>
      </c>
      <c r="L327" s="2" t="s">
        <v>30</v>
      </c>
      <c r="M327" s="2" t="s">
        <v>31</v>
      </c>
      <c r="N327" s="2" t="s">
        <v>32</v>
      </c>
      <c r="O327" s="2" t="s">
        <v>130</v>
      </c>
      <c r="P327" s="2" t="s">
        <v>34</v>
      </c>
      <c r="Q327" t="s">
        <v>1801</v>
      </c>
      <c r="R327" s="2" t="s">
        <v>206</v>
      </c>
      <c r="S327" s="2" t="s">
        <v>1802</v>
      </c>
      <c r="T327" s="2" t="s">
        <v>60</v>
      </c>
    </row>
    <row r="328" spans="1:23" x14ac:dyDescent="0.25">
      <c r="A328" t="s">
        <v>1803</v>
      </c>
      <c r="B328" s="4">
        <f t="shared" si="5"/>
        <v>72877</v>
      </c>
      <c r="C328" t="s">
        <v>1804</v>
      </c>
      <c r="D328" t="s">
        <v>365</v>
      </c>
      <c r="E328" t="s">
        <v>1805</v>
      </c>
      <c r="F328" t="s">
        <v>367</v>
      </c>
      <c r="G328" t="s">
        <v>26</v>
      </c>
      <c r="H328" s="2" t="s">
        <v>27</v>
      </c>
      <c r="I328" t="s">
        <v>368</v>
      </c>
      <c r="J328" s="2" t="s">
        <v>1806</v>
      </c>
      <c r="L328" s="2" t="s">
        <v>30</v>
      </c>
      <c r="M328" s="2" t="s">
        <v>31</v>
      </c>
      <c r="N328" s="2" t="s">
        <v>32</v>
      </c>
      <c r="O328" s="2" t="s">
        <v>1323</v>
      </c>
      <c r="P328" s="2" t="s">
        <v>34</v>
      </c>
      <c r="Q328" t="s">
        <v>1807</v>
      </c>
      <c r="R328" s="2" t="s">
        <v>1808</v>
      </c>
      <c r="T328" s="2" t="s">
        <v>60</v>
      </c>
    </row>
    <row r="329" spans="1:23" x14ac:dyDescent="0.25">
      <c r="A329" t="s">
        <v>1809</v>
      </c>
      <c r="B329" s="4">
        <f t="shared" si="5"/>
        <v>72890</v>
      </c>
      <c r="C329" t="s">
        <v>1810</v>
      </c>
      <c r="D329" t="s">
        <v>185</v>
      </c>
      <c r="E329" t="s">
        <v>1811</v>
      </c>
      <c r="F329" t="s">
        <v>543</v>
      </c>
      <c r="G329" t="s">
        <v>26</v>
      </c>
      <c r="H329" s="2" t="s">
        <v>27</v>
      </c>
      <c r="I329" t="s">
        <v>28</v>
      </c>
      <c r="J329" s="2" t="s">
        <v>1812</v>
      </c>
      <c r="L329" s="2" t="s">
        <v>30</v>
      </c>
      <c r="M329" s="2" t="s">
        <v>31</v>
      </c>
      <c r="N329" s="2" t="s">
        <v>32</v>
      </c>
      <c r="O329" s="2" t="s">
        <v>1323</v>
      </c>
      <c r="P329" s="2" t="s">
        <v>34</v>
      </c>
      <c r="Q329" t="s">
        <v>1813</v>
      </c>
      <c r="R329" s="2" t="s">
        <v>206</v>
      </c>
      <c r="S329" s="2" t="s">
        <v>1814</v>
      </c>
      <c r="T329" s="2" t="s">
        <v>34</v>
      </c>
      <c r="U329" s="2" t="s">
        <v>1815</v>
      </c>
      <c r="V329" s="2" t="s">
        <v>1816</v>
      </c>
      <c r="W329" t="s">
        <v>1817</v>
      </c>
    </row>
    <row r="330" spans="1:23" x14ac:dyDescent="0.25">
      <c r="A330" t="s">
        <v>1818</v>
      </c>
      <c r="B330" s="4">
        <f t="shared" si="5"/>
        <v>72892</v>
      </c>
      <c r="C330" t="s">
        <v>1819</v>
      </c>
      <c r="D330" t="s">
        <v>365</v>
      </c>
      <c r="E330" t="s">
        <v>1820</v>
      </c>
      <c r="F330" t="s">
        <v>187</v>
      </c>
      <c r="G330" t="s">
        <v>352</v>
      </c>
      <c r="H330" s="2" t="s">
        <v>27</v>
      </c>
      <c r="I330" t="s">
        <v>28</v>
      </c>
      <c r="J330" s="2" t="s">
        <v>1821</v>
      </c>
      <c r="L330" s="2" t="s">
        <v>30</v>
      </c>
      <c r="M330" s="2" t="s">
        <v>31</v>
      </c>
      <c r="N330" s="2" t="s">
        <v>32</v>
      </c>
      <c r="O330" s="2" t="s">
        <v>1323</v>
      </c>
      <c r="P330" s="2" t="s">
        <v>34</v>
      </c>
      <c r="Q330" t="s">
        <v>1389</v>
      </c>
      <c r="R330" s="2" t="s">
        <v>206</v>
      </c>
      <c r="S330" s="2" t="s">
        <v>1390</v>
      </c>
      <c r="T330" s="2" t="s">
        <v>34</v>
      </c>
      <c r="U330" s="2" t="s">
        <v>1391</v>
      </c>
      <c r="V330" s="2" t="s">
        <v>1822</v>
      </c>
      <c r="W330" t="s">
        <v>1823</v>
      </c>
    </row>
    <row r="331" spans="1:23" x14ac:dyDescent="0.25">
      <c r="A331" t="s">
        <v>1824</v>
      </c>
      <c r="B331" s="4">
        <f t="shared" si="5"/>
        <v>72897</v>
      </c>
      <c r="C331" t="s">
        <v>1825</v>
      </c>
      <c r="D331" t="s">
        <v>185</v>
      </c>
      <c r="E331" t="s">
        <v>1692</v>
      </c>
      <c r="F331" t="s">
        <v>680</v>
      </c>
      <c r="G331" t="s">
        <v>352</v>
      </c>
      <c r="H331" s="2" t="s">
        <v>373</v>
      </c>
      <c r="I331" t="s">
        <v>379</v>
      </c>
      <c r="K331" s="2" t="s">
        <v>1151</v>
      </c>
      <c r="L331" s="2" t="s">
        <v>30</v>
      </c>
      <c r="M331" s="2" t="s">
        <v>31</v>
      </c>
      <c r="N331" s="2" t="s">
        <v>32</v>
      </c>
      <c r="O331" s="2" t="s">
        <v>1826</v>
      </c>
      <c r="P331" s="2" t="s">
        <v>34</v>
      </c>
      <c r="Q331" t="s">
        <v>1827</v>
      </c>
      <c r="R331" s="2" t="s">
        <v>1828</v>
      </c>
      <c r="T331" s="2" t="s">
        <v>60</v>
      </c>
    </row>
    <row r="332" spans="1:23" x14ac:dyDescent="0.25">
      <c r="A332" t="s">
        <v>1829</v>
      </c>
      <c r="B332" s="4">
        <f t="shared" si="5"/>
        <v>72903</v>
      </c>
      <c r="C332" t="s">
        <v>1830</v>
      </c>
      <c r="D332" t="s">
        <v>24</v>
      </c>
      <c r="E332" t="s">
        <v>1831</v>
      </c>
      <c r="F332">
        <v>2</v>
      </c>
      <c r="G332" t="s">
        <v>352</v>
      </c>
      <c r="H332" s="2" t="s">
        <v>27</v>
      </c>
      <c r="I332" t="s">
        <v>28</v>
      </c>
      <c r="J332" s="2" t="s">
        <v>1832</v>
      </c>
      <c r="L332" s="2" t="s">
        <v>30</v>
      </c>
      <c r="M332" s="2" t="s">
        <v>31</v>
      </c>
      <c r="N332" s="2" t="s">
        <v>32</v>
      </c>
      <c r="O332" s="2" t="s">
        <v>375</v>
      </c>
      <c r="P332" s="2" t="s">
        <v>34</v>
      </c>
      <c r="Q332" t="s">
        <v>1247</v>
      </c>
      <c r="R332" s="2" t="s">
        <v>1248</v>
      </c>
      <c r="T332" s="2" t="s">
        <v>34</v>
      </c>
      <c r="U332" s="2" t="s">
        <v>1249</v>
      </c>
      <c r="V332" s="2" t="s">
        <v>1833</v>
      </c>
      <c r="W332" t="s">
        <v>1834</v>
      </c>
    </row>
    <row r="333" spans="1:23" x14ac:dyDescent="0.25">
      <c r="A333" t="s">
        <v>1835</v>
      </c>
      <c r="B333" s="4">
        <f t="shared" si="5"/>
        <v>72904</v>
      </c>
      <c r="C333" t="s">
        <v>1836</v>
      </c>
      <c r="D333" t="s">
        <v>24</v>
      </c>
      <c r="E333" t="s">
        <v>1831</v>
      </c>
      <c r="F333">
        <v>2</v>
      </c>
      <c r="G333" t="s">
        <v>26</v>
      </c>
      <c r="H333" s="2" t="s">
        <v>27</v>
      </c>
      <c r="I333" t="s">
        <v>55</v>
      </c>
      <c r="J333" s="2" t="s">
        <v>1837</v>
      </c>
      <c r="L333" s="2" t="s">
        <v>30</v>
      </c>
      <c r="M333" s="2" t="s">
        <v>31</v>
      </c>
      <c r="N333" s="2" t="s">
        <v>32</v>
      </c>
      <c r="O333" s="2" t="s">
        <v>375</v>
      </c>
      <c r="P333" s="2" t="s">
        <v>34</v>
      </c>
      <c r="Q333" t="s">
        <v>1838</v>
      </c>
      <c r="R333" s="2" t="s">
        <v>206</v>
      </c>
      <c r="S333" s="2" t="s">
        <v>1839</v>
      </c>
      <c r="T333" s="2" t="s">
        <v>60</v>
      </c>
    </row>
    <row r="334" spans="1:23" x14ac:dyDescent="0.25">
      <c r="A334" t="s">
        <v>1840</v>
      </c>
      <c r="B334" s="4">
        <f t="shared" si="5"/>
        <v>72906</v>
      </c>
      <c r="C334" t="s">
        <v>1841</v>
      </c>
      <c r="D334" t="s">
        <v>24</v>
      </c>
      <c r="E334" t="s">
        <v>90</v>
      </c>
      <c r="F334">
        <v>2</v>
      </c>
      <c r="G334" t="s">
        <v>26</v>
      </c>
      <c r="H334" s="2" t="s">
        <v>27</v>
      </c>
      <c r="I334" t="s">
        <v>55</v>
      </c>
      <c r="J334" s="2" t="s">
        <v>1832</v>
      </c>
      <c r="L334" s="2" t="s">
        <v>30</v>
      </c>
      <c r="M334" s="2" t="s">
        <v>31</v>
      </c>
      <c r="N334" s="2" t="s">
        <v>32</v>
      </c>
      <c r="O334" s="2" t="s">
        <v>657</v>
      </c>
      <c r="P334" s="2" t="s">
        <v>34</v>
      </c>
      <c r="Q334" t="s">
        <v>1838</v>
      </c>
      <c r="R334" s="2" t="s">
        <v>206</v>
      </c>
      <c r="S334" s="2" t="s">
        <v>1839</v>
      </c>
      <c r="T334" s="2" t="s">
        <v>60</v>
      </c>
    </row>
    <row r="335" spans="1:23" x14ac:dyDescent="0.25">
      <c r="A335" t="s">
        <v>1842</v>
      </c>
      <c r="B335" s="4">
        <f t="shared" si="5"/>
        <v>72908</v>
      </c>
      <c r="C335" t="s">
        <v>1843</v>
      </c>
      <c r="D335" t="s">
        <v>24</v>
      </c>
      <c r="E335" t="s">
        <v>273</v>
      </c>
      <c r="F335">
        <v>2</v>
      </c>
      <c r="G335" t="s">
        <v>26</v>
      </c>
      <c r="H335" s="2" t="s">
        <v>27</v>
      </c>
      <c r="I335" t="s">
        <v>55</v>
      </c>
      <c r="J335" s="2" t="s">
        <v>1844</v>
      </c>
      <c r="L335" s="2" t="s">
        <v>30</v>
      </c>
      <c r="M335" s="2" t="s">
        <v>31</v>
      </c>
      <c r="N335" s="2" t="s">
        <v>32</v>
      </c>
      <c r="O335" s="2" t="s">
        <v>657</v>
      </c>
      <c r="P335" s="2" t="s">
        <v>34</v>
      </c>
      <c r="Q335" t="s">
        <v>658</v>
      </c>
      <c r="R335" s="2" t="s">
        <v>659</v>
      </c>
      <c r="T335" s="2" t="s">
        <v>34</v>
      </c>
      <c r="U335" s="2" t="s">
        <v>660</v>
      </c>
      <c r="V335" s="2" t="s">
        <v>1842</v>
      </c>
      <c r="W335" t="s">
        <v>1845</v>
      </c>
    </row>
    <row r="336" spans="1:23" x14ac:dyDescent="0.25">
      <c r="A336" t="s">
        <v>1846</v>
      </c>
      <c r="B336" s="4">
        <f t="shared" si="5"/>
        <v>72909</v>
      </c>
      <c r="C336" t="s">
        <v>1847</v>
      </c>
      <c r="D336" t="s">
        <v>24</v>
      </c>
      <c r="E336" t="s">
        <v>113</v>
      </c>
      <c r="F336">
        <v>2</v>
      </c>
      <c r="G336" t="s">
        <v>26</v>
      </c>
      <c r="H336" s="2" t="s">
        <v>27</v>
      </c>
      <c r="I336" t="s">
        <v>55</v>
      </c>
      <c r="J336" s="2" t="s">
        <v>1832</v>
      </c>
      <c r="L336" s="2" t="s">
        <v>30</v>
      </c>
      <c r="M336" s="2" t="s">
        <v>31</v>
      </c>
      <c r="N336" s="2" t="s">
        <v>32</v>
      </c>
      <c r="O336" s="2" t="s">
        <v>115</v>
      </c>
      <c r="P336" s="2" t="s">
        <v>34</v>
      </c>
      <c r="Q336" t="s">
        <v>1838</v>
      </c>
      <c r="R336" s="2" t="s">
        <v>206</v>
      </c>
      <c r="S336" s="2" t="s">
        <v>1839</v>
      </c>
      <c r="T336" s="2" t="s">
        <v>60</v>
      </c>
    </row>
    <row r="337" spans="1:23" x14ac:dyDescent="0.25">
      <c r="A337" t="s">
        <v>1848</v>
      </c>
      <c r="B337" s="4">
        <f t="shared" si="5"/>
        <v>72910</v>
      </c>
      <c r="C337" t="s">
        <v>1849</v>
      </c>
      <c r="D337" t="s">
        <v>24</v>
      </c>
      <c r="E337" t="s">
        <v>113</v>
      </c>
      <c r="F337">
        <v>2</v>
      </c>
      <c r="G337" t="s">
        <v>26</v>
      </c>
      <c r="H337" s="2" t="s">
        <v>27</v>
      </c>
      <c r="I337" t="s">
        <v>28</v>
      </c>
      <c r="J337" s="2" t="s">
        <v>1832</v>
      </c>
      <c r="L337" s="2" t="s">
        <v>30</v>
      </c>
      <c r="M337" s="2" t="s">
        <v>31</v>
      </c>
      <c r="N337" s="2" t="s">
        <v>32</v>
      </c>
      <c r="O337" s="2" t="s">
        <v>115</v>
      </c>
      <c r="P337" s="2" t="s">
        <v>34</v>
      </c>
      <c r="Q337" t="s">
        <v>35</v>
      </c>
      <c r="R337" s="2" t="s">
        <v>36</v>
      </c>
      <c r="T337" s="2" t="s">
        <v>34</v>
      </c>
      <c r="U337" s="2" t="s">
        <v>37</v>
      </c>
      <c r="V337" s="2" t="s">
        <v>1850</v>
      </c>
      <c r="W337" t="s">
        <v>1851</v>
      </c>
    </row>
    <row r="338" spans="1:23" x14ac:dyDescent="0.25">
      <c r="A338" t="s">
        <v>1852</v>
      </c>
      <c r="B338" s="4">
        <f t="shared" si="5"/>
        <v>72911</v>
      </c>
      <c r="C338" t="s">
        <v>1853</v>
      </c>
      <c r="D338" t="s">
        <v>24</v>
      </c>
      <c r="E338" t="s">
        <v>113</v>
      </c>
      <c r="F338">
        <v>2</v>
      </c>
      <c r="G338" t="s">
        <v>26</v>
      </c>
      <c r="H338" s="2" t="s">
        <v>27</v>
      </c>
      <c r="I338" t="s">
        <v>28</v>
      </c>
      <c r="J338" s="2" t="s">
        <v>1832</v>
      </c>
      <c r="L338" s="2" t="s">
        <v>30</v>
      </c>
      <c r="M338" s="2" t="s">
        <v>31</v>
      </c>
      <c r="N338" s="2" t="s">
        <v>32</v>
      </c>
      <c r="O338" s="2" t="s">
        <v>115</v>
      </c>
      <c r="P338" s="2" t="s">
        <v>34</v>
      </c>
      <c r="Q338" t="s">
        <v>46</v>
      </c>
      <c r="R338" s="2" t="s">
        <v>47</v>
      </c>
      <c r="T338" s="2" t="s">
        <v>34</v>
      </c>
      <c r="U338" s="2" t="s">
        <v>48</v>
      </c>
      <c r="V338" s="2" t="s">
        <v>1854</v>
      </c>
      <c r="W338" t="s">
        <v>1855</v>
      </c>
    </row>
    <row r="339" spans="1:23" x14ac:dyDescent="0.25">
      <c r="A339" t="s">
        <v>1856</v>
      </c>
      <c r="B339" s="4">
        <f t="shared" si="5"/>
        <v>72921</v>
      </c>
      <c r="C339" t="s">
        <v>1857</v>
      </c>
      <c r="D339" t="s">
        <v>1149</v>
      </c>
      <c r="E339" t="s">
        <v>1858</v>
      </c>
      <c r="F339" t="s">
        <v>543</v>
      </c>
      <c r="G339" t="s">
        <v>352</v>
      </c>
      <c r="H339" s="2" t="s">
        <v>373</v>
      </c>
      <c r="I339" t="s">
        <v>379</v>
      </c>
      <c r="K339" s="2" t="s">
        <v>1859</v>
      </c>
      <c r="L339" s="2" t="s">
        <v>30</v>
      </c>
      <c r="M339" s="2" t="s">
        <v>31</v>
      </c>
      <c r="N339" s="2" t="s">
        <v>32</v>
      </c>
      <c r="O339" s="2" t="s">
        <v>1429</v>
      </c>
      <c r="P339" s="2" t="s">
        <v>34</v>
      </c>
      <c r="Q339" t="s">
        <v>1860</v>
      </c>
      <c r="R339" s="2" t="s">
        <v>206</v>
      </c>
      <c r="S339" s="2" t="s">
        <v>1861</v>
      </c>
      <c r="T339" s="2" t="s">
        <v>60</v>
      </c>
    </row>
    <row r="340" spans="1:23" x14ac:dyDescent="0.25">
      <c r="A340" t="s">
        <v>1862</v>
      </c>
      <c r="B340" s="4">
        <f t="shared" si="5"/>
        <v>72926</v>
      </c>
      <c r="C340" t="s">
        <v>1863</v>
      </c>
      <c r="D340" t="s">
        <v>245</v>
      </c>
      <c r="E340" t="s">
        <v>1864</v>
      </c>
      <c r="F340">
        <v>2</v>
      </c>
      <c r="G340" t="s">
        <v>26</v>
      </c>
      <c r="H340" s="2" t="s">
        <v>27</v>
      </c>
      <c r="I340" t="s">
        <v>368</v>
      </c>
      <c r="J340" s="2" t="s">
        <v>1865</v>
      </c>
      <c r="L340" s="2" t="s">
        <v>30</v>
      </c>
      <c r="M340" s="2" t="s">
        <v>31</v>
      </c>
      <c r="N340" s="2" t="s">
        <v>32</v>
      </c>
      <c r="O340" s="2" t="s">
        <v>1866</v>
      </c>
      <c r="P340" s="2" t="s">
        <v>34</v>
      </c>
      <c r="Q340" t="s">
        <v>1867</v>
      </c>
      <c r="R340" s="2" t="s">
        <v>1868</v>
      </c>
      <c r="T340" s="2" t="s">
        <v>60</v>
      </c>
    </row>
    <row r="341" spans="1:23" x14ac:dyDescent="0.25">
      <c r="A341" t="s">
        <v>1869</v>
      </c>
      <c r="B341" s="4">
        <f t="shared" si="5"/>
        <v>72930</v>
      </c>
      <c r="C341" t="s">
        <v>1870</v>
      </c>
      <c r="D341" t="s">
        <v>42</v>
      </c>
      <c r="E341" t="s">
        <v>95</v>
      </c>
      <c r="F341">
        <v>3</v>
      </c>
      <c r="G341" t="s">
        <v>26</v>
      </c>
      <c r="H341" s="2" t="s">
        <v>27</v>
      </c>
      <c r="I341" t="s">
        <v>55</v>
      </c>
      <c r="J341" s="2" t="s">
        <v>1871</v>
      </c>
      <c r="L341" s="2" t="s">
        <v>30</v>
      </c>
      <c r="M341" s="2" t="s">
        <v>31</v>
      </c>
      <c r="N341" s="2" t="s">
        <v>32</v>
      </c>
      <c r="O341" s="2" t="s">
        <v>79</v>
      </c>
      <c r="P341" s="2" t="s">
        <v>34</v>
      </c>
      <c r="Q341" t="s">
        <v>86</v>
      </c>
      <c r="R341" s="2" t="s">
        <v>87</v>
      </c>
      <c r="T341" s="2" t="s">
        <v>60</v>
      </c>
    </row>
    <row r="342" spans="1:23" x14ac:dyDescent="0.25">
      <c r="A342" t="s">
        <v>1872</v>
      </c>
      <c r="B342" s="4">
        <f t="shared" si="5"/>
        <v>72936</v>
      </c>
      <c r="C342" t="s">
        <v>1873</v>
      </c>
      <c r="D342" t="s">
        <v>1149</v>
      </c>
      <c r="E342" t="s">
        <v>1593</v>
      </c>
      <c r="F342" t="s">
        <v>543</v>
      </c>
      <c r="G342" t="s">
        <v>352</v>
      </c>
      <c r="H342" s="2" t="s">
        <v>27</v>
      </c>
      <c r="I342" t="s">
        <v>379</v>
      </c>
      <c r="J342" s="2" t="s">
        <v>1874</v>
      </c>
      <c r="L342" s="2" t="s">
        <v>30</v>
      </c>
      <c r="M342" s="2" t="s">
        <v>31</v>
      </c>
      <c r="N342" s="2" t="s">
        <v>32</v>
      </c>
      <c r="O342" s="2" t="s">
        <v>1875</v>
      </c>
      <c r="P342" s="2" t="s">
        <v>34</v>
      </c>
      <c r="Q342" t="s">
        <v>1876</v>
      </c>
      <c r="R342" s="2" t="s">
        <v>1877</v>
      </c>
      <c r="T342" s="2" t="s">
        <v>34</v>
      </c>
      <c r="U342" s="2" t="s">
        <v>1878</v>
      </c>
      <c r="V342" s="2" t="s">
        <v>1879</v>
      </c>
      <c r="W342" t="s">
        <v>1880</v>
      </c>
    </row>
    <row r="343" spans="1:23" x14ac:dyDescent="0.25">
      <c r="A343" t="s">
        <v>1881</v>
      </c>
      <c r="B343" s="4">
        <f t="shared" si="5"/>
        <v>72942</v>
      </c>
      <c r="C343" t="s">
        <v>1882</v>
      </c>
      <c r="D343" t="s">
        <v>42</v>
      </c>
      <c r="E343" t="s">
        <v>142</v>
      </c>
      <c r="F343">
        <v>2</v>
      </c>
      <c r="G343" t="s">
        <v>26</v>
      </c>
      <c r="H343" s="2" t="s">
        <v>27</v>
      </c>
      <c r="I343" t="s">
        <v>28</v>
      </c>
      <c r="J343" s="2" t="s">
        <v>1883</v>
      </c>
      <c r="L343" s="2" t="s">
        <v>30</v>
      </c>
      <c r="M343" s="2" t="s">
        <v>31</v>
      </c>
      <c r="N343" s="2" t="s">
        <v>32</v>
      </c>
      <c r="O343" s="2" t="s">
        <v>92</v>
      </c>
      <c r="P343" s="2" t="s">
        <v>34</v>
      </c>
      <c r="Q343" t="s">
        <v>145</v>
      </c>
      <c r="R343" s="2" t="s">
        <v>146</v>
      </c>
      <c r="T343" s="2" t="s">
        <v>60</v>
      </c>
    </row>
    <row r="344" spans="1:23" x14ac:dyDescent="0.25">
      <c r="A344" t="s">
        <v>1884</v>
      </c>
      <c r="B344" s="4">
        <f t="shared" si="5"/>
        <v>72944</v>
      </c>
      <c r="C344" t="s">
        <v>1885</v>
      </c>
      <c r="D344" t="s">
        <v>149</v>
      </c>
      <c r="E344" t="s">
        <v>150</v>
      </c>
      <c r="F344">
        <v>3</v>
      </c>
      <c r="G344" t="s">
        <v>26</v>
      </c>
      <c r="H344" s="2" t="s">
        <v>27</v>
      </c>
      <c r="I344" t="s">
        <v>55</v>
      </c>
      <c r="J344" s="2" t="s">
        <v>1886</v>
      </c>
      <c r="L344" s="2" t="s">
        <v>30</v>
      </c>
      <c r="M344" s="2" t="s">
        <v>31</v>
      </c>
      <c r="N344" s="2" t="s">
        <v>32</v>
      </c>
      <c r="O344" s="2" t="s">
        <v>711</v>
      </c>
      <c r="P344" s="2" t="s">
        <v>34</v>
      </c>
      <c r="Q344" t="s">
        <v>153</v>
      </c>
      <c r="R344" s="2" t="s">
        <v>154</v>
      </c>
      <c r="T344" s="2" t="s">
        <v>60</v>
      </c>
    </row>
    <row r="345" spans="1:23" x14ac:dyDescent="0.25">
      <c r="A345" t="s">
        <v>1887</v>
      </c>
      <c r="B345" s="4">
        <f t="shared" si="5"/>
        <v>72950</v>
      </c>
      <c r="C345" t="s">
        <v>1888</v>
      </c>
      <c r="D345" t="s">
        <v>365</v>
      </c>
      <c r="E345" t="s">
        <v>726</v>
      </c>
      <c r="F345" t="s">
        <v>367</v>
      </c>
      <c r="G345" t="s">
        <v>352</v>
      </c>
      <c r="H345" s="2" t="s">
        <v>27</v>
      </c>
      <c r="I345" t="s">
        <v>379</v>
      </c>
      <c r="J345" s="2" t="s">
        <v>1889</v>
      </c>
      <c r="L345" s="2" t="s">
        <v>30</v>
      </c>
      <c r="M345" s="2" t="s">
        <v>31</v>
      </c>
      <c r="N345" s="2" t="s">
        <v>32</v>
      </c>
      <c r="O345" s="2" t="s">
        <v>1323</v>
      </c>
      <c r="P345" s="2" t="s">
        <v>34</v>
      </c>
      <c r="Q345" t="s">
        <v>1890</v>
      </c>
      <c r="R345" s="2" t="s">
        <v>206</v>
      </c>
      <c r="S345" s="2" t="s">
        <v>1891</v>
      </c>
      <c r="T345" s="2" t="s">
        <v>60</v>
      </c>
    </row>
    <row r="346" spans="1:23" x14ac:dyDescent="0.25">
      <c r="A346" t="s">
        <v>1892</v>
      </c>
      <c r="B346" s="4">
        <f t="shared" si="5"/>
        <v>72951</v>
      </c>
      <c r="C346" t="s">
        <v>1893</v>
      </c>
      <c r="D346" t="s">
        <v>365</v>
      </c>
      <c r="E346" t="s">
        <v>726</v>
      </c>
      <c r="F346" t="s">
        <v>367</v>
      </c>
      <c r="G346" t="s">
        <v>352</v>
      </c>
      <c r="H346" s="2" t="s">
        <v>373</v>
      </c>
      <c r="I346" t="s">
        <v>379</v>
      </c>
      <c r="K346" s="2" t="s">
        <v>1894</v>
      </c>
      <c r="L346" s="2" t="s">
        <v>30</v>
      </c>
      <c r="M346" s="2" t="s">
        <v>31</v>
      </c>
      <c r="N346" s="2" t="s">
        <v>32</v>
      </c>
      <c r="O346" s="2" t="s">
        <v>1895</v>
      </c>
      <c r="P346" s="2" t="s">
        <v>34</v>
      </c>
      <c r="Q346" t="s">
        <v>1890</v>
      </c>
      <c r="R346" s="2" t="s">
        <v>206</v>
      </c>
      <c r="S346" s="2" t="s">
        <v>1891</v>
      </c>
      <c r="T346" s="2" t="s">
        <v>60</v>
      </c>
    </row>
    <row r="347" spans="1:23" x14ac:dyDescent="0.25">
      <c r="A347" t="s">
        <v>1896</v>
      </c>
      <c r="B347" s="4">
        <f t="shared" si="5"/>
        <v>72956</v>
      </c>
      <c r="C347" t="s">
        <v>1897</v>
      </c>
      <c r="D347" t="s">
        <v>297</v>
      </c>
      <c r="E347" t="s">
        <v>1653</v>
      </c>
      <c r="F347">
        <v>1</v>
      </c>
      <c r="G347" t="s">
        <v>26</v>
      </c>
      <c r="H347" s="2" t="s">
        <v>27</v>
      </c>
      <c r="I347" t="s">
        <v>55</v>
      </c>
      <c r="J347" s="2" t="s">
        <v>1898</v>
      </c>
      <c r="L347" s="2" t="s">
        <v>30</v>
      </c>
      <c r="M347" s="2" t="s">
        <v>31</v>
      </c>
      <c r="N347" s="2" t="s">
        <v>32</v>
      </c>
      <c r="O347" s="2" t="s">
        <v>106</v>
      </c>
      <c r="P347" s="2" t="s">
        <v>34</v>
      </c>
      <c r="Q347" t="s">
        <v>1899</v>
      </c>
      <c r="R347" s="2" t="s">
        <v>1900</v>
      </c>
      <c r="T347" s="2" t="s">
        <v>60</v>
      </c>
    </row>
    <row r="348" spans="1:23" x14ac:dyDescent="0.25">
      <c r="A348" t="s">
        <v>1901</v>
      </c>
      <c r="B348" s="4">
        <f t="shared" si="5"/>
        <v>72963</v>
      </c>
      <c r="C348" t="s">
        <v>1902</v>
      </c>
      <c r="D348" t="s">
        <v>365</v>
      </c>
      <c r="E348" t="s">
        <v>1157</v>
      </c>
      <c r="F348" t="s">
        <v>367</v>
      </c>
      <c r="G348" t="s">
        <v>352</v>
      </c>
      <c r="H348" s="2" t="s">
        <v>27</v>
      </c>
      <c r="I348" t="s">
        <v>379</v>
      </c>
      <c r="J348" s="2" t="s">
        <v>1903</v>
      </c>
      <c r="L348" s="2" t="s">
        <v>30</v>
      </c>
      <c r="M348" s="2" t="s">
        <v>31</v>
      </c>
      <c r="N348" s="2" t="s">
        <v>32</v>
      </c>
      <c r="O348" s="2" t="s">
        <v>1323</v>
      </c>
      <c r="P348" s="2" t="s">
        <v>34</v>
      </c>
      <c r="Q348" t="s">
        <v>1904</v>
      </c>
      <c r="R348" s="2" t="s">
        <v>206</v>
      </c>
      <c r="S348" s="2" t="s">
        <v>1905</v>
      </c>
      <c r="T348" s="2" t="s">
        <v>60</v>
      </c>
    </row>
    <row r="349" spans="1:23" x14ac:dyDescent="0.25">
      <c r="A349" t="s">
        <v>1906</v>
      </c>
      <c r="B349" s="4">
        <f t="shared" si="5"/>
        <v>72964</v>
      </c>
      <c r="C349" t="s">
        <v>1907</v>
      </c>
      <c r="D349" t="s">
        <v>365</v>
      </c>
      <c r="E349" t="s">
        <v>738</v>
      </c>
      <c r="F349" t="s">
        <v>367</v>
      </c>
      <c r="G349" t="s">
        <v>352</v>
      </c>
      <c r="H349" s="2" t="s">
        <v>27</v>
      </c>
      <c r="I349" t="s">
        <v>379</v>
      </c>
      <c r="J349" s="2" t="s">
        <v>1908</v>
      </c>
      <c r="L349" s="2" t="s">
        <v>30</v>
      </c>
      <c r="M349" s="2" t="s">
        <v>31</v>
      </c>
      <c r="N349" s="2" t="s">
        <v>32</v>
      </c>
      <c r="O349" s="2" t="s">
        <v>1323</v>
      </c>
      <c r="P349" s="2" t="s">
        <v>34</v>
      </c>
      <c r="Q349" t="s">
        <v>1909</v>
      </c>
      <c r="R349" s="2" t="s">
        <v>1910</v>
      </c>
      <c r="T349" s="2" t="s">
        <v>60</v>
      </c>
    </row>
    <row r="350" spans="1:23" x14ac:dyDescent="0.25">
      <c r="A350" t="s">
        <v>1911</v>
      </c>
      <c r="B350" s="4">
        <f t="shared" si="5"/>
        <v>72965</v>
      </c>
      <c r="C350" t="s">
        <v>1912</v>
      </c>
      <c r="D350" t="s">
        <v>365</v>
      </c>
      <c r="E350" t="s">
        <v>619</v>
      </c>
      <c r="F350" t="s">
        <v>367</v>
      </c>
      <c r="G350" t="s">
        <v>352</v>
      </c>
      <c r="H350" s="2" t="s">
        <v>27</v>
      </c>
      <c r="I350" t="s">
        <v>379</v>
      </c>
      <c r="J350" s="2" t="s">
        <v>1913</v>
      </c>
      <c r="L350" s="2" t="s">
        <v>30</v>
      </c>
      <c r="M350" s="2" t="s">
        <v>31</v>
      </c>
      <c r="N350" s="2" t="s">
        <v>32</v>
      </c>
      <c r="O350" s="2" t="s">
        <v>1323</v>
      </c>
      <c r="P350" s="2" t="s">
        <v>34</v>
      </c>
      <c r="Q350" t="s">
        <v>1914</v>
      </c>
      <c r="R350" s="2" t="s">
        <v>206</v>
      </c>
      <c r="S350" s="2" t="s">
        <v>1915</v>
      </c>
      <c r="T350" s="2" t="s">
        <v>60</v>
      </c>
    </row>
    <row r="351" spans="1:23" x14ac:dyDescent="0.25">
      <c r="A351" t="s">
        <v>1916</v>
      </c>
      <c r="B351" s="4">
        <f t="shared" si="5"/>
        <v>72967</v>
      </c>
      <c r="C351" t="s">
        <v>1917</v>
      </c>
      <c r="D351" t="s">
        <v>279</v>
      </c>
      <c r="E351" t="s">
        <v>25</v>
      </c>
      <c r="F351">
        <v>1</v>
      </c>
      <c r="G351" t="s">
        <v>26</v>
      </c>
      <c r="H351" s="2" t="s">
        <v>27</v>
      </c>
      <c r="I351" t="s">
        <v>55</v>
      </c>
      <c r="J351" s="2" t="s">
        <v>1918</v>
      </c>
      <c r="L351" s="2" t="s">
        <v>30</v>
      </c>
      <c r="M351" s="2" t="s">
        <v>31</v>
      </c>
      <c r="N351" s="2" t="s">
        <v>32</v>
      </c>
      <c r="O351" s="2" t="s">
        <v>1323</v>
      </c>
      <c r="P351" s="2" t="s">
        <v>34</v>
      </c>
      <c r="Q351" t="s">
        <v>307</v>
      </c>
      <c r="R351" s="2" t="s">
        <v>308</v>
      </c>
      <c r="T351" s="2" t="s">
        <v>34</v>
      </c>
      <c r="U351" s="2" t="s">
        <v>309</v>
      </c>
      <c r="V351" s="2" t="s">
        <v>1916</v>
      </c>
      <c r="W351" t="s">
        <v>25</v>
      </c>
    </row>
    <row r="352" spans="1:23" x14ac:dyDescent="0.25">
      <c r="A352" t="s">
        <v>1919</v>
      </c>
      <c r="B352" s="4">
        <f t="shared" si="5"/>
        <v>72972</v>
      </c>
      <c r="C352" t="s">
        <v>1920</v>
      </c>
      <c r="D352" t="s">
        <v>1149</v>
      </c>
      <c r="E352" t="s">
        <v>1334</v>
      </c>
      <c r="F352" t="s">
        <v>543</v>
      </c>
      <c r="G352" t="s">
        <v>352</v>
      </c>
      <c r="H352" s="2" t="s">
        <v>27</v>
      </c>
      <c r="I352" t="s">
        <v>379</v>
      </c>
      <c r="J352" s="2" t="s">
        <v>1921</v>
      </c>
      <c r="L352" s="2" t="s">
        <v>30</v>
      </c>
      <c r="M352" s="2" t="s">
        <v>31</v>
      </c>
      <c r="N352" s="2" t="s">
        <v>32</v>
      </c>
      <c r="O352" s="2" t="s">
        <v>1922</v>
      </c>
      <c r="P352" s="2" t="s">
        <v>34</v>
      </c>
      <c r="Q352" t="s">
        <v>1923</v>
      </c>
      <c r="R352" s="2" t="s">
        <v>1924</v>
      </c>
      <c r="T352" s="2" t="s">
        <v>60</v>
      </c>
    </row>
    <row r="353" spans="1:23" x14ac:dyDescent="0.25">
      <c r="A353" t="s">
        <v>1925</v>
      </c>
      <c r="B353" s="4">
        <f t="shared" si="5"/>
        <v>72979</v>
      </c>
      <c r="C353" t="s">
        <v>1926</v>
      </c>
      <c r="D353" t="s">
        <v>42</v>
      </c>
      <c r="E353" t="s">
        <v>1089</v>
      </c>
      <c r="F353">
        <v>3</v>
      </c>
      <c r="G353" t="s">
        <v>26</v>
      </c>
      <c r="H353" s="2" t="s">
        <v>27</v>
      </c>
      <c r="I353" t="s">
        <v>55</v>
      </c>
      <c r="J353" s="2" t="s">
        <v>1927</v>
      </c>
      <c r="L353" s="2" t="s">
        <v>30</v>
      </c>
      <c r="M353" s="2" t="s">
        <v>31</v>
      </c>
      <c r="N353" s="2" t="s">
        <v>32</v>
      </c>
      <c r="O353" s="2" t="s">
        <v>85</v>
      </c>
      <c r="P353" s="2" t="s">
        <v>34</v>
      </c>
      <c r="Q353" t="s">
        <v>86</v>
      </c>
      <c r="R353" s="2" t="s">
        <v>87</v>
      </c>
      <c r="T353" s="2" t="s">
        <v>60</v>
      </c>
    </row>
    <row r="354" spans="1:23" x14ac:dyDescent="0.25">
      <c r="A354" t="s">
        <v>1928</v>
      </c>
      <c r="B354" s="4">
        <f t="shared" si="5"/>
        <v>72990</v>
      </c>
      <c r="C354" t="s">
        <v>1929</v>
      </c>
      <c r="D354" t="s">
        <v>279</v>
      </c>
      <c r="E354" t="s">
        <v>1130</v>
      </c>
      <c r="F354" t="s">
        <v>543</v>
      </c>
      <c r="G354" t="s">
        <v>26</v>
      </c>
      <c r="H354" s="2" t="s">
        <v>27</v>
      </c>
      <c r="I354" t="s">
        <v>55</v>
      </c>
      <c r="J354" s="2" t="s">
        <v>1930</v>
      </c>
      <c r="L354" s="2" t="s">
        <v>30</v>
      </c>
      <c r="M354" s="2" t="s">
        <v>31</v>
      </c>
      <c r="N354" s="2" t="s">
        <v>32</v>
      </c>
      <c r="O354" s="2" t="s">
        <v>1323</v>
      </c>
      <c r="P354" s="2" t="s">
        <v>34</v>
      </c>
      <c r="Q354" t="s">
        <v>307</v>
      </c>
      <c r="R354" s="2" t="s">
        <v>308</v>
      </c>
      <c r="T354" s="2" t="s">
        <v>34</v>
      </c>
      <c r="U354" s="2" t="s">
        <v>309</v>
      </c>
      <c r="V354" s="2" t="s">
        <v>1928</v>
      </c>
      <c r="W354" t="s">
        <v>1130</v>
      </c>
    </row>
    <row r="355" spans="1:23" x14ac:dyDescent="0.25">
      <c r="A355" t="s">
        <v>1931</v>
      </c>
      <c r="B355" s="4">
        <f t="shared" si="5"/>
        <v>72996</v>
      </c>
      <c r="C355" t="s">
        <v>1932</v>
      </c>
      <c r="D355" t="s">
        <v>245</v>
      </c>
      <c r="E355" t="s">
        <v>563</v>
      </c>
      <c r="F355">
        <v>2</v>
      </c>
      <c r="G355" t="s">
        <v>26</v>
      </c>
      <c r="H355" s="2" t="s">
        <v>27</v>
      </c>
      <c r="I355" t="s">
        <v>55</v>
      </c>
      <c r="J355" s="2" t="s">
        <v>1933</v>
      </c>
      <c r="L355" s="2" t="s">
        <v>30</v>
      </c>
      <c r="M355" s="2" t="s">
        <v>31</v>
      </c>
      <c r="N355" s="2" t="s">
        <v>32</v>
      </c>
      <c r="O355" s="2" t="s">
        <v>565</v>
      </c>
      <c r="P355" s="2" t="s">
        <v>34</v>
      </c>
      <c r="Q355" t="s">
        <v>566</v>
      </c>
      <c r="R355" s="2" t="s">
        <v>567</v>
      </c>
      <c r="T355" s="2" t="s">
        <v>60</v>
      </c>
    </row>
    <row r="356" spans="1:23" x14ac:dyDescent="0.25">
      <c r="A356" t="s">
        <v>1934</v>
      </c>
      <c r="B356" s="4">
        <f t="shared" si="5"/>
        <v>72998</v>
      </c>
      <c r="C356" t="s">
        <v>1935</v>
      </c>
      <c r="D356" t="s">
        <v>185</v>
      </c>
      <c r="E356" t="s">
        <v>1136</v>
      </c>
      <c r="F356" t="s">
        <v>543</v>
      </c>
      <c r="G356" t="s">
        <v>352</v>
      </c>
      <c r="H356" s="2" t="s">
        <v>27</v>
      </c>
      <c r="I356" t="s">
        <v>379</v>
      </c>
      <c r="J356" s="2" t="s">
        <v>1936</v>
      </c>
      <c r="L356" s="2" t="s">
        <v>30</v>
      </c>
      <c r="M356" s="2" t="s">
        <v>31</v>
      </c>
      <c r="N356" s="2" t="s">
        <v>32</v>
      </c>
      <c r="O356" s="2" t="s">
        <v>1323</v>
      </c>
      <c r="P356" s="2" t="s">
        <v>34</v>
      </c>
      <c r="Q356" t="s">
        <v>1937</v>
      </c>
      <c r="R356" s="2" t="s">
        <v>206</v>
      </c>
      <c r="S356" s="2" t="s">
        <v>1938</v>
      </c>
      <c r="T356" s="2" t="s">
        <v>60</v>
      </c>
    </row>
    <row r="357" spans="1:23" x14ac:dyDescent="0.25">
      <c r="A357" t="s">
        <v>1939</v>
      </c>
      <c r="B357" s="4">
        <f t="shared" si="5"/>
        <v>72999</v>
      </c>
      <c r="C357" t="s">
        <v>1940</v>
      </c>
      <c r="D357" t="s">
        <v>185</v>
      </c>
      <c r="E357" t="s">
        <v>1136</v>
      </c>
      <c r="F357" t="s">
        <v>543</v>
      </c>
      <c r="G357" t="s">
        <v>352</v>
      </c>
      <c r="H357" s="2" t="s">
        <v>27</v>
      </c>
      <c r="I357" t="s">
        <v>379</v>
      </c>
      <c r="J357" s="2" t="s">
        <v>1941</v>
      </c>
      <c r="L357" s="2" t="s">
        <v>30</v>
      </c>
      <c r="M357" s="2" t="s">
        <v>31</v>
      </c>
      <c r="N357" s="2" t="s">
        <v>32</v>
      </c>
      <c r="O357" s="2" t="s">
        <v>1323</v>
      </c>
      <c r="P357" s="2" t="s">
        <v>34</v>
      </c>
      <c r="Q357" t="s">
        <v>1942</v>
      </c>
      <c r="R357" s="2" t="s">
        <v>206</v>
      </c>
      <c r="S357" s="2" t="s">
        <v>1943</v>
      </c>
      <c r="T357" s="2" t="s">
        <v>60</v>
      </c>
    </row>
    <row r="358" spans="1:23" x14ac:dyDescent="0.25">
      <c r="A358" t="s">
        <v>1944</v>
      </c>
      <c r="B358" s="4">
        <f t="shared" si="5"/>
        <v>73023</v>
      </c>
      <c r="C358" t="s">
        <v>1945</v>
      </c>
      <c r="D358" t="s">
        <v>42</v>
      </c>
      <c r="E358" t="s">
        <v>479</v>
      </c>
      <c r="F358">
        <v>3</v>
      </c>
      <c r="G358" t="s">
        <v>26</v>
      </c>
      <c r="H358" s="2" t="s">
        <v>27</v>
      </c>
      <c r="I358" t="s">
        <v>55</v>
      </c>
      <c r="J358" s="2" t="s">
        <v>1946</v>
      </c>
      <c r="L358" s="2" t="s">
        <v>30</v>
      </c>
      <c r="M358" s="2" t="s">
        <v>31</v>
      </c>
      <c r="N358" s="2" t="s">
        <v>32</v>
      </c>
      <c r="O358" s="2" t="s">
        <v>92</v>
      </c>
      <c r="P358" s="2" t="s">
        <v>34</v>
      </c>
      <c r="Q358" t="s">
        <v>203</v>
      </c>
      <c r="R358" s="2" t="s">
        <v>204</v>
      </c>
      <c r="T358" s="2" t="s">
        <v>34</v>
      </c>
      <c r="U358" s="2" t="s">
        <v>205</v>
      </c>
      <c r="V358" s="2" t="s">
        <v>206</v>
      </c>
    </row>
    <row r="359" spans="1:23" x14ac:dyDescent="0.25">
      <c r="A359" t="s">
        <v>1947</v>
      </c>
      <c r="B359" s="4">
        <f t="shared" si="5"/>
        <v>73025</v>
      </c>
      <c r="C359" t="s">
        <v>1948</v>
      </c>
      <c r="D359" t="s">
        <v>297</v>
      </c>
      <c r="E359" t="s">
        <v>444</v>
      </c>
      <c r="F359">
        <v>1</v>
      </c>
      <c r="G359" t="s">
        <v>26</v>
      </c>
      <c r="H359" s="2" t="s">
        <v>27</v>
      </c>
      <c r="I359" t="s">
        <v>55</v>
      </c>
      <c r="J359" s="2" t="s">
        <v>1949</v>
      </c>
      <c r="L359" s="2" t="s">
        <v>30</v>
      </c>
      <c r="M359" s="2" t="s">
        <v>31</v>
      </c>
      <c r="N359" s="2" t="s">
        <v>32</v>
      </c>
      <c r="O359" s="2" t="s">
        <v>306</v>
      </c>
      <c r="P359" s="2" t="s">
        <v>34</v>
      </c>
      <c r="Q359" t="s">
        <v>307</v>
      </c>
      <c r="R359" s="2" t="s">
        <v>308</v>
      </c>
      <c r="T359" s="2" t="s">
        <v>34</v>
      </c>
      <c r="U359" s="2" t="s">
        <v>309</v>
      </c>
      <c r="V359" s="2" t="s">
        <v>1947</v>
      </c>
      <c r="W359" t="s">
        <v>1950</v>
      </c>
    </row>
    <row r="360" spans="1:23" x14ac:dyDescent="0.25">
      <c r="A360" t="s">
        <v>1951</v>
      </c>
      <c r="B360" s="4">
        <f t="shared" si="5"/>
        <v>73027</v>
      </c>
      <c r="C360" t="s">
        <v>1952</v>
      </c>
      <c r="D360" t="s">
        <v>1149</v>
      </c>
      <c r="E360" t="s">
        <v>1427</v>
      </c>
      <c r="F360" t="s">
        <v>543</v>
      </c>
      <c r="G360" t="s">
        <v>352</v>
      </c>
      <c r="H360" s="2" t="s">
        <v>27</v>
      </c>
      <c r="I360" t="s">
        <v>379</v>
      </c>
      <c r="J360" s="2" t="s">
        <v>1953</v>
      </c>
      <c r="L360" s="2" t="s">
        <v>30</v>
      </c>
      <c r="M360" s="2" t="s">
        <v>31</v>
      </c>
      <c r="N360" s="2" t="s">
        <v>32</v>
      </c>
      <c r="O360" s="2" t="s">
        <v>1429</v>
      </c>
      <c r="P360" s="2" t="s">
        <v>34</v>
      </c>
      <c r="Q360" t="s">
        <v>1153</v>
      </c>
      <c r="R360" s="2" t="s">
        <v>1154</v>
      </c>
      <c r="T360" s="2" t="s">
        <v>60</v>
      </c>
    </row>
    <row r="361" spans="1:23" x14ac:dyDescent="0.25">
      <c r="A361" t="s">
        <v>1954</v>
      </c>
      <c r="B361" s="4">
        <f t="shared" si="5"/>
        <v>73037</v>
      </c>
      <c r="C361" t="s">
        <v>1955</v>
      </c>
      <c r="D361" t="s">
        <v>279</v>
      </c>
      <c r="E361" t="s">
        <v>335</v>
      </c>
      <c r="F361">
        <v>1</v>
      </c>
      <c r="G361" t="s">
        <v>26</v>
      </c>
      <c r="H361" s="2" t="s">
        <v>27</v>
      </c>
      <c r="I361" t="s">
        <v>55</v>
      </c>
      <c r="J361" s="2" t="s">
        <v>1956</v>
      </c>
      <c r="L361" s="2" t="s">
        <v>30</v>
      </c>
      <c r="M361" s="2" t="s">
        <v>31</v>
      </c>
      <c r="N361" s="2" t="s">
        <v>32</v>
      </c>
      <c r="O361" s="2" t="s">
        <v>1323</v>
      </c>
      <c r="P361" s="2" t="s">
        <v>34</v>
      </c>
      <c r="Q361" t="s">
        <v>307</v>
      </c>
      <c r="R361" s="2" t="s">
        <v>308</v>
      </c>
      <c r="T361" s="2" t="s">
        <v>34</v>
      </c>
      <c r="U361" s="2" t="s">
        <v>309</v>
      </c>
      <c r="V361" s="2" t="s">
        <v>1954</v>
      </c>
      <c r="W361" t="s">
        <v>1957</v>
      </c>
    </row>
    <row r="362" spans="1:23" x14ac:dyDescent="0.25">
      <c r="A362" t="s">
        <v>1958</v>
      </c>
      <c r="B362" s="4">
        <f t="shared" si="5"/>
        <v>73041</v>
      </c>
      <c r="C362" t="s">
        <v>1959</v>
      </c>
      <c r="D362" t="s">
        <v>365</v>
      </c>
      <c r="E362" t="s">
        <v>1190</v>
      </c>
      <c r="F362" t="s">
        <v>187</v>
      </c>
      <c r="G362" t="s">
        <v>26</v>
      </c>
      <c r="H362" s="2" t="s">
        <v>27</v>
      </c>
      <c r="I362" t="s">
        <v>55</v>
      </c>
      <c r="J362" s="2" t="s">
        <v>1960</v>
      </c>
      <c r="L362" s="2" t="s">
        <v>30</v>
      </c>
      <c r="M362" s="2" t="s">
        <v>31</v>
      </c>
      <c r="N362" s="2" t="s">
        <v>32</v>
      </c>
      <c r="O362" s="2" t="s">
        <v>1323</v>
      </c>
      <c r="P362" s="2" t="s">
        <v>34</v>
      </c>
      <c r="Q362" t="s">
        <v>1071</v>
      </c>
      <c r="R362" s="2" t="s">
        <v>206</v>
      </c>
      <c r="S362" s="2" t="s">
        <v>1072</v>
      </c>
      <c r="T362" s="2" t="s">
        <v>60</v>
      </c>
    </row>
    <row r="363" spans="1:23" x14ac:dyDescent="0.25">
      <c r="A363" t="s">
        <v>1961</v>
      </c>
      <c r="B363" s="4">
        <f t="shared" si="5"/>
        <v>73060</v>
      </c>
      <c r="C363" t="s">
        <v>1962</v>
      </c>
      <c r="D363" t="s">
        <v>42</v>
      </c>
      <c r="E363" t="s">
        <v>77</v>
      </c>
      <c r="F363">
        <v>3</v>
      </c>
      <c r="G363" t="s">
        <v>26</v>
      </c>
      <c r="H363" s="2" t="s">
        <v>27</v>
      </c>
      <c r="I363" t="s">
        <v>55</v>
      </c>
      <c r="J363" s="2" t="s">
        <v>1963</v>
      </c>
      <c r="L363" s="2" t="s">
        <v>30</v>
      </c>
      <c r="M363" s="2" t="s">
        <v>31</v>
      </c>
      <c r="N363" s="2" t="s">
        <v>32</v>
      </c>
      <c r="O363" s="2" t="s">
        <v>79</v>
      </c>
      <c r="P363" s="2" t="s">
        <v>34</v>
      </c>
      <c r="Q363" t="s">
        <v>80</v>
      </c>
      <c r="R363" s="2" t="s">
        <v>81</v>
      </c>
      <c r="T363" s="2" t="s">
        <v>60</v>
      </c>
    </row>
    <row r="364" spans="1:23" x14ac:dyDescent="0.25">
      <c r="A364" t="s">
        <v>1964</v>
      </c>
      <c r="B364" s="4">
        <f t="shared" si="5"/>
        <v>73062</v>
      </c>
      <c r="C364" t="s">
        <v>1965</v>
      </c>
      <c r="D364" t="s">
        <v>149</v>
      </c>
      <c r="E364" t="s">
        <v>347</v>
      </c>
      <c r="F364">
        <v>3</v>
      </c>
      <c r="G364" t="s">
        <v>26</v>
      </c>
      <c r="H364" s="2" t="s">
        <v>27</v>
      </c>
      <c r="I364" t="s">
        <v>55</v>
      </c>
      <c r="J364" s="2" t="s">
        <v>1966</v>
      </c>
      <c r="L364" s="2" t="s">
        <v>30</v>
      </c>
      <c r="M364" s="2" t="s">
        <v>31</v>
      </c>
      <c r="N364" s="2" t="s">
        <v>32</v>
      </c>
      <c r="O364" s="2" t="s">
        <v>152</v>
      </c>
      <c r="P364" s="2" t="s">
        <v>34</v>
      </c>
      <c r="Q364" t="s">
        <v>440</v>
      </c>
      <c r="R364" s="2" t="s">
        <v>441</v>
      </c>
      <c r="T364" s="2" t="s">
        <v>60</v>
      </c>
    </row>
    <row r="365" spans="1:23" x14ac:dyDescent="0.25">
      <c r="A365" t="s">
        <v>1967</v>
      </c>
      <c r="B365" s="4">
        <f t="shared" si="5"/>
        <v>73068</v>
      </c>
      <c r="C365" t="s">
        <v>1968</v>
      </c>
      <c r="D365" t="s">
        <v>365</v>
      </c>
      <c r="E365" t="s">
        <v>378</v>
      </c>
      <c r="F365" t="s">
        <v>187</v>
      </c>
      <c r="G365" t="s">
        <v>352</v>
      </c>
      <c r="H365" s="2" t="s">
        <v>373</v>
      </c>
      <c r="I365" t="s">
        <v>379</v>
      </c>
      <c r="K365" s="2" t="s">
        <v>727</v>
      </c>
      <c r="L365" s="2" t="s">
        <v>30</v>
      </c>
      <c r="M365" s="2" t="s">
        <v>31</v>
      </c>
      <c r="N365" s="2" t="s">
        <v>32</v>
      </c>
      <c r="O365" s="2" t="s">
        <v>1969</v>
      </c>
      <c r="P365" s="2" t="s">
        <v>34</v>
      </c>
      <c r="Q365" t="s">
        <v>1970</v>
      </c>
      <c r="R365" s="2" t="s">
        <v>1971</v>
      </c>
      <c r="T365" s="2" t="s">
        <v>60</v>
      </c>
    </row>
    <row r="366" spans="1:23" x14ac:dyDescent="0.25">
      <c r="A366" t="s">
        <v>1972</v>
      </c>
      <c r="B366" s="4">
        <f t="shared" si="5"/>
        <v>73070</v>
      </c>
      <c r="C366" t="s">
        <v>1973</v>
      </c>
      <c r="D366" t="s">
        <v>185</v>
      </c>
      <c r="E366" t="s">
        <v>1593</v>
      </c>
      <c r="F366" t="s">
        <v>543</v>
      </c>
      <c r="G366" t="s">
        <v>352</v>
      </c>
      <c r="H366" s="2" t="s">
        <v>27</v>
      </c>
      <c r="I366" t="s">
        <v>379</v>
      </c>
      <c r="J366" s="2" t="s">
        <v>1974</v>
      </c>
      <c r="L366" s="2" t="s">
        <v>30</v>
      </c>
      <c r="M366" s="2" t="s">
        <v>31</v>
      </c>
      <c r="N366" s="2" t="s">
        <v>32</v>
      </c>
      <c r="O366" s="2" t="s">
        <v>1429</v>
      </c>
      <c r="P366" s="2" t="s">
        <v>34</v>
      </c>
      <c r="Q366" t="s">
        <v>1975</v>
      </c>
      <c r="R366" s="2" t="s">
        <v>206</v>
      </c>
      <c r="S366" s="2" t="s">
        <v>1976</v>
      </c>
      <c r="T366" s="2" t="s">
        <v>60</v>
      </c>
    </row>
    <row r="367" spans="1:23" x14ac:dyDescent="0.25">
      <c r="A367" t="s">
        <v>1977</v>
      </c>
      <c r="B367" s="4">
        <f t="shared" si="5"/>
        <v>73071</v>
      </c>
      <c r="C367" t="s">
        <v>1978</v>
      </c>
      <c r="D367" t="s">
        <v>1149</v>
      </c>
      <c r="E367" t="s">
        <v>1858</v>
      </c>
      <c r="F367" t="s">
        <v>543</v>
      </c>
      <c r="G367" t="s">
        <v>352</v>
      </c>
      <c r="H367" s="2" t="s">
        <v>27</v>
      </c>
      <c r="I367" t="s">
        <v>379</v>
      </c>
      <c r="J367" s="2" t="s">
        <v>1979</v>
      </c>
      <c r="L367" s="2" t="s">
        <v>30</v>
      </c>
      <c r="M367" s="2" t="s">
        <v>31</v>
      </c>
      <c r="N367" s="2" t="s">
        <v>32</v>
      </c>
      <c r="O367" s="2" t="s">
        <v>1429</v>
      </c>
      <c r="P367" s="2" t="s">
        <v>34</v>
      </c>
      <c r="Q367" t="s">
        <v>1975</v>
      </c>
      <c r="R367" s="2" t="s">
        <v>206</v>
      </c>
      <c r="S367" s="2" t="s">
        <v>1976</v>
      </c>
      <c r="T367" s="2" t="s">
        <v>60</v>
      </c>
    </row>
    <row r="368" spans="1:23" x14ac:dyDescent="0.25">
      <c r="A368" t="s">
        <v>1980</v>
      </c>
      <c r="B368" s="4">
        <f t="shared" si="5"/>
        <v>73072</v>
      </c>
      <c r="C368" t="s">
        <v>1981</v>
      </c>
      <c r="D368" t="s">
        <v>1149</v>
      </c>
      <c r="E368" t="s">
        <v>1150</v>
      </c>
      <c r="F368" t="s">
        <v>680</v>
      </c>
      <c r="G368" t="s">
        <v>352</v>
      </c>
      <c r="H368" s="2" t="s">
        <v>373</v>
      </c>
      <c r="I368" t="s">
        <v>379</v>
      </c>
      <c r="K368" s="2" t="s">
        <v>1151</v>
      </c>
      <c r="L368" s="2" t="s">
        <v>30</v>
      </c>
      <c r="M368" s="2" t="s">
        <v>31</v>
      </c>
      <c r="N368" s="2" t="s">
        <v>32</v>
      </c>
      <c r="O368" s="2" t="s">
        <v>1982</v>
      </c>
      <c r="P368" s="2" t="s">
        <v>34</v>
      </c>
      <c r="Q368" t="s">
        <v>1983</v>
      </c>
      <c r="R368" s="2" t="s">
        <v>206</v>
      </c>
      <c r="S368" s="2" t="s">
        <v>1984</v>
      </c>
      <c r="T368" s="2" t="s">
        <v>60</v>
      </c>
    </row>
    <row r="369" spans="1:23" x14ac:dyDescent="0.25">
      <c r="A369" t="s">
        <v>1985</v>
      </c>
      <c r="B369" s="4">
        <f t="shared" si="5"/>
        <v>73073</v>
      </c>
      <c r="C369" t="s">
        <v>1986</v>
      </c>
      <c r="D369" t="s">
        <v>1149</v>
      </c>
      <c r="E369" t="s">
        <v>1334</v>
      </c>
      <c r="F369" t="s">
        <v>543</v>
      </c>
      <c r="G369" t="s">
        <v>352</v>
      </c>
      <c r="H369" s="2" t="s">
        <v>27</v>
      </c>
      <c r="I369" t="s">
        <v>379</v>
      </c>
      <c r="J369" s="2" t="s">
        <v>1987</v>
      </c>
      <c r="L369" s="2" t="s">
        <v>30</v>
      </c>
      <c r="M369" s="2" t="s">
        <v>31</v>
      </c>
      <c r="N369" s="2" t="s">
        <v>32</v>
      </c>
      <c r="O369" s="2" t="s">
        <v>1922</v>
      </c>
      <c r="P369" s="2" t="s">
        <v>34</v>
      </c>
      <c r="Q369" t="s">
        <v>1988</v>
      </c>
      <c r="R369" s="2" t="s">
        <v>1989</v>
      </c>
      <c r="T369" s="2" t="s">
        <v>60</v>
      </c>
    </row>
    <row r="370" spans="1:23" x14ac:dyDescent="0.25">
      <c r="A370" t="s">
        <v>1990</v>
      </c>
      <c r="B370" s="4">
        <f t="shared" si="5"/>
        <v>73076</v>
      </c>
      <c r="C370" t="s">
        <v>1991</v>
      </c>
      <c r="D370" t="s">
        <v>297</v>
      </c>
      <c r="E370" t="s">
        <v>1992</v>
      </c>
      <c r="F370">
        <v>1</v>
      </c>
      <c r="G370" t="s">
        <v>26</v>
      </c>
      <c r="H370" s="2" t="s">
        <v>27</v>
      </c>
      <c r="I370" t="s">
        <v>55</v>
      </c>
      <c r="J370" s="2" t="s">
        <v>1993</v>
      </c>
      <c r="L370" s="2" t="s">
        <v>30</v>
      </c>
      <c r="M370" s="2" t="s">
        <v>31</v>
      </c>
      <c r="N370" s="2" t="s">
        <v>32</v>
      </c>
      <c r="O370" s="2" t="s">
        <v>306</v>
      </c>
      <c r="P370" s="2" t="s">
        <v>34</v>
      </c>
      <c r="Q370" t="s">
        <v>307</v>
      </c>
      <c r="R370" s="2" t="s">
        <v>308</v>
      </c>
      <c r="T370" s="2" t="s">
        <v>34</v>
      </c>
      <c r="U370" s="2" t="s">
        <v>309</v>
      </c>
      <c r="V370" s="2" t="s">
        <v>1990</v>
      </c>
      <c r="W370" t="s">
        <v>1994</v>
      </c>
    </row>
    <row r="371" spans="1:23" x14ac:dyDescent="0.25">
      <c r="A371" t="s">
        <v>1995</v>
      </c>
      <c r="B371" s="4">
        <f t="shared" si="5"/>
        <v>73078</v>
      </c>
      <c r="C371" t="s">
        <v>1996</v>
      </c>
      <c r="D371" t="s">
        <v>185</v>
      </c>
      <c r="E371" t="s">
        <v>1136</v>
      </c>
      <c r="F371" t="s">
        <v>543</v>
      </c>
      <c r="G371" t="s">
        <v>352</v>
      </c>
      <c r="H371" s="2" t="s">
        <v>373</v>
      </c>
      <c r="I371" t="s">
        <v>379</v>
      </c>
      <c r="K371" s="2" t="s">
        <v>1997</v>
      </c>
      <c r="L371" s="2" t="s">
        <v>30</v>
      </c>
      <c r="M371" s="2" t="s">
        <v>31</v>
      </c>
      <c r="N371" s="2" t="s">
        <v>32</v>
      </c>
      <c r="O371" s="2" t="s">
        <v>1483</v>
      </c>
      <c r="P371" s="2" t="s">
        <v>34</v>
      </c>
      <c r="Q371" t="s">
        <v>1998</v>
      </c>
      <c r="R371" s="2" t="s">
        <v>206</v>
      </c>
      <c r="S371" s="2" t="s">
        <v>1999</v>
      </c>
      <c r="T371" s="2" t="s">
        <v>60</v>
      </c>
    </row>
    <row r="372" spans="1:23" x14ac:dyDescent="0.25">
      <c r="A372" t="s">
        <v>2000</v>
      </c>
      <c r="B372" s="4">
        <f t="shared" si="5"/>
        <v>73079</v>
      </c>
      <c r="C372" t="s">
        <v>2001</v>
      </c>
      <c r="D372" t="s">
        <v>297</v>
      </c>
      <c r="E372" t="s">
        <v>304</v>
      </c>
      <c r="F372">
        <v>1</v>
      </c>
      <c r="G372" t="s">
        <v>26</v>
      </c>
      <c r="H372" s="2" t="s">
        <v>27</v>
      </c>
      <c r="I372" t="s">
        <v>55</v>
      </c>
      <c r="J372" s="2" t="s">
        <v>2002</v>
      </c>
      <c r="L372" s="2" t="s">
        <v>30</v>
      </c>
      <c r="M372" s="2" t="s">
        <v>31</v>
      </c>
      <c r="N372" s="2" t="s">
        <v>32</v>
      </c>
      <c r="O372" s="2" t="s">
        <v>491</v>
      </c>
      <c r="P372" s="2" t="s">
        <v>34</v>
      </c>
      <c r="Q372" t="s">
        <v>492</v>
      </c>
      <c r="R372" s="2" t="s">
        <v>493</v>
      </c>
      <c r="T372" s="2" t="s">
        <v>60</v>
      </c>
    </row>
    <row r="373" spans="1:23" x14ac:dyDescent="0.25">
      <c r="A373" t="s">
        <v>2003</v>
      </c>
      <c r="B373" s="4">
        <f t="shared" si="5"/>
        <v>73090</v>
      </c>
      <c r="C373" t="s">
        <v>2004</v>
      </c>
      <c r="D373" t="s">
        <v>185</v>
      </c>
      <c r="E373" t="s">
        <v>909</v>
      </c>
      <c r="F373" t="s">
        <v>543</v>
      </c>
      <c r="G373" t="s">
        <v>26</v>
      </c>
      <c r="H373" s="2" t="s">
        <v>27</v>
      </c>
      <c r="I373" t="s">
        <v>386</v>
      </c>
      <c r="J373" s="2" t="s">
        <v>2005</v>
      </c>
      <c r="L373" s="2" t="s">
        <v>30</v>
      </c>
      <c r="M373" s="2" t="s">
        <v>31</v>
      </c>
      <c r="N373" s="2" t="s">
        <v>32</v>
      </c>
      <c r="O373" s="2" t="s">
        <v>1429</v>
      </c>
      <c r="P373" s="2" t="s">
        <v>34</v>
      </c>
      <c r="Q373" t="s">
        <v>912</v>
      </c>
      <c r="R373" s="2" t="s">
        <v>206</v>
      </c>
      <c r="S373" s="2" t="s">
        <v>913</v>
      </c>
      <c r="T373" s="2" t="s">
        <v>60</v>
      </c>
    </row>
    <row r="374" spans="1:23" x14ac:dyDescent="0.25">
      <c r="A374" t="s">
        <v>2006</v>
      </c>
      <c r="B374" s="4">
        <f t="shared" si="5"/>
        <v>73096</v>
      </c>
      <c r="C374" t="s">
        <v>2007</v>
      </c>
      <c r="D374" t="s">
        <v>42</v>
      </c>
      <c r="E374" t="s">
        <v>1089</v>
      </c>
      <c r="F374">
        <v>3</v>
      </c>
      <c r="G374" t="s">
        <v>26</v>
      </c>
      <c r="H374" s="2" t="s">
        <v>27</v>
      </c>
      <c r="I374" t="s">
        <v>28</v>
      </c>
      <c r="J374" s="2" t="s">
        <v>2008</v>
      </c>
      <c r="L374" s="2" t="s">
        <v>30</v>
      </c>
      <c r="M374" s="2" t="s">
        <v>31</v>
      </c>
      <c r="N374" s="2" t="s">
        <v>32</v>
      </c>
      <c r="O374" s="2" t="s">
        <v>2009</v>
      </c>
      <c r="P374" s="2" t="s">
        <v>34</v>
      </c>
      <c r="Q374" t="s">
        <v>2010</v>
      </c>
      <c r="R374" s="2" t="s">
        <v>2011</v>
      </c>
      <c r="T374" s="2" t="s">
        <v>34</v>
      </c>
      <c r="U374" s="2" t="s">
        <v>2012</v>
      </c>
      <c r="V374" s="2" t="s">
        <v>2013</v>
      </c>
      <c r="W374" t="s">
        <v>2014</v>
      </c>
    </row>
    <row r="375" spans="1:23" x14ac:dyDescent="0.25">
      <c r="A375" t="s">
        <v>2015</v>
      </c>
      <c r="B375" s="4">
        <f t="shared" si="5"/>
        <v>73104</v>
      </c>
      <c r="C375" t="s">
        <v>2016</v>
      </c>
      <c r="D375" t="s">
        <v>365</v>
      </c>
      <c r="E375" t="s">
        <v>1481</v>
      </c>
      <c r="F375" t="s">
        <v>187</v>
      </c>
      <c r="G375" t="s">
        <v>352</v>
      </c>
      <c r="H375" s="2" t="s">
        <v>27</v>
      </c>
      <c r="I375" t="s">
        <v>379</v>
      </c>
      <c r="J375" s="2" t="s">
        <v>2017</v>
      </c>
      <c r="L375" s="2" t="s">
        <v>30</v>
      </c>
      <c r="M375" s="2" t="s">
        <v>31</v>
      </c>
      <c r="N375" s="2" t="s">
        <v>32</v>
      </c>
      <c r="O375" s="2" t="s">
        <v>1323</v>
      </c>
      <c r="P375" s="2" t="s">
        <v>34</v>
      </c>
      <c r="Q375" t="s">
        <v>2018</v>
      </c>
      <c r="R375" s="2" t="s">
        <v>2019</v>
      </c>
      <c r="T375" s="2" t="s">
        <v>60</v>
      </c>
    </row>
    <row r="376" spans="1:23" x14ac:dyDescent="0.25">
      <c r="A376" t="s">
        <v>2020</v>
      </c>
      <c r="B376" s="4">
        <f t="shared" si="5"/>
        <v>73105</v>
      </c>
      <c r="C376" t="s">
        <v>2021</v>
      </c>
      <c r="D376" t="s">
        <v>24</v>
      </c>
      <c r="E376" t="s">
        <v>830</v>
      </c>
      <c r="F376">
        <v>2</v>
      </c>
      <c r="G376" t="s">
        <v>26</v>
      </c>
      <c r="H376" s="2" t="s">
        <v>27</v>
      </c>
      <c r="I376" t="s">
        <v>55</v>
      </c>
      <c r="J376" s="2" t="s">
        <v>2022</v>
      </c>
      <c r="L376" s="2" t="s">
        <v>30</v>
      </c>
      <c r="M376" s="2" t="s">
        <v>31</v>
      </c>
      <c r="N376" s="2" t="s">
        <v>32</v>
      </c>
      <c r="O376" s="2" t="s">
        <v>214</v>
      </c>
      <c r="P376" s="2" t="s">
        <v>34</v>
      </c>
      <c r="Q376" t="s">
        <v>1838</v>
      </c>
      <c r="R376" s="2" t="s">
        <v>206</v>
      </c>
      <c r="S376" s="2" t="s">
        <v>1839</v>
      </c>
      <c r="T376" s="2" t="s">
        <v>60</v>
      </c>
    </row>
    <row r="377" spans="1:23" x14ac:dyDescent="0.25">
      <c r="A377" t="s">
        <v>2023</v>
      </c>
      <c r="B377" s="4">
        <f t="shared" si="5"/>
        <v>73106</v>
      </c>
      <c r="C377" t="s">
        <v>2024</v>
      </c>
      <c r="D377" t="s">
        <v>279</v>
      </c>
      <c r="E377" t="s">
        <v>2025</v>
      </c>
      <c r="F377" t="s">
        <v>543</v>
      </c>
      <c r="G377" t="s">
        <v>26</v>
      </c>
      <c r="H377" s="2" t="s">
        <v>27</v>
      </c>
      <c r="I377" t="s">
        <v>368</v>
      </c>
      <c r="J377" s="2" t="s">
        <v>2026</v>
      </c>
      <c r="L377" s="2" t="s">
        <v>30</v>
      </c>
      <c r="M377" s="2" t="s">
        <v>31</v>
      </c>
      <c r="N377" s="2" t="s">
        <v>32</v>
      </c>
      <c r="O377" s="2" t="s">
        <v>1323</v>
      </c>
      <c r="P377" s="2" t="s">
        <v>34</v>
      </c>
      <c r="Q377" t="s">
        <v>2027</v>
      </c>
      <c r="R377" s="2" t="s">
        <v>2028</v>
      </c>
      <c r="T377" s="2" t="s">
        <v>60</v>
      </c>
    </row>
    <row r="378" spans="1:23" x14ac:dyDescent="0.25">
      <c r="A378" t="s">
        <v>2029</v>
      </c>
      <c r="B378" s="4">
        <f t="shared" si="5"/>
        <v>73107</v>
      </c>
      <c r="C378" t="s">
        <v>2030</v>
      </c>
      <c r="D378" t="s">
        <v>297</v>
      </c>
      <c r="E378" t="s">
        <v>1992</v>
      </c>
      <c r="F378">
        <v>1</v>
      </c>
      <c r="G378" t="s">
        <v>26</v>
      </c>
      <c r="H378" s="2" t="s">
        <v>27</v>
      </c>
      <c r="I378" t="s">
        <v>55</v>
      </c>
      <c r="J378" s="2" t="s">
        <v>2031</v>
      </c>
      <c r="L378" s="2" t="s">
        <v>30</v>
      </c>
      <c r="M378" s="2" t="s">
        <v>31</v>
      </c>
      <c r="N378" s="2" t="s">
        <v>32</v>
      </c>
      <c r="O378" s="2" t="s">
        <v>2032</v>
      </c>
      <c r="P378" s="2" t="s">
        <v>34</v>
      </c>
      <c r="Q378" t="s">
        <v>640</v>
      </c>
      <c r="R378" s="2" t="s">
        <v>641</v>
      </c>
      <c r="T378" s="2" t="s">
        <v>60</v>
      </c>
    </row>
    <row r="379" spans="1:23" x14ac:dyDescent="0.25">
      <c r="A379" t="s">
        <v>2033</v>
      </c>
      <c r="B379" s="4">
        <f t="shared" si="5"/>
        <v>73109</v>
      </c>
      <c r="C379" t="s">
        <v>2034</v>
      </c>
      <c r="D379" t="s">
        <v>291</v>
      </c>
      <c r="E379" t="s">
        <v>273</v>
      </c>
      <c r="F379">
        <v>1</v>
      </c>
      <c r="G379" t="s">
        <v>26</v>
      </c>
      <c r="H379" s="2" t="s">
        <v>27</v>
      </c>
      <c r="I379" t="s">
        <v>55</v>
      </c>
      <c r="J379" s="2" t="s">
        <v>2035</v>
      </c>
      <c r="L379" s="2" t="s">
        <v>30</v>
      </c>
      <c r="M379" s="2" t="s">
        <v>31</v>
      </c>
      <c r="N379" s="2" t="s">
        <v>32</v>
      </c>
      <c r="O379" s="2" t="s">
        <v>220</v>
      </c>
      <c r="P379" s="2" t="s">
        <v>34</v>
      </c>
      <c r="Q379" t="s">
        <v>293</v>
      </c>
      <c r="R379" s="2" t="s">
        <v>294</v>
      </c>
      <c r="T379" s="2" t="s">
        <v>60</v>
      </c>
    </row>
    <row r="380" spans="1:23" x14ac:dyDescent="0.25">
      <c r="A380" t="s">
        <v>2036</v>
      </c>
      <c r="B380" s="4">
        <f t="shared" si="5"/>
        <v>73110</v>
      </c>
      <c r="C380" t="s">
        <v>2037</v>
      </c>
      <c r="D380" t="s">
        <v>42</v>
      </c>
      <c r="E380" t="s">
        <v>142</v>
      </c>
      <c r="F380">
        <v>2</v>
      </c>
      <c r="G380" t="s">
        <v>352</v>
      </c>
      <c r="H380" s="2" t="s">
        <v>373</v>
      </c>
      <c r="I380" t="s">
        <v>379</v>
      </c>
      <c r="K380" s="2" t="s">
        <v>2038</v>
      </c>
      <c r="L380" s="2" t="s">
        <v>30</v>
      </c>
      <c r="M380" s="2" t="s">
        <v>31</v>
      </c>
      <c r="N380" s="2" t="s">
        <v>32</v>
      </c>
      <c r="O380" s="2" t="s">
        <v>2039</v>
      </c>
      <c r="P380" s="2" t="s">
        <v>34</v>
      </c>
      <c r="Q380" t="s">
        <v>1313</v>
      </c>
      <c r="R380" s="2" t="s">
        <v>1314</v>
      </c>
      <c r="T380" s="2" t="s">
        <v>60</v>
      </c>
    </row>
    <row r="381" spans="1:23" x14ac:dyDescent="0.25">
      <c r="A381" t="s">
        <v>2040</v>
      </c>
      <c r="B381" s="4">
        <f t="shared" si="5"/>
        <v>73113</v>
      </c>
      <c r="C381" t="s">
        <v>2041</v>
      </c>
      <c r="D381" t="s">
        <v>365</v>
      </c>
      <c r="E381" t="s">
        <v>878</v>
      </c>
      <c r="F381" t="s">
        <v>367</v>
      </c>
      <c r="G381" t="s">
        <v>352</v>
      </c>
      <c r="H381" s="2" t="s">
        <v>27</v>
      </c>
      <c r="I381" t="s">
        <v>28</v>
      </c>
      <c r="J381" s="2" t="s">
        <v>2042</v>
      </c>
      <c r="L381" s="2" t="s">
        <v>30</v>
      </c>
      <c r="M381" s="2" t="s">
        <v>31</v>
      </c>
      <c r="N381" s="2" t="s">
        <v>32</v>
      </c>
      <c r="O381" s="2" t="s">
        <v>1204</v>
      </c>
      <c r="P381" s="2" t="s">
        <v>34</v>
      </c>
      <c r="Q381" t="s">
        <v>1389</v>
      </c>
      <c r="R381" s="2" t="s">
        <v>206</v>
      </c>
      <c r="S381" s="2" t="s">
        <v>1390</v>
      </c>
      <c r="T381" s="2" t="s">
        <v>34</v>
      </c>
      <c r="U381" s="2" t="s">
        <v>1391</v>
      </c>
      <c r="V381" s="2" t="s">
        <v>2043</v>
      </c>
      <c r="W381" t="s">
        <v>2044</v>
      </c>
    </row>
    <row r="382" spans="1:23" x14ac:dyDescent="0.25">
      <c r="A382" t="s">
        <v>2045</v>
      </c>
      <c r="B382" s="4">
        <f t="shared" si="5"/>
        <v>73116</v>
      </c>
      <c r="C382" t="s">
        <v>2046</v>
      </c>
      <c r="D382" t="s">
        <v>42</v>
      </c>
      <c r="E382" t="s">
        <v>142</v>
      </c>
      <c r="F382">
        <v>2</v>
      </c>
      <c r="G382" t="s">
        <v>352</v>
      </c>
      <c r="H382" s="2" t="s">
        <v>373</v>
      </c>
      <c r="I382" t="s">
        <v>379</v>
      </c>
      <c r="K382" s="2" t="s">
        <v>2047</v>
      </c>
      <c r="L382" s="2" t="s">
        <v>30</v>
      </c>
      <c r="M382" s="2" t="s">
        <v>31</v>
      </c>
      <c r="N382" s="2" t="s">
        <v>32</v>
      </c>
      <c r="O382" s="2" t="s">
        <v>275</v>
      </c>
      <c r="P382" s="2" t="s">
        <v>34</v>
      </c>
      <c r="Q382" t="s">
        <v>2048</v>
      </c>
      <c r="R382" s="2" t="s">
        <v>2049</v>
      </c>
      <c r="T382" s="2" t="s">
        <v>60</v>
      </c>
    </row>
    <row r="383" spans="1:23" x14ac:dyDescent="0.25">
      <c r="A383" t="s">
        <v>2050</v>
      </c>
      <c r="B383" s="4">
        <f t="shared" si="5"/>
        <v>73117</v>
      </c>
      <c r="C383" t="s">
        <v>2051</v>
      </c>
      <c r="D383" t="s">
        <v>365</v>
      </c>
      <c r="E383" t="s">
        <v>878</v>
      </c>
      <c r="F383" t="s">
        <v>367</v>
      </c>
      <c r="G383" t="s">
        <v>352</v>
      </c>
      <c r="H383" s="2" t="s">
        <v>373</v>
      </c>
      <c r="I383" t="s">
        <v>379</v>
      </c>
      <c r="K383" s="2" t="s">
        <v>2052</v>
      </c>
      <c r="L383" s="2" t="s">
        <v>30</v>
      </c>
      <c r="M383" s="2" t="s">
        <v>31</v>
      </c>
      <c r="N383" s="2" t="s">
        <v>32</v>
      </c>
      <c r="O383" s="2" t="s">
        <v>2053</v>
      </c>
      <c r="P383" s="2" t="s">
        <v>34</v>
      </c>
      <c r="Q383" t="s">
        <v>2054</v>
      </c>
      <c r="R383" s="2" t="s">
        <v>2055</v>
      </c>
      <c r="T383" s="2" t="s">
        <v>60</v>
      </c>
    </row>
    <row r="384" spans="1:23" x14ac:dyDescent="0.25">
      <c r="A384" t="s">
        <v>2056</v>
      </c>
      <c r="B384" s="4">
        <f t="shared" si="5"/>
        <v>73127</v>
      </c>
      <c r="C384" t="s">
        <v>2057</v>
      </c>
      <c r="D384" t="s">
        <v>42</v>
      </c>
      <c r="E384" t="s">
        <v>77</v>
      </c>
      <c r="F384">
        <v>3</v>
      </c>
      <c r="G384" t="s">
        <v>26</v>
      </c>
      <c r="H384" s="2" t="s">
        <v>27</v>
      </c>
      <c r="I384" t="s">
        <v>368</v>
      </c>
      <c r="J384" s="2" t="s">
        <v>2058</v>
      </c>
      <c r="L384" s="2" t="s">
        <v>30</v>
      </c>
      <c r="M384" s="2" t="s">
        <v>31</v>
      </c>
      <c r="N384" s="2" t="s">
        <v>32</v>
      </c>
      <c r="O384" s="2" t="s">
        <v>2059</v>
      </c>
      <c r="P384" s="2" t="s">
        <v>34</v>
      </c>
      <c r="Q384" t="s">
        <v>2060</v>
      </c>
      <c r="R384" s="2" t="s">
        <v>206</v>
      </c>
      <c r="S384" s="2" t="s">
        <v>2061</v>
      </c>
      <c r="T384" s="2" t="s">
        <v>60</v>
      </c>
    </row>
    <row r="385" spans="1:23" x14ac:dyDescent="0.25">
      <c r="A385" t="s">
        <v>2062</v>
      </c>
      <c r="B385" s="4">
        <f t="shared" si="5"/>
        <v>73131</v>
      </c>
      <c r="C385" t="s">
        <v>2063</v>
      </c>
      <c r="D385" t="s">
        <v>245</v>
      </c>
      <c r="E385" t="s">
        <v>1130</v>
      </c>
      <c r="F385">
        <v>2</v>
      </c>
      <c r="G385" t="s">
        <v>26</v>
      </c>
      <c r="H385" s="2" t="s">
        <v>27</v>
      </c>
      <c r="I385" t="s">
        <v>368</v>
      </c>
      <c r="J385" s="2" t="s">
        <v>2064</v>
      </c>
      <c r="L385" s="2" t="s">
        <v>30</v>
      </c>
      <c r="M385" s="2" t="s">
        <v>31</v>
      </c>
      <c r="N385" s="2" t="s">
        <v>32</v>
      </c>
      <c r="O385" s="2" t="s">
        <v>375</v>
      </c>
      <c r="P385" s="2" t="s">
        <v>34</v>
      </c>
      <c r="Q385" t="s">
        <v>2065</v>
      </c>
      <c r="R385" s="2" t="s">
        <v>2066</v>
      </c>
      <c r="T385" s="2" t="s">
        <v>60</v>
      </c>
    </row>
    <row r="386" spans="1:23" x14ac:dyDescent="0.25">
      <c r="A386" t="s">
        <v>2067</v>
      </c>
      <c r="B386" s="4">
        <f t="shared" si="5"/>
        <v>73134</v>
      </c>
      <c r="C386" t="s">
        <v>2068</v>
      </c>
      <c r="D386" t="s">
        <v>185</v>
      </c>
      <c r="E386" t="s">
        <v>2069</v>
      </c>
      <c r="F386" t="s">
        <v>187</v>
      </c>
      <c r="G386" t="s">
        <v>26</v>
      </c>
      <c r="H386" s="2" t="s">
        <v>373</v>
      </c>
      <c r="I386" t="s">
        <v>28</v>
      </c>
      <c r="K386" s="2" t="s">
        <v>727</v>
      </c>
      <c r="L386" s="2" t="s">
        <v>30</v>
      </c>
      <c r="M386" s="2" t="s">
        <v>31</v>
      </c>
      <c r="N386" s="2" t="s">
        <v>32</v>
      </c>
      <c r="O386" s="2" t="s">
        <v>2070</v>
      </c>
      <c r="P386" s="2" t="s">
        <v>34</v>
      </c>
      <c r="Q386" t="s">
        <v>1586</v>
      </c>
      <c r="R386" s="2" t="s">
        <v>1587</v>
      </c>
      <c r="T386" s="2" t="s">
        <v>34</v>
      </c>
      <c r="U386" s="2" t="s">
        <v>1588</v>
      </c>
      <c r="V386" s="2" t="s">
        <v>2071</v>
      </c>
      <c r="W386" t="s">
        <v>2072</v>
      </c>
    </row>
    <row r="387" spans="1:23" x14ac:dyDescent="0.25">
      <c r="A387" t="s">
        <v>2073</v>
      </c>
      <c r="B387" s="4">
        <f t="shared" ref="B387:B450" si="6">REPLACE(A387, 1, 1, "")+0</f>
        <v>73136</v>
      </c>
      <c r="C387" t="s">
        <v>2074</v>
      </c>
      <c r="D387" t="s">
        <v>42</v>
      </c>
      <c r="E387" t="s">
        <v>90</v>
      </c>
      <c r="F387">
        <v>3</v>
      </c>
      <c r="G387" t="s">
        <v>26</v>
      </c>
      <c r="H387" s="2" t="s">
        <v>27</v>
      </c>
      <c r="I387" t="s">
        <v>55</v>
      </c>
      <c r="J387" s="2" t="s">
        <v>2075</v>
      </c>
      <c r="L387" s="2" t="s">
        <v>30</v>
      </c>
      <c r="M387" s="2" t="s">
        <v>31</v>
      </c>
      <c r="N387" s="2" t="s">
        <v>32</v>
      </c>
      <c r="O387" s="2" t="s">
        <v>100</v>
      </c>
      <c r="P387" s="2" t="s">
        <v>34</v>
      </c>
      <c r="Q387" t="s">
        <v>86</v>
      </c>
      <c r="R387" s="2" t="s">
        <v>87</v>
      </c>
      <c r="T387" s="2" t="s">
        <v>60</v>
      </c>
    </row>
    <row r="388" spans="1:23" x14ac:dyDescent="0.25">
      <c r="A388" t="s">
        <v>2076</v>
      </c>
      <c r="B388" s="4">
        <f t="shared" si="6"/>
        <v>73139</v>
      </c>
      <c r="C388" t="s">
        <v>2077</v>
      </c>
      <c r="D388" t="s">
        <v>365</v>
      </c>
      <c r="E388" t="s">
        <v>1396</v>
      </c>
      <c r="F388" t="s">
        <v>367</v>
      </c>
      <c r="G388" t="s">
        <v>352</v>
      </c>
      <c r="H388" s="2" t="s">
        <v>27</v>
      </c>
      <c r="I388" t="s">
        <v>379</v>
      </c>
      <c r="J388" s="2" t="s">
        <v>2078</v>
      </c>
      <c r="L388" s="2" t="s">
        <v>30</v>
      </c>
      <c r="M388" s="2" t="s">
        <v>31</v>
      </c>
      <c r="N388" s="2" t="s">
        <v>32</v>
      </c>
      <c r="O388" s="2" t="s">
        <v>1204</v>
      </c>
      <c r="P388" s="2" t="s">
        <v>34</v>
      </c>
      <c r="Q388" t="s">
        <v>2079</v>
      </c>
      <c r="R388" s="2" t="s">
        <v>206</v>
      </c>
      <c r="S388" s="2" t="s">
        <v>2080</v>
      </c>
      <c r="T388" s="2" t="s">
        <v>60</v>
      </c>
    </row>
    <row r="389" spans="1:23" x14ac:dyDescent="0.25">
      <c r="A389" t="s">
        <v>2081</v>
      </c>
      <c r="B389" s="4">
        <f t="shared" si="6"/>
        <v>73141</v>
      </c>
      <c r="C389" t="s">
        <v>2082</v>
      </c>
      <c r="D389" t="s">
        <v>279</v>
      </c>
      <c r="E389" t="s">
        <v>2025</v>
      </c>
      <c r="F389" t="s">
        <v>543</v>
      </c>
      <c r="G389" t="s">
        <v>26</v>
      </c>
      <c r="H389" s="2" t="s">
        <v>27</v>
      </c>
      <c r="I389" t="s">
        <v>368</v>
      </c>
      <c r="J389" s="2" t="s">
        <v>2083</v>
      </c>
      <c r="L389" s="2" t="s">
        <v>30</v>
      </c>
      <c r="M389" s="2" t="s">
        <v>31</v>
      </c>
      <c r="N389" s="2" t="s">
        <v>32</v>
      </c>
      <c r="O389" s="2" t="s">
        <v>1204</v>
      </c>
      <c r="P389" s="2" t="s">
        <v>34</v>
      </c>
      <c r="Q389" t="s">
        <v>2084</v>
      </c>
      <c r="R389" s="2" t="s">
        <v>2085</v>
      </c>
      <c r="T389" s="2" t="s">
        <v>60</v>
      </c>
    </row>
    <row r="390" spans="1:23" x14ac:dyDescent="0.25">
      <c r="A390" t="s">
        <v>2086</v>
      </c>
      <c r="B390" s="4">
        <f t="shared" si="6"/>
        <v>73147</v>
      </c>
      <c r="C390" t="s">
        <v>2087</v>
      </c>
      <c r="D390" t="s">
        <v>365</v>
      </c>
      <c r="E390" t="s">
        <v>774</v>
      </c>
      <c r="F390" t="s">
        <v>680</v>
      </c>
      <c r="G390" t="s">
        <v>352</v>
      </c>
      <c r="H390" s="2" t="s">
        <v>27</v>
      </c>
      <c r="I390" t="s">
        <v>28</v>
      </c>
      <c r="J390" s="2" t="s">
        <v>2088</v>
      </c>
      <c r="L390" s="2" t="s">
        <v>30</v>
      </c>
      <c r="M390" s="2" t="s">
        <v>31</v>
      </c>
      <c r="N390" s="2" t="s">
        <v>32</v>
      </c>
      <c r="O390" s="2" t="s">
        <v>1204</v>
      </c>
      <c r="P390" s="2" t="s">
        <v>34</v>
      </c>
      <c r="Q390" t="s">
        <v>2089</v>
      </c>
      <c r="R390" s="2" t="s">
        <v>2090</v>
      </c>
      <c r="T390" s="2" t="s">
        <v>34</v>
      </c>
      <c r="U390" s="2" t="s">
        <v>2091</v>
      </c>
      <c r="V390" s="2" t="s">
        <v>2092</v>
      </c>
      <c r="W390" t="s">
        <v>2093</v>
      </c>
    </row>
    <row r="391" spans="1:23" x14ac:dyDescent="0.25">
      <c r="A391" t="s">
        <v>2094</v>
      </c>
      <c r="B391" s="4">
        <f t="shared" si="6"/>
        <v>73148</v>
      </c>
      <c r="C391" t="s">
        <v>2095</v>
      </c>
      <c r="D391" t="s">
        <v>365</v>
      </c>
      <c r="E391" t="s">
        <v>1464</v>
      </c>
      <c r="F391" t="s">
        <v>367</v>
      </c>
      <c r="G391" t="s">
        <v>352</v>
      </c>
      <c r="H391" s="2" t="s">
        <v>27</v>
      </c>
      <c r="I391" t="s">
        <v>379</v>
      </c>
      <c r="J391" s="2" t="s">
        <v>2096</v>
      </c>
      <c r="L391" s="2" t="s">
        <v>30</v>
      </c>
      <c r="M391" s="2" t="s">
        <v>31</v>
      </c>
      <c r="N391" s="2" t="s">
        <v>32</v>
      </c>
      <c r="O391" s="2" t="s">
        <v>1204</v>
      </c>
      <c r="P391" s="2" t="s">
        <v>34</v>
      </c>
      <c r="Q391" t="s">
        <v>2097</v>
      </c>
      <c r="R391" s="2" t="s">
        <v>206</v>
      </c>
      <c r="S391" s="2" t="s">
        <v>2098</v>
      </c>
      <c r="T391" s="2" t="s">
        <v>60</v>
      </c>
    </row>
    <row r="392" spans="1:23" x14ac:dyDescent="0.25">
      <c r="A392" t="s">
        <v>2099</v>
      </c>
      <c r="B392" s="4">
        <f t="shared" si="6"/>
        <v>73150</v>
      </c>
      <c r="C392" t="s">
        <v>2100</v>
      </c>
      <c r="D392" t="s">
        <v>320</v>
      </c>
      <c r="E392" t="s">
        <v>2101</v>
      </c>
      <c r="F392" t="s">
        <v>187</v>
      </c>
      <c r="G392" t="s">
        <v>26</v>
      </c>
      <c r="H392" s="2" t="s">
        <v>27</v>
      </c>
      <c r="I392" t="s">
        <v>55</v>
      </c>
      <c r="J392" s="2" t="s">
        <v>2102</v>
      </c>
      <c r="L392" s="2" t="s">
        <v>30</v>
      </c>
      <c r="M392" s="2" t="s">
        <v>31</v>
      </c>
      <c r="N392" s="2" t="s">
        <v>32</v>
      </c>
      <c r="O392" s="2" t="s">
        <v>2103</v>
      </c>
      <c r="P392" s="2" t="s">
        <v>34</v>
      </c>
      <c r="Q392" t="s">
        <v>1562</v>
      </c>
      <c r="R392" s="2" t="s">
        <v>1563</v>
      </c>
      <c r="T392" s="2" t="s">
        <v>60</v>
      </c>
    </row>
    <row r="393" spans="1:23" x14ac:dyDescent="0.25">
      <c r="A393" t="s">
        <v>2104</v>
      </c>
      <c r="B393" s="4">
        <f t="shared" si="6"/>
        <v>73152</v>
      </c>
      <c r="C393" t="s">
        <v>2105</v>
      </c>
      <c r="D393" t="s">
        <v>42</v>
      </c>
      <c r="E393" t="s">
        <v>67</v>
      </c>
      <c r="F393">
        <v>2</v>
      </c>
      <c r="G393" t="s">
        <v>352</v>
      </c>
      <c r="H393" s="2" t="s">
        <v>27</v>
      </c>
      <c r="I393" t="s">
        <v>28</v>
      </c>
      <c r="J393" s="2" t="s">
        <v>2106</v>
      </c>
      <c r="L393" s="2" t="s">
        <v>30</v>
      </c>
      <c r="M393" s="2" t="s">
        <v>31</v>
      </c>
      <c r="N393" s="2" t="s">
        <v>32</v>
      </c>
      <c r="O393" s="2" t="s">
        <v>85</v>
      </c>
      <c r="P393" s="2" t="s">
        <v>34</v>
      </c>
      <c r="Q393" t="s">
        <v>46</v>
      </c>
      <c r="R393" s="2" t="s">
        <v>47</v>
      </c>
      <c r="T393" s="2" t="s">
        <v>34</v>
      </c>
      <c r="U393" s="2" t="s">
        <v>48</v>
      </c>
      <c r="V393" s="2" t="s">
        <v>2107</v>
      </c>
      <c r="W393" t="s">
        <v>2108</v>
      </c>
    </row>
    <row r="394" spans="1:23" x14ac:dyDescent="0.25">
      <c r="A394" t="s">
        <v>2109</v>
      </c>
      <c r="B394" s="4">
        <f t="shared" si="6"/>
        <v>73153</v>
      </c>
      <c r="C394" t="s">
        <v>2110</v>
      </c>
      <c r="D394" t="s">
        <v>42</v>
      </c>
      <c r="E394" t="s">
        <v>95</v>
      </c>
      <c r="F394">
        <v>3</v>
      </c>
      <c r="G394" t="s">
        <v>26</v>
      </c>
      <c r="H394" s="2" t="s">
        <v>27</v>
      </c>
      <c r="I394" t="s">
        <v>55</v>
      </c>
      <c r="J394" s="2" t="s">
        <v>2111</v>
      </c>
      <c r="L394" s="2" t="s">
        <v>30</v>
      </c>
      <c r="M394" s="2" t="s">
        <v>31</v>
      </c>
      <c r="N394" s="2" t="s">
        <v>32</v>
      </c>
      <c r="O394" s="2" t="s">
        <v>92</v>
      </c>
      <c r="P394" s="2" t="s">
        <v>34</v>
      </c>
      <c r="Q394" t="s">
        <v>86</v>
      </c>
      <c r="R394" s="2" t="s">
        <v>87</v>
      </c>
      <c r="T394" s="2" t="s">
        <v>60</v>
      </c>
    </row>
    <row r="395" spans="1:23" x14ac:dyDescent="0.25">
      <c r="A395" t="s">
        <v>2112</v>
      </c>
      <c r="B395" s="4">
        <f t="shared" si="6"/>
        <v>73154</v>
      </c>
      <c r="C395" t="s">
        <v>2113</v>
      </c>
      <c r="D395" t="s">
        <v>42</v>
      </c>
      <c r="E395" t="s">
        <v>43</v>
      </c>
      <c r="F395">
        <v>3</v>
      </c>
      <c r="G395" t="s">
        <v>26</v>
      </c>
      <c r="H395" s="2" t="s">
        <v>27</v>
      </c>
      <c r="I395" t="s">
        <v>55</v>
      </c>
      <c r="J395" s="2" t="s">
        <v>2114</v>
      </c>
      <c r="L395" s="2" t="s">
        <v>30</v>
      </c>
      <c r="M395" s="2" t="s">
        <v>31</v>
      </c>
      <c r="N395" s="2" t="s">
        <v>32</v>
      </c>
      <c r="O395" s="2" t="s">
        <v>92</v>
      </c>
      <c r="P395" s="2" t="s">
        <v>34</v>
      </c>
      <c r="Q395" t="s">
        <v>86</v>
      </c>
      <c r="R395" s="2" t="s">
        <v>87</v>
      </c>
      <c r="T395" s="2" t="s">
        <v>60</v>
      </c>
    </row>
    <row r="396" spans="1:23" x14ac:dyDescent="0.25">
      <c r="A396" t="s">
        <v>2115</v>
      </c>
      <c r="B396" s="4">
        <f t="shared" si="6"/>
        <v>73157</v>
      </c>
      <c r="C396" t="s">
        <v>2116</v>
      </c>
      <c r="D396" t="s">
        <v>42</v>
      </c>
      <c r="E396" t="s">
        <v>2117</v>
      </c>
      <c r="F396">
        <v>3</v>
      </c>
      <c r="G396" t="s">
        <v>26</v>
      </c>
      <c r="H396" s="2" t="s">
        <v>27</v>
      </c>
      <c r="I396" t="s">
        <v>55</v>
      </c>
      <c r="J396" s="2" t="s">
        <v>2118</v>
      </c>
      <c r="L396" s="2" t="s">
        <v>30</v>
      </c>
      <c r="M396" s="2" t="s">
        <v>31</v>
      </c>
      <c r="N396" s="2" t="s">
        <v>32</v>
      </c>
      <c r="O396" s="2" t="s">
        <v>897</v>
      </c>
      <c r="P396" s="2" t="s">
        <v>34</v>
      </c>
      <c r="Q396" t="s">
        <v>203</v>
      </c>
      <c r="R396" s="2" t="s">
        <v>204</v>
      </c>
      <c r="T396" s="2" t="s">
        <v>34</v>
      </c>
      <c r="U396" s="2" t="s">
        <v>205</v>
      </c>
      <c r="V396" s="2" t="s">
        <v>2115</v>
      </c>
      <c r="W396" t="s">
        <v>2119</v>
      </c>
    </row>
    <row r="397" spans="1:23" x14ac:dyDescent="0.25">
      <c r="A397" t="s">
        <v>2120</v>
      </c>
      <c r="B397" s="4">
        <f t="shared" si="6"/>
        <v>73159</v>
      </c>
      <c r="C397" t="s">
        <v>2121</v>
      </c>
      <c r="D397" t="s">
        <v>297</v>
      </c>
      <c r="E397" t="s">
        <v>313</v>
      </c>
      <c r="F397">
        <v>1</v>
      </c>
      <c r="G397" t="s">
        <v>26</v>
      </c>
      <c r="H397" s="2" t="s">
        <v>27</v>
      </c>
      <c r="I397" t="s">
        <v>55</v>
      </c>
      <c r="J397" s="2" t="s">
        <v>2122</v>
      </c>
      <c r="L397" s="2" t="s">
        <v>30</v>
      </c>
      <c r="M397" s="2" t="s">
        <v>31</v>
      </c>
      <c r="N397" s="2" t="s">
        <v>32</v>
      </c>
      <c r="O397" s="2" t="s">
        <v>315</v>
      </c>
      <c r="P397" s="2" t="s">
        <v>34</v>
      </c>
      <c r="Q397" t="s">
        <v>316</v>
      </c>
      <c r="R397" s="2" t="s">
        <v>317</v>
      </c>
      <c r="T397" s="2" t="s">
        <v>60</v>
      </c>
    </row>
    <row r="398" spans="1:23" x14ac:dyDescent="0.25">
      <c r="A398" t="s">
        <v>2123</v>
      </c>
      <c r="B398" s="4">
        <f t="shared" si="6"/>
        <v>73161</v>
      </c>
      <c r="C398" t="s">
        <v>2124</v>
      </c>
      <c r="D398" t="s">
        <v>245</v>
      </c>
      <c r="E398" t="s">
        <v>25</v>
      </c>
      <c r="F398">
        <v>2</v>
      </c>
      <c r="G398" t="s">
        <v>26</v>
      </c>
      <c r="H398" s="2" t="s">
        <v>27</v>
      </c>
      <c r="I398" t="s">
        <v>55</v>
      </c>
      <c r="J398" s="2" t="s">
        <v>2125</v>
      </c>
      <c r="L398" s="2" t="s">
        <v>30</v>
      </c>
      <c r="M398" s="2" t="s">
        <v>31</v>
      </c>
      <c r="N398" s="2" t="s">
        <v>32</v>
      </c>
      <c r="O398" s="2" t="s">
        <v>571</v>
      </c>
      <c r="P398" s="2" t="s">
        <v>34</v>
      </c>
      <c r="Q398" t="s">
        <v>2126</v>
      </c>
      <c r="R398" s="2" t="s">
        <v>2127</v>
      </c>
      <c r="T398" s="2" t="s">
        <v>60</v>
      </c>
    </row>
    <row r="399" spans="1:23" x14ac:dyDescent="0.25">
      <c r="A399" t="s">
        <v>2128</v>
      </c>
      <c r="B399" s="4">
        <f t="shared" si="6"/>
        <v>73164</v>
      </c>
      <c r="C399" t="s">
        <v>2129</v>
      </c>
      <c r="D399" t="s">
        <v>365</v>
      </c>
      <c r="E399" t="s">
        <v>1396</v>
      </c>
      <c r="F399" t="s">
        <v>367</v>
      </c>
      <c r="G399" t="s">
        <v>352</v>
      </c>
      <c r="H399" s="2" t="s">
        <v>27</v>
      </c>
      <c r="I399" t="s">
        <v>379</v>
      </c>
      <c r="J399" s="2" t="s">
        <v>2130</v>
      </c>
      <c r="L399" s="2" t="s">
        <v>30</v>
      </c>
      <c r="M399" s="2" t="s">
        <v>31</v>
      </c>
      <c r="N399" s="2" t="s">
        <v>32</v>
      </c>
      <c r="O399" s="2" t="s">
        <v>1204</v>
      </c>
      <c r="P399" s="2" t="s">
        <v>34</v>
      </c>
      <c r="Q399" t="s">
        <v>2079</v>
      </c>
      <c r="R399" s="2" t="s">
        <v>206</v>
      </c>
      <c r="S399" s="2" t="s">
        <v>2080</v>
      </c>
      <c r="T399" s="2" t="s">
        <v>60</v>
      </c>
    </row>
    <row r="400" spans="1:23" x14ac:dyDescent="0.25">
      <c r="A400" t="s">
        <v>2131</v>
      </c>
      <c r="B400" s="4">
        <f t="shared" si="6"/>
        <v>73165</v>
      </c>
      <c r="C400" t="s">
        <v>2132</v>
      </c>
      <c r="D400" t="s">
        <v>365</v>
      </c>
      <c r="E400" t="s">
        <v>726</v>
      </c>
      <c r="F400" t="s">
        <v>367</v>
      </c>
      <c r="G400" t="s">
        <v>352</v>
      </c>
      <c r="H400" s="2" t="s">
        <v>27</v>
      </c>
      <c r="I400" t="s">
        <v>379</v>
      </c>
      <c r="J400" s="2" t="s">
        <v>2133</v>
      </c>
      <c r="L400" s="2" t="s">
        <v>30</v>
      </c>
      <c r="M400" s="2" t="s">
        <v>31</v>
      </c>
      <c r="N400" s="2" t="s">
        <v>32</v>
      </c>
      <c r="O400" s="2" t="s">
        <v>1204</v>
      </c>
      <c r="P400" s="2" t="s">
        <v>34</v>
      </c>
      <c r="Q400" t="s">
        <v>2134</v>
      </c>
      <c r="R400" s="2" t="s">
        <v>2135</v>
      </c>
      <c r="T400" s="2" t="s">
        <v>60</v>
      </c>
    </row>
    <row r="401" spans="1:23" x14ac:dyDescent="0.25">
      <c r="A401" t="s">
        <v>2136</v>
      </c>
      <c r="B401" s="4">
        <f t="shared" si="6"/>
        <v>73168</v>
      </c>
      <c r="C401" t="s">
        <v>2137</v>
      </c>
      <c r="D401" t="s">
        <v>185</v>
      </c>
      <c r="E401" t="s">
        <v>393</v>
      </c>
      <c r="F401" t="s">
        <v>187</v>
      </c>
      <c r="G401" t="s">
        <v>26</v>
      </c>
      <c r="H401" s="2" t="s">
        <v>27</v>
      </c>
      <c r="I401" t="s">
        <v>368</v>
      </c>
      <c r="J401" s="2" t="s">
        <v>2138</v>
      </c>
      <c r="L401" s="2" t="s">
        <v>30</v>
      </c>
      <c r="M401" s="2" t="s">
        <v>31</v>
      </c>
      <c r="N401" s="2" t="s">
        <v>32</v>
      </c>
      <c r="O401" s="2" t="s">
        <v>2139</v>
      </c>
      <c r="P401" s="2" t="s">
        <v>34</v>
      </c>
      <c r="Q401" t="s">
        <v>2140</v>
      </c>
      <c r="R401" s="2" t="s">
        <v>2141</v>
      </c>
      <c r="T401" s="2" t="s">
        <v>60</v>
      </c>
    </row>
    <row r="402" spans="1:23" x14ac:dyDescent="0.25">
      <c r="A402" t="s">
        <v>2142</v>
      </c>
      <c r="B402" s="4">
        <f t="shared" si="6"/>
        <v>73170</v>
      </c>
      <c r="C402" t="s">
        <v>2143</v>
      </c>
      <c r="D402" t="s">
        <v>24</v>
      </c>
      <c r="E402" t="s">
        <v>113</v>
      </c>
      <c r="F402">
        <v>2</v>
      </c>
      <c r="G402" t="s">
        <v>26</v>
      </c>
      <c r="H402" s="2" t="s">
        <v>27</v>
      </c>
      <c r="I402" t="s">
        <v>368</v>
      </c>
      <c r="J402" s="2" t="s">
        <v>2144</v>
      </c>
      <c r="L402" s="2" t="s">
        <v>30</v>
      </c>
      <c r="M402" s="2" t="s">
        <v>31</v>
      </c>
      <c r="N402" s="2" t="s">
        <v>32</v>
      </c>
      <c r="O402" s="2" t="s">
        <v>115</v>
      </c>
      <c r="P402" s="2" t="s">
        <v>34</v>
      </c>
      <c r="Q402" t="s">
        <v>2145</v>
      </c>
      <c r="R402" s="2" t="s">
        <v>2146</v>
      </c>
      <c r="T402" s="2" t="s">
        <v>60</v>
      </c>
    </row>
    <row r="403" spans="1:23" x14ac:dyDescent="0.25">
      <c r="A403" t="s">
        <v>2147</v>
      </c>
      <c r="B403" s="4">
        <f t="shared" si="6"/>
        <v>73171</v>
      </c>
      <c r="C403" t="s">
        <v>2148</v>
      </c>
      <c r="D403" t="s">
        <v>103</v>
      </c>
      <c r="E403" t="s">
        <v>1007</v>
      </c>
      <c r="F403">
        <v>1</v>
      </c>
      <c r="G403" t="s">
        <v>26</v>
      </c>
      <c r="H403" s="2" t="s">
        <v>27</v>
      </c>
      <c r="I403" t="s">
        <v>55</v>
      </c>
      <c r="J403" s="2" t="s">
        <v>2149</v>
      </c>
      <c r="L403" s="2" t="s">
        <v>30</v>
      </c>
      <c r="M403" s="2" t="s">
        <v>31</v>
      </c>
      <c r="N403" s="2" t="s">
        <v>32</v>
      </c>
      <c r="O403" s="2" t="s">
        <v>123</v>
      </c>
      <c r="P403" s="2" t="s">
        <v>34</v>
      </c>
      <c r="Q403" t="s">
        <v>2150</v>
      </c>
      <c r="R403" s="2" t="s">
        <v>206</v>
      </c>
      <c r="S403" s="2" t="s">
        <v>2151</v>
      </c>
      <c r="T403" s="2" t="s">
        <v>60</v>
      </c>
    </row>
    <row r="404" spans="1:23" x14ac:dyDescent="0.25">
      <c r="A404" t="s">
        <v>2152</v>
      </c>
      <c r="B404" s="4">
        <f t="shared" si="6"/>
        <v>73180</v>
      </c>
      <c r="C404" t="s">
        <v>2153</v>
      </c>
      <c r="D404" t="s">
        <v>365</v>
      </c>
      <c r="E404" t="s">
        <v>878</v>
      </c>
      <c r="F404" t="s">
        <v>367</v>
      </c>
      <c r="G404" t="s">
        <v>352</v>
      </c>
      <c r="H404" s="2" t="s">
        <v>27</v>
      </c>
      <c r="I404" t="s">
        <v>379</v>
      </c>
      <c r="J404" s="2" t="s">
        <v>2154</v>
      </c>
      <c r="L404" s="2" t="s">
        <v>30</v>
      </c>
      <c r="M404" s="2" t="s">
        <v>31</v>
      </c>
      <c r="N404" s="2" t="s">
        <v>32</v>
      </c>
      <c r="O404" s="2" t="s">
        <v>1204</v>
      </c>
      <c r="P404" s="2" t="s">
        <v>34</v>
      </c>
      <c r="Q404" t="s">
        <v>2155</v>
      </c>
      <c r="R404" s="2" t="s">
        <v>206</v>
      </c>
      <c r="S404" s="2" t="s">
        <v>2156</v>
      </c>
      <c r="T404" s="2" t="s">
        <v>60</v>
      </c>
    </row>
    <row r="405" spans="1:23" x14ac:dyDescent="0.25">
      <c r="A405" t="s">
        <v>2157</v>
      </c>
      <c r="B405" s="4">
        <f t="shared" si="6"/>
        <v>73187</v>
      </c>
      <c r="C405" t="s">
        <v>2158</v>
      </c>
      <c r="D405" t="s">
        <v>149</v>
      </c>
      <c r="E405" t="s">
        <v>347</v>
      </c>
      <c r="F405">
        <v>3</v>
      </c>
      <c r="G405" t="s">
        <v>26</v>
      </c>
      <c r="H405" s="2" t="s">
        <v>27</v>
      </c>
      <c r="I405" t="s">
        <v>55</v>
      </c>
      <c r="J405" s="2" t="s">
        <v>2159</v>
      </c>
      <c r="L405" s="2" t="s">
        <v>30</v>
      </c>
      <c r="M405" s="2" t="s">
        <v>31</v>
      </c>
      <c r="N405" s="2" t="s">
        <v>32</v>
      </c>
      <c r="O405" s="2" t="s">
        <v>198</v>
      </c>
      <c r="P405" s="2" t="s">
        <v>34</v>
      </c>
      <c r="Q405" t="s">
        <v>440</v>
      </c>
      <c r="R405" s="2" t="s">
        <v>441</v>
      </c>
      <c r="T405" s="2" t="s">
        <v>60</v>
      </c>
    </row>
    <row r="406" spans="1:23" x14ac:dyDescent="0.25">
      <c r="A406" t="s">
        <v>2160</v>
      </c>
      <c r="B406" s="4">
        <f t="shared" si="6"/>
        <v>73191</v>
      </c>
      <c r="C406" t="s">
        <v>2161</v>
      </c>
      <c r="D406" t="s">
        <v>120</v>
      </c>
      <c r="E406" t="s">
        <v>219</v>
      </c>
      <c r="F406">
        <v>1</v>
      </c>
      <c r="G406" t="s">
        <v>26</v>
      </c>
      <c r="H406" s="2" t="s">
        <v>27</v>
      </c>
      <c r="I406" t="s">
        <v>368</v>
      </c>
      <c r="J406" s="2" t="s">
        <v>2162</v>
      </c>
      <c r="L406" s="2" t="s">
        <v>30</v>
      </c>
      <c r="M406" s="2" t="s">
        <v>31</v>
      </c>
      <c r="N406" s="2" t="s">
        <v>32</v>
      </c>
      <c r="O406" s="2" t="s">
        <v>130</v>
      </c>
      <c r="P406" s="2" t="s">
        <v>34</v>
      </c>
      <c r="Q406" t="s">
        <v>2163</v>
      </c>
      <c r="R406" s="2" t="s">
        <v>2164</v>
      </c>
      <c r="T406" s="2" t="s">
        <v>60</v>
      </c>
    </row>
    <row r="407" spans="1:23" x14ac:dyDescent="0.25">
      <c r="A407" t="s">
        <v>2165</v>
      </c>
      <c r="B407" s="4">
        <f t="shared" si="6"/>
        <v>73193</v>
      </c>
      <c r="C407" t="s">
        <v>2166</v>
      </c>
      <c r="D407" t="s">
        <v>120</v>
      </c>
      <c r="E407" t="s">
        <v>128</v>
      </c>
      <c r="F407">
        <v>1</v>
      </c>
      <c r="G407" t="s">
        <v>26</v>
      </c>
      <c r="H407" s="2" t="s">
        <v>27</v>
      </c>
      <c r="I407" t="s">
        <v>28</v>
      </c>
      <c r="J407" s="2" t="s">
        <v>2167</v>
      </c>
      <c r="L407" s="2" t="s">
        <v>30</v>
      </c>
      <c r="M407" s="2" t="s">
        <v>31</v>
      </c>
      <c r="N407" s="2" t="s">
        <v>32</v>
      </c>
      <c r="O407" s="2" t="s">
        <v>354</v>
      </c>
      <c r="P407" s="2" t="s">
        <v>34</v>
      </c>
      <c r="Q407" t="s">
        <v>355</v>
      </c>
      <c r="R407" s="2" t="s">
        <v>206</v>
      </c>
      <c r="S407" s="2" t="s">
        <v>356</v>
      </c>
      <c r="T407" s="2" t="s">
        <v>34</v>
      </c>
      <c r="U407" s="2" t="s">
        <v>357</v>
      </c>
      <c r="V407" s="2" t="s">
        <v>2168</v>
      </c>
      <c r="W407" t="s">
        <v>2169</v>
      </c>
    </row>
    <row r="408" spans="1:23" x14ac:dyDescent="0.25">
      <c r="A408" t="s">
        <v>2170</v>
      </c>
      <c r="B408" s="4">
        <f t="shared" si="6"/>
        <v>73195</v>
      </c>
      <c r="C408" t="s">
        <v>2171</v>
      </c>
      <c r="D408" t="s">
        <v>245</v>
      </c>
      <c r="E408" t="s">
        <v>90</v>
      </c>
      <c r="F408">
        <v>2</v>
      </c>
      <c r="G408" t="s">
        <v>352</v>
      </c>
      <c r="H408" s="2" t="s">
        <v>27</v>
      </c>
      <c r="I408" t="s">
        <v>28</v>
      </c>
      <c r="J408" s="2" t="s">
        <v>2172</v>
      </c>
      <c r="L408" s="2" t="s">
        <v>30</v>
      </c>
      <c r="M408" s="2" t="s">
        <v>31</v>
      </c>
      <c r="N408" s="2" t="s">
        <v>32</v>
      </c>
      <c r="O408" s="2" t="s">
        <v>657</v>
      </c>
      <c r="P408" s="2" t="s">
        <v>34</v>
      </c>
      <c r="Q408" t="s">
        <v>46</v>
      </c>
      <c r="R408" s="2" t="s">
        <v>47</v>
      </c>
      <c r="T408" s="2" t="s">
        <v>34</v>
      </c>
      <c r="U408" s="2" t="s">
        <v>48</v>
      </c>
      <c r="V408" s="2" t="s">
        <v>2173</v>
      </c>
      <c r="W408" t="s">
        <v>2174</v>
      </c>
    </row>
    <row r="409" spans="1:23" x14ac:dyDescent="0.25">
      <c r="A409" t="s">
        <v>2175</v>
      </c>
      <c r="B409" s="4">
        <f t="shared" si="6"/>
        <v>73196</v>
      </c>
      <c r="C409" t="s">
        <v>2176</v>
      </c>
      <c r="D409" t="s">
        <v>245</v>
      </c>
      <c r="E409" t="s">
        <v>1130</v>
      </c>
      <c r="F409">
        <v>2</v>
      </c>
      <c r="G409" t="s">
        <v>26</v>
      </c>
      <c r="H409" s="2" t="s">
        <v>27</v>
      </c>
      <c r="I409" t="s">
        <v>55</v>
      </c>
      <c r="J409" s="2" t="s">
        <v>2177</v>
      </c>
      <c r="L409" s="2" t="s">
        <v>30</v>
      </c>
      <c r="M409" s="2" t="s">
        <v>31</v>
      </c>
      <c r="N409" s="2" t="s">
        <v>32</v>
      </c>
      <c r="O409" s="2" t="s">
        <v>375</v>
      </c>
      <c r="P409" s="2" t="s">
        <v>34</v>
      </c>
      <c r="Q409" t="s">
        <v>2065</v>
      </c>
      <c r="R409" s="2" t="s">
        <v>2066</v>
      </c>
      <c r="T409" s="2" t="s">
        <v>60</v>
      </c>
    </row>
    <row r="410" spans="1:23" x14ac:dyDescent="0.25">
      <c r="A410" t="s">
        <v>2178</v>
      </c>
      <c r="B410" s="4">
        <f t="shared" si="6"/>
        <v>73198</v>
      </c>
      <c r="C410" t="s">
        <v>2179</v>
      </c>
      <c r="D410" t="s">
        <v>245</v>
      </c>
      <c r="E410" t="s">
        <v>246</v>
      </c>
      <c r="F410">
        <v>2</v>
      </c>
      <c r="G410" t="s">
        <v>352</v>
      </c>
      <c r="H410" s="2" t="s">
        <v>27</v>
      </c>
      <c r="I410" t="s">
        <v>28</v>
      </c>
      <c r="J410" s="2" t="s">
        <v>2180</v>
      </c>
      <c r="L410" s="2" t="s">
        <v>30</v>
      </c>
      <c r="M410" s="2" t="s">
        <v>31</v>
      </c>
      <c r="N410" s="2" t="s">
        <v>32</v>
      </c>
      <c r="O410" s="2" t="s">
        <v>180</v>
      </c>
      <c r="P410" s="2" t="s">
        <v>34</v>
      </c>
      <c r="Q410" t="s">
        <v>2181</v>
      </c>
      <c r="R410" s="2" t="s">
        <v>2182</v>
      </c>
      <c r="T410" s="2" t="s">
        <v>34</v>
      </c>
      <c r="U410" s="2" t="s">
        <v>2183</v>
      </c>
      <c r="V410" s="2" t="s">
        <v>2184</v>
      </c>
      <c r="W410" t="s">
        <v>2185</v>
      </c>
    </row>
    <row r="411" spans="1:23" x14ac:dyDescent="0.25">
      <c r="A411" t="s">
        <v>2186</v>
      </c>
      <c r="B411" s="4">
        <f t="shared" si="6"/>
        <v>73199</v>
      </c>
      <c r="C411" t="s">
        <v>2187</v>
      </c>
      <c r="D411" t="s">
        <v>365</v>
      </c>
      <c r="E411" t="s">
        <v>714</v>
      </c>
      <c r="F411" t="s">
        <v>367</v>
      </c>
      <c r="G411" t="s">
        <v>352</v>
      </c>
      <c r="H411" s="2" t="s">
        <v>27</v>
      </c>
      <c r="I411" t="s">
        <v>379</v>
      </c>
      <c r="J411" s="2" t="s">
        <v>2188</v>
      </c>
      <c r="L411" s="2" t="s">
        <v>30</v>
      </c>
      <c r="M411" s="2" t="s">
        <v>31</v>
      </c>
      <c r="N411" s="2" t="s">
        <v>32</v>
      </c>
      <c r="O411" s="2" t="s">
        <v>1204</v>
      </c>
      <c r="P411" s="2" t="s">
        <v>34</v>
      </c>
      <c r="Q411" t="s">
        <v>2079</v>
      </c>
      <c r="R411" s="2" t="s">
        <v>206</v>
      </c>
      <c r="S411" s="2" t="s">
        <v>2080</v>
      </c>
      <c r="T411" s="2" t="s">
        <v>60</v>
      </c>
    </row>
    <row r="412" spans="1:23" x14ac:dyDescent="0.25">
      <c r="A412" t="s">
        <v>2189</v>
      </c>
      <c r="B412" s="4">
        <f t="shared" si="6"/>
        <v>73200</v>
      </c>
      <c r="C412" t="s">
        <v>2190</v>
      </c>
      <c r="D412" t="s">
        <v>42</v>
      </c>
      <c r="E412" t="s">
        <v>273</v>
      </c>
      <c r="F412">
        <v>3</v>
      </c>
      <c r="G412" t="s">
        <v>26</v>
      </c>
      <c r="H412" s="2" t="s">
        <v>27</v>
      </c>
      <c r="I412" t="s">
        <v>28</v>
      </c>
      <c r="J412" s="2" t="s">
        <v>2191</v>
      </c>
      <c r="L412" s="2" t="s">
        <v>30</v>
      </c>
      <c r="M412" s="2" t="s">
        <v>31</v>
      </c>
      <c r="N412" s="2" t="s">
        <v>32</v>
      </c>
      <c r="O412" s="2" t="s">
        <v>275</v>
      </c>
      <c r="P412" s="2" t="s">
        <v>34</v>
      </c>
      <c r="Q412" t="s">
        <v>145</v>
      </c>
      <c r="R412" s="2" t="s">
        <v>146</v>
      </c>
      <c r="T412" s="2" t="s">
        <v>60</v>
      </c>
    </row>
    <row r="413" spans="1:23" x14ac:dyDescent="0.25">
      <c r="A413" t="s">
        <v>2192</v>
      </c>
      <c r="B413" s="4">
        <f t="shared" si="6"/>
        <v>73205</v>
      </c>
      <c r="C413" t="s">
        <v>2193</v>
      </c>
      <c r="D413" t="s">
        <v>297</v>
      </c>
      <c r="E413" t="s">
        <v>1653</v>
      </c>
      <c r="F413">
        <v>1</v>
      </c>
      <c r="G413" t="s">
        <v>26</v>
      </c>
      <c r="H413" s="2" t="s">
        <v>27</v>
      </c>
      <c r="I413" t="s">
        <v>28</v>
      </c>
      <c r="J413" s="2" t="s">
        <v>2194</v>
      </c>
      <c r="L413" s="2" t="s">
        <v>30</v>
      </c>
      <c r="M413" s="2" t="s">
        <v>31</v>
      </c>
      <c r="N413" s="2" t="s">
        <v>32</v>
      </c>
      <c r="O413" s="2" t="s">
        <v>106</v>
      </c>
      <c r="P413" s="2" t="s">
        <v>34</v>
      </c>
      <c r="Q413" t="s">
        <v>1899</v>
      </c>
      <c r="R413" s="2" t="s">
        <v>1900</v>
      </c>
      <c r="T413" s="2" t="s">
        <v>60</v>
      </c>
    </row>
    <row r="414" spans="1:23" x14ac:dyDescent="0.25">
      <c r="A414" t="s">
        <v>2195</v>
      </c>
      <c r="B414" s="4">
        <f t="shared" si="6"/>
        <v>73207</v>
      </c>
      <c r="C414" t="s">
        <v>2196</v>
      </c>
      <c r="D414" t="s">
        <v>120</v>
      </c>
      <c r="E414" t="s">
        <v>128</v>
      </c>
      <c r="F414">
        <v>1</v>
      </c>
      <c r="G414" t="s">
        <v>26</v>
      </c>
      <c r="H414" s="2" t="s">
        <v>27</v>
      </c>
      <c r="I414" t="s">
        <v>368</v>
      </c>
      <c r="J414" s="2" t="s">
        <v>2197</v>
      </c>
      <c r="L414" s="2" t="s">
        <v>30</v>
      </c>
      <c r="M414" s="2" t="s">
        <v>31</v>
      </c>
      <c r="N414" s="2" t="s">
        <v>32</v>
      </c>
      <c r="O414" s="2" t="s">
        <v>130</v>
      </c>
      <c r="P414" s="2" t="s">
        <v>34</v>
      </c>
      <c r="Q414" t="s">
        <v>2163</v>
      </c>
      <c r="R414" s="2" t="s">
        <v>2164</v>
      </c>
      <c r="T414" s="2" t="s">
        <v>60</v>
      </c>
    </row>
    <row r="415" spans="1:23" x14ac:dyDescent="0.25">
      <c r="A415" t="s">
        <v>2198</v>
      </c>
      <c r="B415" s="4">
        <f t="shared" si="6"/>
        <v>73209</v>
      </c>
      <c r="C415" t="s">
        <v>2199</v>
      </c>
      <c r="D415" t="s">
        <v>365</v>
      </c>
      <c r="E415" t="s">
        <v>1190</v>
      </c>
      <c r="F415" t="s">
        <v>187</v>
      </c>
      <c r="G415" t="s">
        <v>352</v>
      </c>
      <c r="H415" s="2" t="s">
        <v>27</v>
      </c>
      <c r="I415" t="s">
        <v>28</v>
      </c>
      <c r="J415" s="2" t="s">
        <v>2200</v>
      </c>
      <c r="L415" s="2" t="s">
        <v>30</v>
      </c>
      <c r="M415" s="2" t="s">
        <v>31</v>
      </c>
      <c r="N415" s="2" t="s">
        <v>32</v>
      </c>
      <c r="O415" s="2" t="s">
        <v>1204</v>
      </c>
      <c r="P415" s="2" t="s">
        <v>34</v>
      </c>
      <c r="Q415" t="s">
        <v>389</v>
      </c>
      <c r="R415" s="2" t="s">
        <v>206</v>
      </c>
      <c r="S415" s="2" t="s">
        <v>390</v>
      </c>
      <c r="T415" s="2" t="s">
        <v>60</v>
      </c>
    </row>
    <row r="416" spans="1:23" x14ac:dyDescent="0.25">
      <c r="A416" t="s">
        <v>2201</v>
      </c>
      <c r="B416" s="4">
        <f t="shared" si="6"/>
        <v>73210</v>
      </c>
      <c r="C416" t="s">
        <v>2202</v>
      </c>
      <c r="D416" t="s">
        <v>42</v>
      </c>
      <c r="E416" t="s">
        <v>142</v>
      </c>
      <c r="F416">
        <v>2</v>
      </c>
      <c r="G416" t="s">
        <v>352</v>
      </c>
      <c r="H416" s="2" t="s">
        <v>27</v>
      </c>
      <c r="I416" t="s">
        <v>379</v>
      </c>
      <c r="J416" s="2" t="s">
        <v>2203</v>
      </c>
      <c r="L416" s="2" t="s">
        <v>30</v>
      </c>
      <c r="M416" s="2" t="s">
        <v>31</v>
      </c>
      <c r="N416" s="2" t="s">
        <v>32</v>
      </c>
      <c r="O416" s="2" t="s">
        <v>652</v>
      </c>
      <c r="P416" s="2" t="s">
        <v>34</v>
      </c>
      <c r="Q416" t="s">
        <v>1313</v>
      </c>
      <c r="R416" s="2" t="s">
        <v>1314</v>
      </c>
      <c r="T416" s="2" t="s">
        <v>60</v>
      </c>
    </row>
    <row r="417" spans="1:23" x14ac:dyDescent="0.25">
      <c r="A417" t="s">
        <v>2204</v>
      </c>
      <c r="B417" s="4">
        <f t="shared" si="6"/>
        <v>73211</v>
      </c>
      <c r="C417" t="s">
        <v>2205</v>
      </c>
      <c r="D417" t="s">
        <v>279</v>
      </c>
      <c r="E417" t="s">
        <v>987</v>
      </c>
      <c r="F417">
        <v>1</v>
      </c>
      <c r="G417" t="s">
        <v>26</v>
      </c>
      <c r="H417" s="2" t="s">
        <v>27</v>
      </c>
      <c r="I417" t="s">
        <v>368</v>
      </c>
      <c r="J417" s="2" t="s">
        <v>2206</v>
      </c>
      <c r="L417" s="2" t="s">
        <v>30</v>
      </c>
      <c r="M417" s="2" t="s">
        <v>31</v>
      </c>
      <c r="N417" s="2" t="s">
        <v>32</v>
      </c>
      <c r="O417" s="2" t="s">
        <v>1204</v>
      </c>
      <c r="P417" s="2" t="s">
        <v>34</v>
      </c>
      <c r="Q417" t="s">
        <v>989</v>
      </c>
      <c r="R417" s="2" t="s">
        <v>990</v>
      </c>
      <c r="T417" s="2" t="s">
        <v>60</v>
      </c>
    </row>
    <row r="418" spans="1:23" x14ac:dyDescent="0.25">
      <c r="A418" t="s">
        <v>2207</v>
      </c>
      <c r="B418" s="4">
        <f t="shared" si="6"/>
        <v>73212</v>
      </c>
      <c r="C418" t="s">
        <v>2208</v>
      </c>
      <c r="D418" t="s">
        <v>42</v>
      </c>
      <c r="E418" t="s">
        <v>43</v>
      </c>
      <c r="F418">
        <v>3</v>
      </c>
      <c r="G418" t="s">
        <v>26</v>
      </c>
      <c r="H418" s="2" t="s">
        <v>27</v>
      </c>
      <c r="I418" t="s">
        <v>55</v>
      </c>
      <c r="J418" s="2" t="s">
        <v>2209</v>
      </c>
      <c r="L418" s="2" t="s">
        <v>30</v>
      </c>
      <c r="M418" s="2" t="s">
        <v>31</v>
      </c>
      <c r="N418" s="2" t="s">
        <v>32</v>
      </c>
      <c r="O418" s="2" t="s">
        <v>92</v>
      </c>
      <c r="P418" s="2" t="s">
        <v>34</v>
      </c>
      <c r="Q418" t="s">
        <v>86</v>
      </c>
      <c r="R418" s="2" t="s">
        <v>87</v>
      </c>
      <c r="T418" s="2" t="s">
        <v>60</v>
      </c>
    </row>
    <row r="419" spans="1:23" x14ac:dyDescent="0.25">
      <c r="A419" t="s">
        <v>2210</v>
      </c>
      <c r="B419" s="4">
        <f t="shared" si="6"/>
        <v>73214</v>
      </c>
      <c r="C419" t="s">
        <v>2211</v>
      </c>
      <c r="D419" t="s">
        <v>365</v>
      </c>
      <c r="E419" t="s">
        <v>714</v>
      </c>
      <c r="F419" t="s">
        <v>367</v>
      </c>
      <c r="G419" t="s">
        <v>352</v>
      </c>
      <c r="H419" s="2" t="s">
        <v>27</v>
      </c>
      <c r="I419" t="s">
        <v>379</v>
      </c>
      <c r="J419" s="2" t="s">
        <v>2212</v>
      </c>
      <c r="L419" s="2" t="s">
        <v>30</v>
      </c>
      <c r="M419" s="2" t="s">
        <v>31</v>
      </c>
      <c r="N419" s="2" t="s">
        <v>32</v>
      </c>
      <c r="O419" s="2" t="s">
        <v>1204</v>
      </c>
      <c r="P419" s="2" t="s">
        <v>34</v>
      </c>
      <c r="Q419" t="s">
        <v>2079</v>
      </c>
      <c r="R419" s="2" t="s">
        <v>206</v>
      </c>
      <c r="S419" s="2" t="s">
        <v>2080</v>
      </c>
      <c r="T419" s="2" t="s">
        <v>60</v>
      </c>
    </row>
    <row r="420" spans="1:23" x14ac:dyDescent="0.25">
      <c r="A420" t="s">
        <v>2213</v>
      </c>
      <c r="B420" s="4">
        <f t="shared" si="6"/>
        <v>73216</v>
      </c>
      <c r="C420" t="s">
        <v>2214</v>
      </c>
      <c r="D420" t="s">
        <v>279</v>
      </c>
      <c r="E420" t="s">
        <v>25</v>
      </c>
      <c r="F420">
        <v>1</v>
      </c>
      <c r="G420" t="s">
        <v>26</v>
      </c>
      <c r="H420" s="2" t="s">
        <v>27</v>
      </c>
      <c r="I420" t="s">
        <v>55</v>
      </c>
      <c r="J420" s="2" t="s">
        <v>2215</v>
      </c>
      <c r="L420" s="2" t="s">
        <v>30</v>
      </c>
      <c r="M420" s="2" t="s">
        <v>31</v>
      </c>
      <c r="N420" s="2" t="s">
        <v>32</v>
      </c>
      <c r="O420" s="2" t="s">
        <v>1204</v>
      </c>
      <c r="P420" s="2" t="s">
        <v>34</v>
      </c>
      <c r="Q420" t="s">
        <v>2216</v>
      </c>
      <c r="R420" s="2" t="s">
        <v>206</v>
      </c>
      <c r="S420" s="2" t="s">
        <v>2217</v>
      </c>
      <c r="T420" s="2" t="s">
        <v>60</v>
      </c>
    </row>
    <row r="421" spans="1:23" x14ac:dyDescent="0.25">
      <c r="A421" t="s">
        <v>2218</v>
      </c>
      <c r="B421" s="4">
        <f t="shared" si="6"/>
        <v>73219</v>
      </c>
      <c r="C421" t="s">
        <v>2219</v>
      </c>
      <c r="D421" t="s">
        <v>279</v>
      </c>
      <c r="E421" t="s">
        <v>2220</v>
      </c>
      <c r="F421">
        <v>1</v>
      </c>
      <c r="G421" t="s">
        <v>352</v>
      </c>
      <c r="H421" s="2" t="s">
        <v>27</v>
      </c>
      <c r="I421" t="s">
        <v>379</v>
      </c>
      <c r="J421" s="2" t="s">
        <v>2221</v>
      </c>
      <c r="L421" s="2" t="s">
        <v>30</v>
      </c>
      <c r="M421" s="2" t="s">
        <v>31</v>
      </c>
      <c r="N421" s="2" t="s">
        <v>32</v>
      </c>
      <c r="O421" s="2" t="s">
        <v>1204</v>
      </c>
      <c r="P421" s="2" t="s">
        <v>34</v>
      </c>
      <c r="Q421" t="s">
        <v>2222</v>
      </c>
      <c r="R421" s="2" t="s">
        <v>206</v>
      </c>
      <c r="S421" s="2" t="s">
        <v>2223</v>
      </c>
      <c r="T421" s="2" t="s">
        <v>60</v>
      </c>
    </row>
    <row r="422" spans="1:23" x14ac:dyDescent="0.25">
      <c r="A422" t="s">
        <v>2224</v>
      </c>
      <c r="B422" s="4">
        <f t="shared" si="6"/>
        <v>73223</v>
      </c>
      <c r="C422" t="s">
        <v>2225</v>
      </c>
      <c r="D422" t="s">
        <v>365</v>
      </c>
      <c r="E422" t="s">
        <v>878</v>
      </c>
      <c r="F422" t="s">
        <v>367</v>
      </c>
      <c r="G422" t="s">
        <v>26</v>
      </c>
      <c r="H422" s="2" t="s">
        <v>373</v>
      </c>
      <c r="I422" t="s">
        <v>368</v>
      </c>
      <c r="K422" s="2" t="s">
        <v>2052</v>
      </c>
      <c r="L422" s="2" t="s">
        <v>30</v>
      </c>
      <c r="M422" s="2" t="s">
        <v>31</v>
      </c>
      <c r="N422" s="2" t="s">
        <v>32</v>
      </c>
      <c r="O422" s="2" t="s">
        <v>2053</v>
      </c>
      <c r="P422" s="2" t="s">
        <v>34</v>
      </c>
      <c r="Q422" t="s">
        <v>2079</v>
      </c>
      <c r="R422" s="2" t="s">
        <v>206</v>
      </c>
      <c r="S422" s="2" t="s">
        <v>2080</v>
      </c>
      <c r="T422" s="2" t="s">
        <v>60</v>
      </c>
    </row>
    <row r="423" spans="1:23" x14ac:dyDescent="0.25">
      <c r="A423" t="s">
        <v>2226</v>
      </c>
      <c r="B423" s="4">
        <f t="shared" si="6"/>
        <v>73225</v>
      </c>
      <c r="C423" t="s">
        <v>2227</v>
      </c>
      <c r="D423" t="s">
        <v>24</v>
      </c>
      <c r="E423" t="s">
        <v>171</v>
      </c>
      <c r="F423">
        <v>2</v>
      </c>
      <c r="G423" t="s">
        <v>26</v>
      </c>
      <c r="H423" s="2" t="s">
        <v>27</v>
      </c>
      <c r="I423" t="s">
        <v>55</v>
      </c>
      <c r="J423" s="2" t="s">
        <v>2228</v>
      </c>
      <c r="L423" s="2" t="s">
        <v>30</v>
      </c>
      <c r="M423" s="2" t="s">
        <v>31</v>
      </c>
      <c r="N423" s="2" t="s">
        <v>32</v>
      </c>
      <c r="O423" s="2" t="s">
        <v>173</v>
      </c>
      <c r="P423" s="2" t="s">
        <v>34</v>
      </c>
      <c r="Q423" t="s">
        <v>174</v>
      </c>
      <c r="R423" s="2" t="s">
        <v>175</v>
      </c>
      <c r="T423" s="2" t="s">
        <v>60</v>
      </c>
    </row>
    <row r="424" spans="1:23" x14ac:dyDescent="0.25">
      <c r="A424" t="s">
        <v>2229</v>
      </c>
      <c r="B424" s="4">
        <f t="shared" si="6"/>
        <v>73226</v>
      </c>
      <c r="C424" t="s">
        <v>2230</v>
      </c>
      <c r="D424" t="s">
        <v>320</v>
      </c>
      <c r="E424" t="s">
        <v>67</v>
      </c>
      <c r="F424">
        <v>1</v>
      </c>
      <c r="G424" t="s">
        <v>26</v>
      </c>
      <c r="H424" s="2" t="s">
        <v>27</v>
      </c>
      <c r="I424" t="s">
        <v>368</v>
      </c>
      <c r="J424" s="2" t="s">
        <v>2231</v>
      </c>
      <c r="L424" s="2" t="s">
        <v>30</v>
      </c>
      <c r="M424" s="2" t="s">
        <v>31</v>
      </c>
      <c r="N424" s="2" t="s">
        <v>32</v>
      </c>
      <c r="O424" s="2" t="s">
        <v>2232</v>
      </c>
      <c r="P424" s="2" t="s">
        <v>34</v>
      </c>
      <c r="Q424" t="s">
        <v>2233</v>
      </c>
      <c r="R424" s="2" t="s">
        <v>2234</v>
      </c>
      <c r="T424" s="2" t="s">
        <v>60</v>
      </c>
    </row>
    <row r="425" spans="1:23" x14ac:dyDescent="0.25">
      <c r="A425" t="s">
        <v>2235</v>
      </c>
      <c r="B425" s="4">
        <f t="shared" si="6"/>
        <v>73232</v>
      </c>
      <c r="C425" t="s">
        <v>2236</v>
      </c>
      <c r="D425" t="s">
        <v>365</v>
      </c>
      <c r="E425" t="s">
        <v>1396</v>
      </c>
      <c r="F425" t="s">
        <v>367</v>
      </c>
      <c r="G425" t="s">
        <v>352</v>
      </c>
      <c r="H425" s="2" t="s">
        <v>373</v>
      </c>
      <c r="I425" t="s">
        <v>379</v>
      </c>
      <c r="K425" s="2" t="s">
        <v>2237</v>
      </c>
      <c r="L425" s="2" t="s">
        <v>30</v>
      </c>
      <c r="M425" s="2" t="s">
        <v>31</v>
      </c>
      <c r="N425" s="2" t="s">
        <v>32</v>
      </c>
      <c r="O425" s="2" t="s">
        <v>2238</v>
      </c>
      <c r="P425" s="2" t="s">
        <v>34</v>
      </c>
      <c r="Q425" t="s">
        <v>2079</v>
      </c>
      <c r="R425" s="2" t="s">
        <v>206</v>
      </c>
      <c r="S425" s="2" t="s">
        <v>2080</v>
      </c>
      <c r="T425" s="2" t="s">
        <v>60</v>
      </c>
    </row>
    <row r="426" spans="1:23" x14ac:dyDescent="0.25">
      <c r="A426" t="s">
        <v>2239</v>
      </c>
      <c r="B426" s="4">
        <f t="shared" si="6"/>
        <v>73233</v>
      </c>
      <c r="C426" t="s">
        <v>2240</v>
      </c>
      <c r="D426" t="s">
        <v>24</v>
      </c>
      <c r="E426" t="s">
        <v>655</v>
      </c>
      <c r="F426">
        <v>2</v>
      </c>
      <c r="G426" t="s">
        <v>26</v>
      </c>
      <c r="H426" s="2" t="s">
        <v>27</v>
      </c>
      <c r="I426" t="s">
        <v>368</v>
      </c>
      <c r="J426" s="2" t="s">
        <v>2241</v>
      </c>
      <c r="L426" s="2" t="s">
        <v>30</v>
      </c>
      <c r="M426" s="2" t="s">
        <v>31</v>
      </c>
      <c r="N426" s="2" t="s">
        <v>32</v>
      </c>
      <c r="O426" s="2" t="s">
        <v>657</v>
      </c>
      <c r="P426" s="2" t="s">
        <v>34</v>
      </c>
      <c r="Q426" t="s">
        <v>2242</v>
      </c>
      <c r="R426" s="2" t="s">
        <v>2243</v>
      </c>
      <c r="T426" s="2" t="s">
        <v>60</v>
      </c>
    </row>
    <row r="427" spans="1:23" x14ac:dyDescent="0.25">
      <c r="A427" t="s">
        <v>2244</v>
      </c>
      <c r="B427" s="4">
        <f t="shared" si="6"/>
        <v>73235</v>
      </c>
      <c r="C427" t="s">
        <v>2245</v>
      </c>
      <c r="D427" t="s">
        <v>185</v>
      </c>
      <c r="E427" t="s">
        <v>1717</v>
      </c>
      <c r="F427" t="s">
        <v>543</v>
      </c>
      <c r="G427" t="s">
        <v>26</v>
      </c>
      <c r="H427" s="2" t="s">
        <v>27</v>
      </c>
      <c r="I427" t="s">
        <v>55</v>
      </c>
      <c r="J427" s="2" t="s">
        <v>2246</v>
      </c>
      <c r="L427" s="2" t="s">
        <v>30</v>
      </c>
      <c r="M427" s="2" t="s">
        <v>31</v>
      </c>
      <c r="N427" s="2" t="s">
        <v>32</v>
      </c>
      <c r="O427" s="2" t="s">
        <v>1204</v>
      </c>
      <c r="P427" s="2" t="s">
        <v>34</v>
      </c>
      <c r="Q427" t="s">
        <v>2247</v>
      </c>
      <c r="R427" s="2" t="s">
        <v>2248</v>
      </c>
      <c r="T427" s="2" t="s">
        <v>60</v>
      </c>
    </row>
    <row r="428" spans="1:23" x14ac:dyDescent="0.25">
      <c r="A428" t="s">
        <v>2249</v>
      </c>
      <c r="B428" s="4">
        <f t="shared" si="6"/>
        <v>73236</v>
      </c>
      <c r="C428" t="s">
        <v>2250</v>
      </c>
      <c r="D428" t="s">
        <v>365</v>
      </c>
      <c r="E428" t="s">
        <v>1387</v>
      </c>
      <c r="F428" t="s">
        <v>367</v>
      </c>
      <c r="G428" t="s">
        <v>352</v>
      </c>
      <c r="H428" s="2" t="s">
        <v>27</v>
      </c>
      <c r="I428" t="s">
        <v>2251</v>
      </c>
      <c r="J428" s="2" t="s">
        <v>2252</v>
      </c>
      <c r="L428" s="2" t="s">
        <v>30</v>
      </c>
      <c r="M428" s="2" t="s">
        <v>31</v>
      </c>
      <c r="N428" s="2" t="s">
        <v>32</v>
      </c>
      <c r="O428" s="2" t="s">
        <v>1204</v>
      </c>
      <c r="P428" s="2" t="s">
        <v>34</v>
      </c>
      <c r="Q428" t="s">
        <v>2079</v>
      </c>
      <c r="R428" s="2" t="s">
        <v>206</v>
      </c>
      <c r="S428" s="2" t="s">
        <v>2080</v>
      </c>
      <c r="T428" s="2" t="s">
        <v>60</v>
      </c>
    </row>
    <row r="429" spans="1:23" x14ac:dyDescent="0.25">
      <c r="A429" t="s">
        <v>2253</v>
      </c>
      <c r="B429" s="4">
        <f t="shared" si="6"/>
        <v>73238</v>
      </c>
      <c r="C429" t="s">
        <v>2254</v>
      </c>
      <c r="D429" t="s">
        <v>279</v>
      </c>
      <c r="E429" t="s">
        <v>557</v>
      </c>
      <c r="F429" t="s">
        <v>543</v>
      </c>
      <c r="G429" t="s">
        <v>26</v>
      </c>
      <c r="H429" s="2" t="s">
        <v>27</v>
      </c>
      <c r="I429" t="s">
        <v>28</v>
      </c>
      <c r="J429" s="2" t="s">
        <v>2255</v>
      </c>
      <c r="L429" s="2" t="s">
        <v>30</v>
      </c>
      <c r="M429" s="2" t="s">
        <v>31</v>
      </c>
      <c r="N429" s="2" t="s">
        <v>32</v>
      </c>
      <c r="O429" s="2" t="s">
        <v>1204</v>
      </c>
      <c r="P429" s="2" t="s">
        <v>34</v>
      </c>
      <c r="Q429" t="s">
        <v>307</v>
      </c>
      <c r="R429" s="2" t="s">
        <v>308</v>
      </c>
      <c r="T429" s="2" t="s">
        <v>34</v>
      </c>
      <c r="U429" s="2" t="s">
        <v>309</v>
      </c>
      <c r="V429" s="2" t="s">
        <v>2256</v>
      </c>
      <c r="W429" t="s">
        <v>2257</v>
      </c>
    </row>
    <row r="430" spans="1:23" x14ac:dyDescent="0.25">
      <c r="A430" t="s">
        <v>2258</v>
      </c>
      <c r="B430" s="4">
        <f t="shared" si="6"/>
        <v>73239</v>
      </c>
      <c r="C430" t="s">
        <v>2259</v>
      </c>
      <c r="D430" t="s">
        <v>42</v>
      </c>
      <c r="E430" t="s">
        <v>502</v>
      </c>
      <c r="F430">
        <v>3</v>
      </c>
      <c r="G430" t="s">
        <v>26</v>
      </c>
      <c r="H430" s="2" t="s">
        <v>27</v>
      </c>
      <c r="I430" t="s">
        <v>368</v>
      </c>
      <c r="J430" s="2" t="s">
        <v>2260</v>
      </c>
      <c r="L430" s="2" t="s">
        <v>30</v>
      </c>
      <c r="M430" s="2" t="s">
        <v>31</v>
      </c>
      <c r="N430" s="2" t="s">
        <v>32</v>
      </c>
      <c r="O430" s="2" t="s">
        <v>2261</v>
      </c>
      <c r="P430" s="2" t="s">
        <v>34</v>
      </c>
      <c r="Q430" t="s">
        <v>2262</v>
      </c>
      <c r="R430" s="2" t="s">
        <v>206</v>
      </c>
      <c r="S430" s="2" t="s">
        <v>2263</v>
      </c>
      <c r="T430" s="2" t="s">
        <v>60</v>
      </c>
    </row>
    <row r="431" spans="1:23" x14ac:dyDescent="0.25">
      <c r="A431" t="s">
        <v>2264</v>
      </c>
      <c r="B431" s="4">
        <f t="shared" si="6"/>
        <v>73241</v>
      </c>
      <c r="C431" t="s">
        <v>2265</v>
      </c>
      <c r="D431" t="s">
        <v>365</v>
      </c>
      <c r="E431" t="s">
        <v>1190</v>
      </c>
      <c r="F431" t="s">
        <v>187</v>
      </c>
      <c r="G431" t="s">
        <v>352</v>
      </c>
      <c r="H431" s="2" t="s">
        <v>27</v>
      </c>
      <c r="I431" t="s">
        <v>379</v>
      </c>
      <c r="J431" s="2" t="s">
        <v>2266</v>
      </c>
      <c r="L431" s="2" t="s">
        <v>30</v>
      </c>
      <c r="M431" s="2" t="s">
        <v>31</v>
      </c>
      <c r="N431" s="2" t="s">
        <v>32</v>
      </c>
      <c r="O431" s="2" t="s">
        <v>1204</v>
      </c>
      <c r="P431" s="2" t="s">
        <v>34</v>
      </c>
      <c r="Q431" t="s">
        <v>2267</v>
      </c>
      <c r="R431" s="2" t="s">
        <v>206</v>
      </c>
      <c r="S431" s="2" t="s">
        <v>2268</v>
      </c>
      <c r="T431" s="2" t="s">
        <v>60</v>
      </c>
    </row>
    <row r="432" spans="1:23" x14ac:dyDescent="0.25">
      <c r="A432" t="s">
        <v>2269</v>
      </c>
      <c r="B432" s="4">
        <f t="shared" si="6"/>
        <v>73242</v>
      </c>
      <c r="C432" t="s">
        <v>2270</v>
      </c>
      <c r="D432" t="s">
        <v>365</v>
      </c>
      <c r="E432" t="s">
        <v>726</v>
      </c>
      <c r="F432" t="s">
        <v>367</v>
      </c>
      <c r="G432" t="s">
        <v>352</v>
      </c>
      <c r="H432" s="2" t="s">
        <v>27</v>
      </c>
      <c r="I432" t="s">
        <v>379</v>
      </c>
      <c r="J432" s="2" t="s">
        <v>2271</v>
      </c>
      <c r="L432" s="2" t="s">
        <v>30</v>
      </c>
      <c r="M432" s="2" t="s">
        <v>31</v>
      </c>
      <c r="N432" s="2" t="s">
        <v>32</v>
      </c>
      <c r="O432" s="2" t="s">
        <v>1204</v>
      </c>
      <c r="P432" s="2" t="s">
        <v>34</v>
      </c>
      <c r="Q432" t="s">
        <v>2134</v>
      </c>
      <c r="R432" s="2" t="s">
        <v>2135</v>
      </c>
      <c r="T432" s="2" t="s">
        <v>60</v>
      </c>
    </row>
    <row r="433" spans="1:23" x14ac:dyDescent="0.25">
      <c r="A433" t="s">
        <v>2272</v>
      </c>
      <c r="B433" s="4">
        <f t="shared" si="6"/>
        <v>73244</v>
      </c>
      <c r="C433" t="s">
        <v>2273</v>
      </c>
      <c r="D433" t="s">
        <v>365</v>
      </c>
      <c r="E433" t="s">
        <v>1157</v>
      </c>
      <c r="F433" t="s">
        <v>367</v>
      </c>
      <c r="G433" t="s">
        <v>352</v>
      </c>
      <c r="H433" s="2" t="s">
        <v>373</v>
      </c>
      <c r="I433" t="s">
        <v>379</v>
      </c>
      <c r="K433" s="2" t="s">
        <v>2274</v>
      </c>
      <c r="L433" s="2" t="s">
        <v>30</v>
      </c>
      <c r="M433" s="2" t="s">
        <v>31</v>
      </c>
      <c r="N433" s="2" t="s">
        <v>32</v>
      </c>
      <c r="O433" s="2" t="s">
        <v>2275</v>
      </c>
      <c r="P433" s="2" t="s">
        <v>34</v>
      </c>
      <c r="Q433" t="s">
        <v>880</v>
      </c>
      <c r="R433" s="2" t="s">
        <v>881</v>
      </c>
      <c r="T433" s="2" t="s">
        <v>60</v>
      </c>
    </row>
    <row r="434" spans="1:23" x14ac:dyDescent="0.25">
      <c r="A434" t="s">
        <v>2276</v>
      </c>
      <c r="B434" s="4">
        <f t="shared" si="6"/>
        <v>73247</v>
      </c>
      <c r="C434" t="s">
        <v>2277</v>
      </c>
      <c r="D434" t="s">
        <v>245</v>
      </c>
      <c r="E434" t="s">
        <v>484</v>
      </c>
      <c r="F434">
        <v>2</v>
      </c>
      <c r="G434" t="s">
        <v>26</v>
      </c>
      <c r="H434" s="2" t="s">
        <v>27</v>
      </c>
      <c r="I434" t="s">
        <v>55</v>
      </c>
      <c r="J434" s="2" t="s">
        <v>2278</v>
      </c>
      <c r="L434" s="2" t="s">
        <v>30</v>
      </c>
      <c r="M434" s="2" t="s">
        <v>31</v>
      </c>
      <c r="N434" s="2" t="s">
        <v>32</v>
      </c>
      <c r="O434" s="2" t="s">
        <v>180</v>
      </c>
      <c r="P434" s="2" t="s">
        <v>34</v>
      </c>
      <c r="Q434" t="s">
        <v>486</v>
      </c>
      <c r="R434" s="2" t="s">
        <v>487</v>
      </c>
      <c r="T434" s="2" t="s">
        <v>60</v>
      </c>
    </row>
    <row r="435" spans="1:23" x14ac:dyDescent="0.25">
      <c r="A435" t="s">
        <v>2279</v>
      </c>
      <c r="B435" s="4">
        <f t="shared" si="6"/>
        <v>73249</v>
      </c>
      <c r="C435" t="s">
        <v>2280</v>
      </c>
      <c r="D435" t="s">
        <v>365</v>
      </c>
      <c r="E435" t="s">
        <v>90</v>
      </c>
      <c r="F435" t="s">
        <v>367</v>
      </c>
      <c r="G435" t="s">
        <v>26</v>
      </c>
      <c r="H435" s="2" t="s">
        <v>27</v>
      </c>
      <c r="I435" t="s">
        <v>368</v>
      </c>
      <c r="J435" s="2" t="s">
        <v>2281</v>
      </c>
      <c r="L435" s="2" t="s">
        <v>30</v>
      </c>
      <c r="M435" s="2" t="s">
        <v>31</v>
      </c>
      <c r="N435" s="2" t="s">
        <v>32</v>
      </c>
      <c r="O435" s="2" t="s">
        <v>1204</v>
      </c>
      <c r="P435" s="2" t="s">
        <v>34</v>
      </c>
      <c r="Q435" t="s">
        <v>1455</v>
      </c>
      <c r="R435" s="2" t="s">
        <v>1456</v>
      </c>
      <c r="T435" s="2" t="s">
        <v>60</v>
      </c>
    </row>
    <row r="436" spans="1:23" x14ac:dyDescent="0.25">
      <c r="A436" t="s">
        <v>2282</v>
      </c>
      <c r="B436" s="4">
        <f t="shared" si="6"/>
        <v>73251</v>
      </c>
      <c r="C436" t="s">
        <v>2283</v>
      </c>
      <c r="D436" t="s">
        <v>279</v>
      </c>
      <c r="E436" t="s">
        <v>405</v>
      </c>
      <c r="F436" t="s">
        <v>543</v>
      </c>
      <c r="G436" t="s">
        <v>26</v>
      </c>
      <c r="H436" s="2" t="s">
        <v>27</v>
      </c>
      <c r="I436" t="s">
        <v>368</v>
      </c>
      <c r="J436" s="2" t="s">
        <v>2284</v>
      </c>
      <c r="L436" s="2" t="s">
        <v>30</v>
      </c>
      <c r="M436" s="2" t="s">
        <v>31</v>
      </c>
      <c r="N436" s="2" t="s">
        <v>32</v>
      </c>
      <c r="O436" s="2" t="s">
        <v>1204</v>
      </c>
      <c r="P436" s="2" t="s">
        <v>34</v>
      </c>
      <c r="Q436" t="s">
        <v>2285</v>
      </c>
      <c r="R436" s="2" t="s">
        <v>2286</v>
      </c>
      <c r="T436" s="2" t="s">
        <v>60</v>
      </c>
    </row>
    <row r="437" spans="1:23" x14ac:dyDescent="0.25">
      <c r="A437" t="s">
        <v>2287</v>
      </c>
      <c r="B437" s="4">
        <f t="shared" si="6"/>
        <v>73252</v>
      </c>
      <c r="C437" t="s">
        <v>2288</v>
      </c>
      <c r="D437" t="s">
        <v>279</v>
      </c>
      <c r="E437" t="s">
        <v>557</v>
      </c>
      <c r="F437" t="s">
        <v>543</v>
      </c>
      <c r="G437" t="s">
        <v>26</v>
      </c>
      <c r="H437" s="2" t="s">
        <v>27</v>
      </c>
      <c r="I437" t="s">
        <v>368</v>
      </c>
      <c r="J437" s="2" t="s">
        <v>2289</v>
      </c>
      <c r="L437" s="2" t="s">
        <v>30</v>
      </c>
      <c r="M437" s="2" t="s">
        <v>31</v>
      </c>
      <c r="N437" s="2" t="s">
        <v>32</v>
      </c>
      <c r="O437" s="2" t="s">
        <v>189</v>
      </c>
      <c r="P437" s="2" t="s">
        <v>34</v>
      </c>
      <c r="Q437" t="s">
        <v>2285</v>
      </c>
      <c r="R437" s="2" t="s">
        <v>2286</v>
      </c>
      <c r="T437" s="2" t="s">
        <v>60</v>
      </c>
    </row>
    <row r="438" spans="1:23" x14ac:dyDescent="0.25">
      <c r="A438" t="s">
        <v>2290</v>
      </c>
      <c r="B438" s="4">
        <f t="shared" si="6"/>
        <v>73253</v>
      </c>
      <c r="C438" t="s">
        <v>2291</v>
      </c>
      <c r="D438" t="s">
        <v>365</v>
      </c>
      <c r="E438" t="s">
        <v>1069</v>
      </c>
      <c r="F438" t="s">
        <v>187</v>
      </c>
      <c r="G438" t="s">
        <v>352</v>
      </c>
      <c r="H438" s="2" t="s">
        <v>27</v>
      </c>
      <c r="I438" t="s">
        <v>379</v>
      </c>
      <c r="J438" s="2" t="s">
        <v>2292</v>
      </c>
      <c r="L438" s="2" t="s">
        <v>30</v>
      </c>
      <c r="M438" s="2" t="s">
        <v>31</v>
      </c>
      <c r="N438" s="2" t="s">
        <v>32</v>
      </c>
      <c r="O438" s="2" t="s">
        <v>1204</v>
      </c>
      <c r="P438" s="2" t="s">
        <v>34</v>
      </c>
      <c r="Q438" t="s">
        <v>2293</v>
      </c>
      <c r="R438" s="2" t="s">
        <v>2294</v>
      </c>
      <c r="T438" s="2" t="s">
        <v>60</v>
      </c>
    </row>
    <row r="439" spans="1:23" x14ac:dyDescent="0.25">
      <c r="A439" t="s">
        <v>2295</v>
      </c>
      <c r="B439" s="4">
        <f t="shared" si="6"/>
        <v>73255</v>
      </c>
      <c r="C439" t="s">
        <v>2296</v>
      </c>
      <c r="D439" t="s">
        <v>185</v>
      </c>
      <c r="E439" t="s">
        <v>1811</v>
      </c>
      <c r="F439" t="s">
        <v>543</v>
      </c>
      <c r="G439" t="s">
        <v>26</v>
      </c>
      <c r="H439" s="2" t="s">
        <v>373</v>
      </c>
      <c r="I439" t="s">
        <v>28</v>
      </c>
      <c r="K439" s="2" t="s">
        <v>2297</v>
      </c>
      <c r="L439" s="2" t="s">
        <v>30</v>
      </c>
      <c r="M439" s="2" t="s">
        <v>31</v>
      </c>
      <c r="N439" s="2" t="s">
        <v>32</v>
      </c>
      <c r="O439" s="2" t="s">
        <v>1401</v>
      </c>
      <c r="P439" s="2" t="s">
        <v>34</v>
      </c>
      <c r="Q439" t="s">
        <v>2298</v>
      </c>
      <c r="R439" s="2" t="s">
        <v>206</v>
      </c>
      <c r="S439" s="2" t="s">
        <v>2299</v>
      </c>
      <c r="T439" s="2" t="s">
        <v>60</v>
      </c>
    </row>
    <row r="440" spans="1:23" x14ac:dyDescent="0.25">
      <c r="A440" t="s">
        <v>2300</v>
      </c>
      <c r="B440" s="4">
        <f t="shared" si="6"/>
        <v>73256</v>
      </c>
      <c r="C440" t="s">
        <v>2301</v>
      </c>
      <c r="D440" t="s">
        <v>279</v>
      </c>
      <c r="E440" t="s">
        <v>2220</v>
      </c>
      <c r="F440">
        <v>1</v>
      </c>
      <c r="G440" t="s">
        <v>352</v>
      </c>
      <c r="H440" s="2" t="s">
        <v>27</v>
      </c>
      <c r="I440" t="s">
        <v>379</v>
      </c>
      <c r="J440" s="2" t="s">
        <v>2260</v>
      </c>
      <c r="L440" s="2" t="s">
        <v>30</v>
      </c>
      <c r="M440" s="2" t="s">
        <v>31</v>
      </c>
      <c r="N440" s="2" t="s">
        <v>32</v>
      </c>
      <c r="O440" s="2" t="s">
        <v>2302</v>
      </c>
      <c r="P440" s="2" t="s">
        <v>34</v>
      </c>
      <c r="Q440" t="s">
        <v>2222</v>
      </c>
      <c r="R440" s="2" t="s">
        <v>206</v>
      </c>
      <c r="S440" s="2" t="s">
        <v>2223</v>
      </c>
      <c r="T440" s="2" t="s">
        <v>60</v>
      </c>
    </row>
    <row r="441" spans="1:23" x14ac:dyDescent="0.25">
      <c r="A441" t="s">
        <v>2303</v>
      </c>
      <c r="B441" s="4">
        <f t="shared" si="6"/>
        <v>73257</v>
      </c>
      <c r="C441" t="s">
        <v>2304</v>
      </c>
      <c r="D441" t="s">
        <v>24</v>
      </c>
      <c r="E441" t="s">
        <v>2305</v>
      </c>
      <c r="F441">
        <v>2</v>
      </c>
      <c r="G441" t="s">
        <v>26</v>
      </c>
      <c r="H441" s="2" t="s">
        <v>27</v>
      </c>
      <c r="I441" t="s">
        <v>55</v>
      </c>
      <c r="J441" s="2" t="s">
        <v>2306</v>
      </c>
      <c r="L441" s="2" t="s">
        <v>30</v>
      </c>
      <c r="M441" s="2" t="s">
        <v>31</v>
      </c>
      <c r="N441" s="2" t="s">
        <v>32</v>
      </c>
      <c r="O441" s="2" t="s">
        <v>2307</v>
      </c>
      <c r="P441" s="2" t="s">
        <v>34</v>
      </c>
      <c r="Q441" t="s">
        <v>2304</v>
      </c>
      <c r="R441" s="2" t="s">
        <v>206</v>
      </c>
      <c r="S441" s="2" t="s">
        <v>2308</v>
      </c>
      <c r="T441" s="2" t="s">
        <v>60</v>
      </c>
    </row>
    <row r="442" spans="1:23" x14ac:dyDescent="0.25">
      <c r="A442" t="s">
        <v>2309</v>
      </c>
      <c r="B442" s="4">
        <f t="shared" si="6"/>
        <v>73263</v>
      </c>
      <c r="C442" t="s">
        <v>2310</v>
      </c>
      <c r="D442" t="s">
        <v>53</v>
      </c>
      <c r="E442" t="s">
        <v>1150</v>
      </c>
      <c r="F442">
        <v>2</v>
      </c>
      <c r="G442" t="s">
        <v>352</v>
      </c>
      <c r="H442" s="2" t="s">
        <v>27</v>
      </c>
      <c r="I442" t="s">
        <v>2251</v>
      </c>
      <c r="J442" s="2" t="s">
        <v>2311</v>
      </c>
      <c r="L442" s="2" t="s">
        <v>30</v>
      </c>
      <c r="M442" s="2" t="s">
        <v>31</v>
      </c>
      <c r="N442" s="2" t="s">
        <v>32</v>
      </c>
      <c r="O442" s="2" t="s">
        <v>2312</v>
      </c>
      <c r="P442" s="2" t="s">
        <v>34</v>
      </c>
      <c r="Q442" t="s">
        <v>2313</v>
      </c>
      <c r="R442" s="2" t="s">
        <v>2314</v>
      </c>
      <c r="T442" s="2" t="s">
        <v>34</v>
      </c>
      <c r="U442" s="2" t="s">
        <v>2315</v>
      </c>
      <c r="V442" s="2" t="s">
        <v>2316</v>
      </c>
      <c r="W442" t="s">
        <v>2317</v>
      </c>
    </row>
    <row r="443" spans="1:23" x14ac:dyDescent="0.25">
      <c r="A443" t="s">
        <v>2318</v>
      </c>
      <c r="B443" s="4">
        <f t="shared" si="6"/>
        <v>73269</v>
      </c>
      <c r="C443" t="s">
        <v>2319</v>
      </c>
      <c r="D443" t="s">
        <v>24</v>
      </c>
      <c r="E443" t="s">
        <v>90</v>
      </c>
      <c r="F443">
        <v>2</v>
      </c>
      <c r="G443" t="s">
        <v>26</v>
      </c>
      <c r="H443" s="2" t="s">
        <v>27</v>
      </c>
      <c r="I443" t="s">
        <v>55</v>
      </c>
      <c r="J443" s="2" t="s">
        <v>2320</v>
      </c>
      <c r="L443" s="2" t="s">
        <v>30</v>
      </c>
      <c r="M443" s="2" t="s">
        <v>31</v>
      </c>
      <c r="N443" s="2" t="s">
        <v>32</v>
      </c>
      <c r="O443" s="2" t="s">
        <v>657</v>
      </c>
      <c r="P443" s="2" t="s">
        <v>34</v>
      </c>
      <c r="Q443" t="s">
        <v>1838</v>
      </c>
      <c r="R443" s="2" t="s">
        <v>206</v>
      </c>
      <c r="S443" s="2" t="s">
        <v>1839</v>
      </c>
      <c r="T443" s="2" t="s">
        <v>60</v>
      </c>
    </row>
    <row r="444" spans="1:23" x14ac:dyDescent="0.25">
      <c r="A444" t="s">
        <v>2321</v>
      </c>
      <c r="B444" s="4">
        <f t="shared" si="6"/>
        <v>73270</v>
      </c>
      <c r="C444" t="s">
        <v>2322</v>
      </c>
      <c r="D444" t="s">
        <v>24</v>
      </c>
      <c r="E444" t="s">
        <v>90</v>
      </c>
      <c r="F444">
        <v>2</v>
      </c>
      <c r="G444" t="s">
        <v>26</v>
      </c>
      <c r="H444" s="2" t="s">
        <v>27</v>
      </c>
      <c r="I444" t="s">
        <v>368</v>
      </c>
      <c r="J444" s="2" t="s">
        <v>2320</v>
      </c>
      <c r="L444" s="2" t="s">
        <v>30</v>
      </c>
      <c r="M444" s="2" t="s">
        <v>31</v>
      </c>
      <c r="N444" s="2" t="s">
        <v>32</v>
      </c>
      <c r="O444" s="2" t="s">
        <v>2323</v>
      </c>
      <c r="P444" s="2" t="s">
        <v>34</v>
      </c>
      <c r="Q444" t="s">
        <v>2324</v>
      </c>
      <c r="R444" s="2" t="s">
        <v>2325</v>
      </c>
      <c r="T444" s="2" t="s">
        <v>60</v>
      </c>
    </row>
    <row r="445" spans="1:23" x14ac:dyDescent="0.25">
      <c r="A445" t="s">
        <v>2326</v>
      </c>
      <c r="B445" s="4">
        <f t="shared" si="6"/>
        <v>73275</v>
      </c>
      <c r="C445" t="s">
        <v>2327</v>
      </c>
      <c r="D445" t="s">
        <v>365</v>
      </c>
      <c r="E445" t="s">
        <v>1069</v>
      </c>
      <c r="F445" t="s">
        <v>187</v>
      </c>
      <c r="G445" t="s">
        <v>352</v>
      </c>
      <c r="H445" s="2" t="s">
        <v>27</v>
      </c>
      <c r="I445" t="s">
        <v>379</v>
      </c>
      <c r="J445" s="2" t="s">
        <v>2215</v>
      </c>
      <c r="L445" s="2" t="s">
        <v>30</v>
      </c>
      <c r="M445" s="2" t="s">
        <v>31</v>
      </c>
      <c r="N445" s="2" t="s">
        <v>32</v>
      </c>
      <c r="O445" s="2" t="s">
        <v>1204</v>
      </c>
      <c r="P445" s="2" t="s">
        <v>34</v>
      </c>
      <c r="Q445" t="s">
        <v>2328</v>
      </c>
      <c r="R445" s="2" t="s">
        <v>206</v>
      </c>
      <c r="S445" s="2" t="s">
        <v>2329</v>
      </c>
      <c r="T445" s="2" t="s">
        <v>60</v>
      </c>
    </row>
    <row r="446" spans="1:23" x14ac:dyDescent="0.25">
      <c r="A446" t="s">
        <v>2330</v>
      </c>
      <c r="B446" s="4">
        <f t="shared" si="6"/>
        <v>73276</v>
      </c>
      <c r="C446" t="s">
        <v>2331</v>
      </c>
      <c r="D446" t="s">
        <v>365</v>
      </c>
      <c r="E446" t="s">
        <v>1396</v>
      </c>
      <c r="F446" t="s">
        <v>367</v>
      </c>
      <c r="G446" t="s">
        <v>352</v>
      </c>
      <c r="H446" s="2" t="s">
        <v>27</v>
      </c>
      <c r="I446" t="s">
        <v>379</v>
      </c>
      <c r="J446" s="2" t="s">
        <v>2332</v>
      </c>
      <c r="L446" s="2" t="s">
        <v>30</v>
      </c>
      <c r="M446" s="2" t="s">
        <v>31</v>
      </c>
      <c r="N446" s="2" t="s">
        <v>32</v>
      </c>
      <c r="O446" s="2" t="s">
        <v>1204</v>
      </c>
      <c r="P446" s="2" t="s">
        <v>34</v>
      </c>
      <c r="Q446" t="s">
        <v>2333</v>
      </c>
      <c r="R446" s="2" t="s">
        <v>2334</v>
      </c>
      <c r="T446" s="2" t="s">
        <v>60</v>
      </c>
    </row>
    <row r="447" spans="1:23" x14ac:dyDescent="0.25">
      <c r="A447" t="s">
        <v>2335</v>
      </c>
      <c r="B447" s="4">
        <f t="shared" si="6"/>
        <v>73277</v>
      </c>
      <c r="C447" t="s">
        <v>2336</v>
      </c>
      <c r="D447" t="s">
        <v>365</v>
      </c>
      <c r="E447" t="s">
        <v>1387</v>
      </c>
      <c r="F447" t="s">
        <v>367</v>
      </c>
      <c r="G447" t="s">
        <v>352</v>
      </c>
      <c r="H447" s="2" t="s">
        <v>373</v>
      </c>
      <c r="I447" t="s">
        <v>379</v>
      </c>
      <c r="K447" s="2" t="s">
        <v>2337</v>
      </c>
      <c r="L447" s="2" t="s">
        <v>30</v>
      </c>
      <c r="M447" s="2" t="s">
        <v>31</v>
      </c>
      <c r="N447" s="2" t="s">
        <v>32</v>
      </c>
      <c r="O447" s="2" t="s">
        <v>2338</v>
      </c>
      <c r="P447" s="2" t="s">
        <v>34</v>
      </c>
      <c r="Q447" t="s">
        <v>2333</v>
      </c>
      <c r="R447" s="2" t="s">
        <v>2334</v>
      </c>
      <c r="T447" s="2" t="s">
        <v>60</v>
      </c>
    </row>
    <row r="448" spans="1:23" x14ac:dyDescent="0.25">
      <c r="A448" t="s">
        <v>2339</v>
      </c>
      <c r="B448" s="4">
        <f t="shared" si="6"/>
        <v>73280</v>
      </c>
      <c r="C448" t="s">
        <v>2340</v>
      </c>
      <c r="D448" t="s">
        <v>24</v>
      </c>
      <c r="E448" t="s">
        <v>655</v>
      </c>
      <c r="F448">
        <v>2</v>
      </c>
      <c r="G448" t="s">
        <v>26</v>
      </c>
      <c r="H448" s="2" t="s">
        <v>27</v>
      </c>
      <c r="I448" t="s">
        <v>368</v>
      </c>
      <c r="J448" s="2" t="s">
        <v>2341</v>
      </c>
      <c r="L448" s="2" t="s">
        <v>30</v>
      </c>
      <c r="M448" s="2" t="s">
        <v>31</v>
      </c>
      <c r="N448" s="2" t="s">
        <v>32</v>
      </c>
      <c r="O448" s="2" t="s">
        <v>657</v>
      </c>
      <c r="P448" s="2" t="s">
        <v>34</v>
      </c>
      <c r="Q448" t="s">
        <v>2342</v>
      </c>
      <c r="R448" s="2" t="s">
        <v>2343</v>
      </c>
      <c r="T448" s="2" t="s">
        <v>34</v>
      </c>
      <c r="U448" s="2" t="s">
        <v>2344</v>
      </c>
      <c r="V448" s="2" t="s">
        <v>2339</v>
      </c>
      <c r="W448" t="s">
        <v>2345</v>
      </c>
    </row>
    <row r="449" spans="1:23" x14ac:dyDescent="0.25">
      <c r="A449" t="s">
        <v>2346</v>
      </c>
      <c r="B449" s="4">
        <f t="shared" si="6"/>
        <v>73282</v>
      </c>
      <c r="C449" t="s">
        <v>2347</v>
      </c>
      <c r="D449" t="s">
        <v>365</v>
      </c>
      <c r="E449" t="s">
        <v>1069</v>
      </c>
      <c r="F449" t="s">
        <v>187</v>
      </c>
      <c r="G449" t="s">
        <v>352</v>
      </c>
      <c r="H449" s="2" t="s">
        <v>27</v>
      </c>
      <c r="I449" t="s">
        <v>379</v>
      </c>
      <c r="J449" s="2" t="s">
        <v>2348</v>
      </c>
      <c r="L449" s="2" t="s">
        <v>30</v>
      </c>
      <c r="M449" s="2" t="s">
        <v>31</v>
      </c>
      <c r="N449" s="2" t="s">
        <v>32</v>
      </c>
      <c r="O449" s="2" t="s">
        <v>1204</v>
      </c>
      <c r="P449" s="2" t="s">
        <v>34</v>
      </c>
      <c r="Q449" t="s">
        <v>2328</v>
      </c>
      <c r="R449" s="2" t="s">
        <v>206</v>
      </c>
      <c r="S449" s="2" t="s">
        <v>2329</v>
      </c>
      <c r="T449" s="2" t="s">
        <v>60</v>
      </c>
    </row>
    <row r="450" spans="1:23" x14ac:dyDescent="0.25">
      <c r="A450" t="s">
        <v>2349</v>
      </c>
      <c r="B450" s="4">
        <f t="shared" si="6"/>
        <v>73283</v>
      </c>
      <c r="C450" t="s">
        <v>2350</v>
      </c>
      <c r="D450" t="s">
        <v>365</v>
      </c>
      <c r="E450" t="s">
        <v>2351</v>
      </c>
      <c r="F450" t="s">
        <v>367</v>
      </c>
      <c r="G450" t="s">
        <v>352</v>
      </c>
      <c r="H450" s="2" t="s">
        <v>27</v>
      </c>
      <c r="I450" t="s">
        <v>379</v>
      </c>
      <c r="J450" s="2" t="s">
        <v>2352</v>
      </c>
      <c r="L450" s="2" t="s">
        <v>30</v>
      </c>
      <c r="M450" s="2" t="s">
        <v>31</v>
      </c>
      <c r="N450" s="2" t="s">
        <v>32</v>
      </c>
      <c r="O450" s="2" t="s">
        <v>1204</v>
      </c>
      <c r="P450" s="2" t="s">
        <v>34</v>
      </c>
      <c r="Q450" t="s">
        <v>2353</v>
      </c>
      <c r="R450" s="2" t="s">
        <v>206</v>
      </c>
      <c r="S450" s="2" t="s">
        <v>2354</v>
      </c>
      <c r="T450" s="2" t="s">
        <v>60</v>
      </c>
    </row>
    <row r="451" spans="1:23" x14ac:dyDescent="0.25">
      <c r="A451" t="s">
        <v>2355</v>
      </c>
      <c r="B451" s="4">
        <f t="shared" ref="B451:B514" si="7">REPLACE(A451, 1, 1, "")+0</f>
        <v>73285</v>
      </c>
      <c r="C451" t="s">
        <v>2356</v>
      </c>
      <c r="D451" t="s">
        <v>365</v>
      </c>
      <c r="E451" t="s">
        <v>1571</v>
      </c>
      <c r="F451" t="s">
        <v>367</v>
      </c>
      <c r="G451" t="s">
        <v>352</v>
      </c>
      <c r="H451" s="2" t="s">
        <v>373</v>
      </c>
      <c r="I451" t="s">
        <v>28</v>
      </c>
      <c r="K451" s="2" t="s">
        <v>2357</v>
      </c>
      <c r="L451" s="2" t="s">
        <v>30</v>
      </c>
      <c r="M451" s="2" t="s">
        <v>31</v>
      </c>
      <c r="N451" s="2" t="s">
        <v>32</v>
      </c>
      <c r="O451" s="2" t="s">
        <v>2358</v>
      </c>
      <c r="P451" s="2" t="s">
        <v>34</v>
      </c>
      <c r="Q451" t="s">
        <v>2359</v>
      </c>
      <c r="R451" s="2" t="s">
        <v>2360</v>
      </c>
      <c r="T451" s="2" t="s">
        <v>60</v>
      </c>
    </row>
    <row r="452" spans="1:23" x14ac:dyDescent="0.25">
      <c r="A452" t="s">
        <v>2361</v>
      </c>
      <c r="B452" s="4">
        <f t="shared" si="7"/>
        <v>73294</v>
      </c>
      <c r="C452" t="s">
        <v>2362</v>
      </c>
      <c r="D452" t="s">
        <v>42</v>
      </c>
      <c r="E452" t="s">
        <v>479</v>
      </c>
      <c r="F452">
        <v>3</v>
      </c>
      <c r="G452" t="s">
        <v>26</v>
      </c>
      <c r="H452" s="2" t="s">
        <v>27</v>
      </c>
      <c r="I452" t="s">
        <v>368</v>
      </c>
      <c r="J452" s="2" t="s">
        <v>2363</v>
      </c>
      <c r="L452" s="2" t="s">
        <v>30</v>
      </c>
      <c r="M452" s="2" t="s">
        <v>31</v>
      </c>
      <c r="N452" s="2" t="s">
        <v>32</v>
      </c>
      <c r="O452" s="2" t="s">
        <v>2364</v>
      </c>
      <c r="P452" s="2" t="s">
        <v>34</v>
      </c>
      <c r="Q452" t="s">
        <v>2365</v>
      </c>
      <c r="R452" s="2" t="s">
        <v>206</v>
      </c>
      <c r="S452" s="2" t="s">
        <v>2366</v>
      </c>
      <c r="T452" s="2" t="s">
        <v>60</v>
      </c>
    </row>
    <row r="453" spans="1:23" x14ac:dyDescent="0.25">
      <c r="A453" t="s">
        <v>2367</v>
      </c>
      <c r="B453" s="4">
        <f t="shared" si="7"/>
        <v>73295</v>
      </c>
      <c r="C453" t="s">
        <v>2368</v>
      </c>
      <c r="D453" t="s">
        <v>365</v>
      </c>
      <c r="E453" t="s">
        <v>1069</v>
      </c>
      <c r="F453" t="s">
        <v>187</v>
      </c>
      <c r="G453" t="s">
        <v>352</v>
      </c>
      <c r="H453" s="2" t="s">
        <v>27</v>
      </c>
      <c r="I453" t="s">
        <v>379</v>
      </c>
      <c r="J453" s="2" t="s">
        <v>2369</v>
      </c>
      <c r="L453" s="2" t="s">
        <v>30</v>
      </c>
      <c r="M453" s="2" t="s">
        <v>31</v>
      </c>
      <c r="N453" s="2" t="s">
        <v>32</v>
      </c>
      <c r="O453" s="2" t="s">
        <v>1204</v>
      </c>
      <c r="P453" s="2" t="s">
        <v>34</v>
      </c>
      <c r="Q453" t="s">
        <v>1477</v>
      </c>
      <c r="R453" s="2" t="s">
        <v>206</v>
      </c>
      <c r="S453" s="2" t="s">
        <v>1478</v>
      </c>
      <c r="T453" s="2" t="s">
        <v>60</v>
      </c>
    </row>
    <row r="454" spans="1:23" x14ac:dyDescent="0.25">
      <c r="A454" t="s">
        <v>2370</v>
      </c>
      <c r="B454" s="4">
        <f t="shared" si="7"/>
        <v>73297</v>
      </c>
      <c r="C454" t="s">
        <v>2371</v>
      </c>
      <c r="D454" t="s">
        <v>24</v>
      </c>
      <c r="E454" t="s">
        <v>2372</v>
      </c>
      <c r="F454">
        <v>2</v>
      </c>
      <c r="G454" t="s">
        <v>26</v>
      </c>
      <c r="H454" s="2" t="s">
        <v>27</v>
      </c>
      <c r="I454" t="s">
        <v>368</v>
      </c>
      <c r="J454" s="2" t="s">
        <v>2373</v>
      </c>
      <c r="L454" s="2" t="s">
        <v>30</v>
      </c>
      <c r="M454" s="2" t="s">
        <v>31</v>
      </c>
      <c r="N454" s="2" t="s">
        <v>32</v>
      </c>
      <c r="O454" s="2" t="s">
        <v>2374</v>
      </c>
      <c r="P454" s="2" t="s">
        <v>34</v>
      </c>
      <c r="Q454" t="s">
        <v>2371</v>
      </c>
      <c r="R454" s="2" t="s">
        <v>2375</v>
      </c>
      <c r="T454" s="2" t="s">
        <v>60</v>
      </c>
    </row>
    <row r="455" spans="1:23" x14ac:dyDescent="0.25">
      <c r="A455" t="s">
        <v>2376</v>
      </c>
      <c r="B455" s="4">
        <f t="shared" si="7"/>
        <v>73298</v>
      </c>
      <c r="C455" t="s">
        <v>2377</v>
      </c>
      <c r="D455" t="s">
        <v>365</v>
      </c>
      <c r="E455" t="s">
        <v>2378</v>
      </c>
      <c r="F455" t="s">
        <v>680</v>
      </c>
      <c r="G455" t="s">
        <v>26</v>
      </c>
      <c r="H455" s="2" t="s">
        <v>27</v>
      </c>
      <c r="I455" t="s">
        <v>368</v>
      </c>
      <c r="J455" s="2" t="s">
        <v>2379</v>
      </c>
      <c r="L455" s="2" t="s">
        <v>30</v>
      </c>
      <c r="M455" s="2" t="s">
        <v>31</v>
      </c>
      <c r="N455" s="2" t="s">
        <v>32</v>
      </c>
      <c r="O455" s="2" t="s">
        <v>1204</v>
      </c>
      <c r="P455" s="2" t="s">
        <v>34</v>
      </c>
      <c r="Q455" t="s">
        <v>2380</v>
      </c>
      <c r="R455" s="2" t="s">
        <v>2381</v>
      </c>
      <c r="T455" s="2" t="s">
        <v>60</v>
      </c>
    </row>
    <row r="456" spans="1:23" x14ac:dyDescent="0.25">
      <c r="A456" t="s">
        <v>2382</v>
      </c>
      <c r="B456" s="4">
        <f t="shared" si="7"/>
        <v>73304</v>
      </c>
      <c r="C456" t="s">
        <v>2383</v>
      </c>
      <c r="D456" t="s">
        <v>42</v>
      </c>
      <c r="E456" t="s">
        <v>273</v>
      </c>
      <c r="F456">
        <v>3</v>
      </c>
      <c r="G456" t="s">
        <v>26</v>
      </c>
      <c r="H456" s="2" t="s">
        <v>27</v>
      </c>
      <c r="I456" t="s">
        <v>368</v>
      </c>
      <c r="J456" s="2" t="s">
        <v>2384</v>
      </c>
      <c r="L456" s="2" t="s">
        <v>30</v>
      </c>
      <c r="M456" s="2" t="s">
        <v>31</v>
      </c>
      <c r="N456" s="2" t="s">
        <v>32</v>
      </c>
      <c r="O456" s="2" t="s">
        <v>435</v>
      </c>
      <c r="P456" s="2" t="s">
        <v>34</v>
      </c>
      <c r="Q456" t="s">
        <v>2385</v>
      </c>
      <c r="R456" s="2" t="s">
        <v>2386</v>
      </c>
      <c r="T456" s="2" t="s">
        <v>60</v>
      </c>
    </row>
    <row r="457" spans="1:23" x14ac:dyDescent="0.25">
      <c r="A457" t="s">
        <v>2387</v>
      </c>
      <c r="B457" s="4">
        <f t="shared" si="7"/>
        <v>73306</v>
      </c>
      <c r="C457" t="s">
        <v>2388</v>
      </c>
      <c r="D457" t="s">
        <v>42</v>
      </c>
      <c r="E457" t="s">
        <v>2389</v>
      </c>
      <c r="F457">
        <v>3</v>
      </c>
      <c r="G457" t="s">
        <v>26</v>
      </c>
      <c r="H457" s="2" t="s">
        <v>27</v>
      </c>
      <c r="I457" t="s">
        <v>368</v>
      </c>
      <c r="J457" s="2" t="s">
        <v>2363</v>
      </c>
      <c r="L457" s="2" t="s">
        <v>30</v>
      </c>
      <c r="M457" s="2" t="s">
        <v>31</v>
      </c>
      <c r="N457" s="2" t="s">
        <v>32</v>
      </c>
      <c r="O457" s="2" t="s">
        <v>652</v>
      </c>
      <c r="P457" s="2" t="s">
        <v>34</v>
      </c>
      <c r="Q457" t="s">
        <v>2390</v>
      </c>
      <c r="R457" s="2" t="s">
        <v>206</v>
      </c>
      <c r="S457" s="2" t="s">
        <v>2391</v>
      </c>
      <c r="T457" s="2" t="s">
        <v>60</v>
      </c>
    </row>
    <row r="458" spans="1:23" x14ac:dyDescent="0.25">
      <c r="A458" t="s">
        <v>2392</v>
      </c>
      <c r="B458" s="4">
        <f t="shared" si="7"/>
        <v>73310</v>
      </c>
      <c r="C458" t="s">
        <v>2393</v>
      </c>
      <c r="D458" t="s">
        <v>365</v>
      </c>
      <c r="E458" t="s">
        <v>1571</v>
      </c>
      <c r="F458" t="s">
        <v>367</v>
      </c>
      <c r="G458" t="s">
        <v>26</v>
      </c>
      <c r="H458" s="2" t="s">
        <v>27</v>
      </c>
      <c r="I458" t="s">
        <v>55</v>
      </c>
      <c r="J458" s="2" t="s">
        <v>2363</v>
      </c>
      <c r="L458" s="2" t="s">
        <v>30</v>
      </c>
      <c r="M458" s="2" t="s">
        <v>31</v>
      </c>
      <c r="N458" s="2" t="s">
        <v>32</v>
      </c>
      <c r="O458" s="2" t="s">
        <v>1204</v>
      </c>
      <c r="P458" s="2" t="s">
        <v>34</v>
      </c>
      <c r="Q458" t="s">
        <v>2394</v>
      </c>
      <c r="R458" s="2" t="s">
        <v>206</v>
      </c>
      <c r="S458" s="2" t="s">
        <v>2395</v>
      </c>
      <c r="T458" s="2" t="s">
        <v>60</v>
      </c>
    </row>
    <row r="459" spans="1:23" x14ac:dyDescent="0.25">
      <c r="A459" t="s">
        <v>2396</v>
      </c>
      <c r="B459" s="4">
        <f t="shared" si="7"/>
        <v>73311</v>
      </c>
      <c r="C459" t="s">
        <v>2397</v>
      </c>
      <c r="D459" t="s">
        <v>365</v>
      </c>
      <c r="E459" t="s">
        <v>624</v>
      </c>
      <c r="F459" t="s">
        <v>367</v>
      </c>
      <c r="G459" t="s">
        <v>352</v>
      </c>
      <c r="H459" s="2" t="s">
        <v>27</v>
      </c>
      <c r="I459" t="s">
        <v>379</v>
      </c>
      <c r="J459" s="2" t="s">
        <v>2398</v>
      </c>
      <c r="L459" s="2" t="s">
        <v>30</v>
      </c>
      <c r="M459" s="2" t="s">
        <v>31</v>
      </c>
      <c r="N459" s="2" t="s">
        <v>32</v>
      </c>
      <c r="O459" s="2" t="s">
        <v>1204</v>
      </c>
      <c r="P459" s="2" t="s">
        <v>34</v>
      </c>
      <c r="Q459" t="s">
        <v>626</v>
      </c>
      <c r="R459" s="2" t="s">
        <v>206</v>
      </c>
      <c r="S459" s="2" t="s">
        <v>627</v>
      </c>
      <c r="T459" s="2" t="s">
        <v>34</v>
      </c>
      <c r="U459" s="2" t="s">
        <v>628</v>
      </c>
      <c r="V459" s="2" t="s">
        <v>2399</v>
      </c>
      <c r="W459" t="s">
        <v>2400</v>
      </c>
    </row>
    <row r="460" spans="1:23" x14ac:dyDescent="0.25">
      <c r="A460" t="s">
        <v>2401</v>
      </c>
      <c r="B460" s="4">
        <f t="shared" si="7"/>
        <v>73313</v>
      </c>
      <c r="C460" t="s">
        <v>2402</v>
      </c>
      <c r="D460" t="s">
        <v>365</v>
      </c>
      <c r="E460" t="s">
        <v>1387</v>
      </c>
      <c r="F460" t="s">
        <v>367</v>
      </c>
      <c r="G460" t="s">
        <v>352</v>
      </c>
      <c r="H460" s="2" t="s">
        <v>373</v>
      </c>
      <c r="I460" t="s">
        <v>379</v>
      </c>
      <c r="K460" s="2" t="s">
        <v>2403</v>
      </c>
      <c r="L460" s="2" t="s">
        <v>30</v>
      </c>
      <c r="M460" s="2" t="s">
        <v>31</v>
      </c>
      <c r="N460" s="2" t="s">
        <v>32</v>
      </c>
      <c r="O460" s="2" t="s">
        <v>2404</v>
      </c>
      <c r="P460" s="2" t="s">
        <v>34</v>
      </c>
      <c r="Q460" t="s">
        <v>2079</v>
      </c>
      <c r="R460" s="2" t="s">
        <v>206</v>
      </c>
      <c r="S460" s="2" t="s">
        <v>2080</v>
      </c>
      <c r="T460" s="2" t="s">
        <v>60</v>
      </c>
    </row>
    <row r="461" spans="1:23" x14ac:dyDescent="0.25">
      <c r="A461" t="s">
        <v>2405</v>
      </c>
      <c r="B461" s="4">
        <f t="shared" si="7"/>
        <v>73316</v>
      </c>
      <c r="C461" t="s">
        <v>2406</v>
      </c>
      <c r="D461" t="s">
        <v>365</v>
      </c>
      <c r="E461" t="s">
        <v>1647</v>
      </c>
      <c r="F461" t="s">
        <v>367</v>
      </c>
      <c r="G461" t="s">
        <v>352</v>
      </c>
      <c r="H461" s="2" t="s">
        <v>27</v>
      </c>
      <c r="I461" t="s">
        <v>379</v>
      </c>
      <c r="J461" s="2" t="s">
        <v>2407</v>
      </c>
      <c r="L461" s="2" t="s">
        <v>30</v>
      </c>
      <c r="M461" s="2" t="s">
        <v>31</v>
      </c>
      <c r="N461" s="2" t="s">
        <v>32</v>
      </c>
      <c r="O461" s="2" t="s">
        <v>1204</v>
      </c>
      <c r="P461" s="2" t="s">
        <v>34</v>
      </c>
      <c r="Q461" t="s">
        <v>2408</v>
      </c>
      <c r="R461" s="2" t="s">
        <v>206</v>
      </c>
      <c r="S461" s="2" t="s">
        <v>2409</v>
      </c>
      <c r="T461" s="2" t="s">
        <v>60</v>
      </c>
    </row>
    <row r="462" spans="1:23" x14ac:dyDescent="0.25">
      <c r="A462" t="s">
        <v>2410</v>
      </c>
      <c r="B462" s="4">
        <f t="shared" si="7"/>
        <v>73318</v>
      </c>
      <c r="C462" t="s">
        <v>2411</v>
      </c>
      <c r="D462" t="s">
        <v>42</v>
      </c>
      <c r="E462" t="s">
        <v>95</v>
      </c>
      <c r="F462">
        <v>3</v>
      </c>
      <c r="G462" t="s">
        <v>26</v>
      </c>
      <c r="H462" s="2" t="s">
        <v>27</v>
      </c>
      <c r="I462" t="s">
        <v>368</v>
      </c>
      <c r="J462" s="2" t="s">
        <v>2412</v>
      </c>
      <c r="L462" s="2" t="s">
        <v>30</v>
      </c>
      <c r="M462" s="2" t="s">
        <v>31</v>
      </c>
      <c r="N462" s="2" t="s">
        <v>32</v>
      </c>
      <c r="O462" s="2" t="s">
        <v>79</v>
      </c>
      <c r="P462" s="2" t="s">
        <v>34</v>
      </c>
      <c r="Q462" t="s">
        <v>2413</v>
      </c>
      <c r="R462" s="2" t="s">
        <v>206</v>
      </c>
      <c r="S462" s="2" t="s">
        <v>2414</v>
      </c>
      <c r="T462" s="2" t="s">
        <v>60</v>
      </c>
    </row>
    <row r="463" spans="1:23" x14ac:dyDescent="0.25">
      <c r="A463" t="s">
        <v>2415</v>
      </c>
      <c r="B463" s="4">
        <f t="shared" si="7"/>
        <v>73322</v>
      </c>
      <c r="C463" t="s">
        <v>2416</v>
      </c>
      <c r="D463" t="s">
        <v>185</v>
      </c>
      <c r="E463" t="s">
        <v>1118</v>
      </c>
      <c r="F463" t="s">
        <v>680</v>
      </c>
      <c r="G463" t="s">
        <v>352</v>
      </c>
      <c r="H463" s="2" t="s">
        <v>373</v>
      </c>
      <c r="I463" t="s">
        <v>379</v>
      </c>
      <c r="K463" s="2" t="s">
        <v>2417</v>
      </c>
      <c r="L463" s="2" t="s">
        <v>30</v>
      </c>
      <c r="M463" s="2" t="s">
        <v>31</v>
      </c>
      <c r="N463" s="2" t="s">
        <v>32</v>
      </c>
      <c r="O463" s="2" t="s">
        <v>2418</v>
      </c>
      <c r="P463" s="2" t="s">
        <v>34</v>
      </c>
      <c r="Q463" t="s">
        <v>2419</v>
      </c>
      <c r="R463" s="2" t="s">
        <v>206</v>
      </c>
      <c r="S463" s="2" t="s">
        <v>2420</v>
      </c>
      <c r="T463" s="2" t="s">
        <v>60</v>
      </c>
    </row>
    <row r="464" spans="1:23" x14ac:dyDescent="0.25">
      <c r="A464" t="s">
        <v>2421</v>
      </c>
      <c r="B464" s="4">
        <f t="shared" si="7"/>
        <v>73323</v>
      </c>
      <c r="C464" t="s">
        <v>2422</v>
      </c>
      <c r="D464" t="s">
        <v>2423</v>
      </c>
      <c r="E464" t="s">
        <v>2424</v>
      </c>
      <c r="F464">
        <v>2</v>
      </c>
      <c r="G464" t="s">
        <v>26</v>
      </c>
      <c r="H464" s="2" t="s">
        <v>373</v>
      </c>
      <c r="I464" t="s">
        <v>368</v>
      </c>
      <c r="K464" s="2" t="s">
        <v>2425</v>
      </c>
      <c r="L464" s="2" t="s">
        <v>30</v>
      </c>
      <c r="M464" s="2" t="s">
        <v>31</v>
      </c>
      <c r="N464" s="2" t="s">
        <v>32</v>
      </c>
      <c r="O464" s="2" t="s">
        <v>2426</v>
      </c>
      <c r="P464" s="2" t="s">
        <v>34</v>
      </c>
      <c r="Q464" t="s">
        <v>2427</v>
      </c>
      <c r="R464" s="2" t="s">
        <v>206</v>
      </c>
      <c r="S464" s="2" t="s">
        <v>2428</v>
      </c>
      <c r="T464" s="2" t="s">
        <v>60</v>
      </c>
    </row>
    <row r="465" spans="1:23" x14ac:dyDescent="0.25">
      <c r="A465" t="s">
        <v>2429</v>
      </c>
      <c r="B465" s="4">
        <f t="shared" si="7"/>
        <v>73324</v>
      </c>
      <c r="C465" t="s">
        <v>2430</v>
      </c>
      <c r="D465" t="s">
        <v>185</v>
      </c>
      <c r="E465" t="s">
        <v>1118</v>
      </c>
      <c r="F465" t="s">
        <v>680</v>
      </c>
      <c r="G465" t="s">
        <v>352</v>
      </c>
      <c r="H465" s="2" t="s">
        <v>373</v>
      </c>
      <c r="I465" t="s">
        <v>379</v>
      </c>
      <c r="K465" s="2" t="s">
        <v>727</v>
      </c>
      <c r="L465" s="2" t="s">
        <v>30</v>
      </c>
      <c r="M465" s="2" t="s">
        <v>31</v>
      </c>
      <c r="N465" s="2" t="s">
        <v>32</v>
      </c>
      <c r="O465" s="2" t="s">
        <v>1969</v>
      </c>
      <c r="P465" s="2" t="s">
        <v>34</v>
      </c>
      <c r="Q465" t="s">
        <v>2431</v>
      </c>
      <c r="R465" s="2" t="s">
        <v>206</v>
      </c>
      <c r="S465" s="2" t="s">
        <v>2432</v>
      </c>
      <c r="T465" s="2" t="s">
        <v>60</v>
      </c>
    </row>
    <row r="466" spans="1:23" x14ac:dyDescent="0.25">
      <c r="A466" t="s">
        <v>2433</v>
      </c>
      <c r="B466" s="4">
        <f t="shared" si="7"/>
        <v>73325</v>
      </c>
      <c r="C466" t="s">
        <v>2434</v>
      </c>
      <c r="D466" t="s">
        <v>24</v>
      </c>
      <c r="E466" t="s">
        <v>2435</v>
      </c>
      <c r="F466">
        <v>2</v>
      </c>
      <c r="G466" t="s">
        <v>26</v>
      </c>
      <c r="H466" s="2" t="s">
        <v>27</v>
      </c>
      <c r="I466" t="s">
        <v>368</v>
      </c>
      <c r="J466" s="2" t="s">
        <v>2436</v>
      </c>
      <c r="L466" s="2" t="s">
        <v>30</v>
      </c>
      <c r="M466" s="2" t="s">
        <v>31</v>
      </c>
      <c r="N466" s="2" t="s">
        <v>32</v>
      </c>
      <c r="O466" s="2" t="s">
        <v>214</v>
      </c>
      <c r="P466" s="2" t="s">
        <v>34</v>
      </c>
      <c r="Q466" t="s">
        <v>2437</v>
      </c>
      <c r="R466" s="2" t="s">
        <v>2438</v>
      </c>
      <c r="T466" s="2" t="s">
        <v>60</v>
      </c>
    </row>
    <row r="467" spans="1:23" x14ac:dyDescent="0.25">
      <c r="A467" t="s">
        <v>2439</v>
      </c>
      <c r="B467" s="4">
        <f t="shared" si="7"/>
        <v>73328</v>
      </c>
      <c r="C467" t="s">
        <v>2440</v>
      </c>
      <c r="D467" t="s">
        <v>185</v>
      </c>
      <c r="E467" t="s">
        <v>803</v>
      </c>
      <c r="F467" t="s">
        <v>187</v>
      </c>
      <c r="G467" t="s">
        <v>352</v>
      </c>
      <c r="H467" s="2" t="s">
        <v>27</v>
      </c>
      <c r="I467" t="s">
        <v>379</v>
      </c>
      <c r="J467" s="2" t="s">
        <v>2441</v>
      </c>
      <c r="L467" s="2" t="s">
        <v>30</v>
      </c>
      <c r="M467" s="2" t="s">
        <v>31</v>
      </c>
      <c r="N467" s="2" t="s">
        <v>32</v>
      </c>
      <c r="O467" s="2" t="s">
        <v>1204</v>
      </c>
      <c r="P467" s="2" t="s">
        <v>34</v>
      </c>
      <c r="Q467" t="s">
        <v>2442</v>
      </c>
      <c r="R467" s="2" t="s">
        <v>2443</v>
      </c>
      <c r="T467" s="2" t="s">
        <v>60</v>
      </c>
    </row>
    <row r="468" spans="1:23" x14ac:dyDescent="0.25">
      <c r="A468" t="s">
        <v>2444</v>
      </c>
      <c r="B468" s="4">
        <f t="shared" si="7"/>
        <v>73329</v>
      </c>
      <c r="C468" t="s">
        <v>2445</v>
      </c>
      <c r="D468" t="s">
        <v>245</v>
      </c>
      <c r="E468" t="s">
        <v>2446</v>
      </c>
      <c r="F468">
        <v>2</v>
      </c>
      <c r="G468" t="s">
        <v>26</v>
      </c>
      <c r="H468" s="2" t="s">
        <v>27</v>
      </c>
      <c r="I468" t="s">
        <v>28</v>
      </c>
      <c r="J468" s="2" t="s">
        <v>2447</v>
      </c>
      <c r="L468" s="2" t="s">
        <v>30</v>
      </c>
      <c r="M468" s="2" t="s">
        <v>31</v>
      </c>
      <c r="N468" s="2" t="s">
        <v>32</v>
      </c>
      <c r="O468" s="2" t="s">
        <v>375</v>
      </c>
      <c r="P468" s="2" t="s">
        <v>34</v>
      </c>
      <c r="Q468" t="s">
        <v>46</v>
      </c>
      <c r="R468" s="2" t="s">
        <v>47</v>
      </c>
      <c r="T468" s="2" t="s">
        <v>34</v>
      </c>
      <c r="U468" s="2" t="s">
        <v>48</v>
      </c>
      <c r="V468" s="2" t="s">
        <v>2448</v>
      </c>
      <c r="W468" t="s">
        <v>2449</v>
      </c>
    </row>
    <row r="469" spans="1:23" x14ac:dyDescent="0.25">
      <c r="A469" t="s">
        <v>2450</v>
      </c>
      <c r="B469" s="4">
        <f t="shared" si="7"/>
        <v>73334</v>
      </c>
      <c r="C469" t="s">
        <v>2451</v>
      </c>
      <c r="D469" t="s">
        <v>24</v>
      </c>
      <c r="E469" t="s">
        <v>2372</v>
      </c>
      <c r="F469">
        <v>2</v>
      </c>
      <c r="G469" t="s">
        <v>26</v>
      </c>
      <c r="H469" s="2" t="s">
        <v>27</v>
      </c>
      <c r="I469" t="s">
        <v>368</v>
      </c>
      <c r="J469" s="2" t="s">
        <v>2452</v>
      </c>
      <c r="L469" s="2" t="s">
        <v>30</v>
      </c>
      <c r="M469" s="2" t="s">
        <v>31</v>
      </c>
      <c r="N469" s="2" t="s">
        <v>32</v>
      </c>
      <c r="O469" s="2" t="s">
        <v>2453</v>
      </c>
      <c r="P469" s="2" t="s">
        <v>34</v>
      </c>
      <c r="Q469" t="s">
        <v>2454</v>
      </c>
      <c r="R469" s="2" t="s">
        <v>2455</v>
      </c>
      <c r="T469" s="2" t="s">
        <v>60</v>
      </c>
    </row>
    <row r="470" spans="1:23" x14ac:dyDescent="0.25">
      <c r="A470" t="s">
        <v>2456</v>
      </c>
      <c r="B470" s="4">
        <f t="shared" si="7"/>
        <v>73337</v>
      </c>
      <c r="C470" t="s">
        <v>2457</v>
      </c>
      <c r="D470" t="s">
        <v>365</v>
      </c>
      <c r="E470" t="s">
        <v>1069</v>
      </c>
      <c r="F470" t="s">
        <v>187</v>
      </c>
      <c r="G470" t="s">
        <v>352</v>
      </c>
      <c r="H470" s="2" t="s">
        <v>373</v>
      </c>
      <c r="I470" t="s">
        <v>379</v>
      </c>
      <c r="K470" s="2" t="s">
        <v>2458</v>
      </c>
      <c r="L470" s="2" t="s">
        <v>30</v>
      </c>
      <c r="M470" s="2" t="s">
        <v>31</v>
      </c>
      <c r="N470" s="2" t="s">
        <v>32</v>
      </c>
      <c r="O470" s="2" t="s">
        <v>2459</v>
      </c>
      <c r="P470" s="2" t="s">
        <v>34</v>
      </c>
      <c r="Q470" t="s">
        <v>2460</v>
      </c>
      <c r="R470" s="2" t="s">
        <v>206</v>
      </c>
      <c r="S470" s="2" t="s">
        <v>2461</v>
      </c>
      <c r="T470" s="2" t="s">
        <v>60</v>
      </c>
    </row>
    <row r="471" spans="1:23" x14ac:dyDescent="0.25">
      <c r="A471" t="s">
        <v>2462</v>
      </c>
      <c r="B471" s="4">
        <f t="shared" si="7"/>
        <v>73338</v>
      </c>
      <c r="C471" t="s">
        <v>2463</v>
      </c>
      <c r="D471" t="s">
        <v>365</v>
      </c>
      <c r="E471" t="s">
        <v>1464</v>
      </c>
      <c r="F471" t="s">
        <v>367</v>
      </c>
      <c r="G471" t="s">
        <v>352</v>
      </c>
      <c r="H471" s="2" t="s">
        <v>27</v>
      </c>
      <c r="I471" t="s">
        <v>379</v>
      </c>
      <c r="J471" s="2" t="s">
        <v>2452</v>
      </c>
      <c r="L471" s="2" t="s">
        <v>30</v>
      </c>
      <c r="M471" s="2" t="s">
        <v>31</v>
      </c>
      <c r="N471" s="2" t="s">
        <v>32</v>
      </c>
      <c r="O471" s="2" t="s">
        <v>1204</v>
      </c>
      <c r="P471" s="2" t="s">
        <v>34</v>
      </c>
      <c r="Q471" t="s">
        <v>2464</v>
      </c>
      <c r="R471" s="2" t="s">
        <v>206</v>
      </c>
      <c r="S471" s="2" t="s">
        <v>2465</v>
      </c>
      <c r="T471" s="2" t="s">
        <v>60</v>
      </c>
    </row>
    <row r="472" spans="1:23" x14ac:dyDescent="0.25">
      <c r="A472" t="s">
        <v>2466</v>
      </c>
      <c r="B472" s="4">
        <f t="shared" si="7"/>
        <v>73339</v>
      </c>
      <c r="C472" t="s">
        <v>2467</v>
      </c>
      <c r="D472" t="s">
        <v>279</v>
      </c>
      <c r="E472" t="s">
        <v>987</v>
      </c>
      <c r="F472">
        <v>1</v>
      </c>
      <c r="G472" t="s">
        <v>26</v>
      </c>
      <c r="H472" s="2" t="s">
        <v>27</v>
      </c>
      <c r="I472" t="s">
        <v>368</v>
      </c>
      <c r="J472" s="2" t="s">
        <v>2468</v>
      </c>
      <c r="L472" s="2" t="s">
        <v>30</v>
      </c>
      <c r="M472" s="2" t="s">
        <v>31</v>
      </c>
      <c r="N472" s="2" t="s">
        <v>32</v>
      </c>
      <c r="O472" s="2" t="s">
        <v>1204</v>
      </c>
      <c r="P472" s="2" t="s">
        <v>34</v>
      </c>
      <c r="Q472" t="s">
        <v>2285</v>
      </c>
      <c r="R472" s="2" t="s">
        <v>2286</v>
      </c>
      <c r="T472" s="2" t="s">
        <v>60</v>
      </c>
    </row>
    <row r="473" spans="1:23" x14ac:dyDescent="0.25">
      <c r="A473" t="s">
        <v>2469</v>
      </c>
      <c r="B473" s="4">
        <f t="shared" si="7"/>
        <v>73341</v>
      </c>
      <c r="C473" t="s">
        <v>2470</v>
      </c>
      <c r="D473" t="s">
        <v>365</v>
      </c>
      <c r="E473" t="s">
        <v>1157</v>
      </c>
      <c r="F473" t="s">
        <v>367</v>
      </c>
      <c r="G473" t="s">
        <v>352</v>
      </c>
      <c r="H473" s="2" t="s">
        <v>27</v>
      </c>
      <c r="I473" t="s">
        <v>379</v>
      </c>
      <c r="J473" s="2" t="s">
        <v>2471</v>
      </c>
      <c r="L473" s="2" t="s">
        <v>30</v>
      </c>
      <c r="M473" s="2" t="s">
        <v>31</v>
      </c>
      <c r="N473" s="2" t="s">
        <v>32</v>
      </c>
      <c r="O473" s="2" t="s">
        <v>1204</v>
      </c>
      <c r="P473" s="2" t="s">
        <v>34</v>
      </c>
      <c r="Q473" t="s">
        <v>2472</v>
      </c>
      <c r="R473" s="2" t="s">
        <v>2473</v>
      </c>
      <c r="T473" s="2" t="s">
        <v>60</v>
      </c>
    </row>
    <row r="474" spans="1:23" x14ac:dyDescent="0.25">
      <c r="A474" t="s">
        <v>2474</v>
      </c>
      <c r="B474" s="4">
        <f t="shared" si="7"/>
        <v>73345</v>
      </c>
      <c r="C474" t="s">
        <v>2475</v>
      </c>
      <c r="D474" t="s">
        <v>365</v>
      </c>
      <c r="E474" t="s">
        <v>1412</v>
      </c>
      <c r="F474" t="s">
        <v>367</v>
      </c>
      <c r="G474" t="s">
        <v>352</v>
      </c>
      <c r="H474" s="2" t="s">
        <v>373</v>
      </c>
      <c r="I474" t="s">
        <v>379</v>
      </c>
      <c r="K474" s="2" t="s">
        <v>1775</v>
      </c>
      <c r="L474" s="2" t="s">
        <v>30</v>
      </c>
      <c r="M474" s="2" t="s">
        <v>31</v>
      </c>
      <c r="N474" s="2" t="s">
        <v>32</v>
      </c>
      <c r="O474" s="2" t="s">
        <v>2476</v>
      </c>
      <c r="P474" s="2" t="s">
        <v>34</v>
      </c>
      <c r="Q474" t="s">
        <v>2079</v>
      </c>
      <c r="R474" s="2" t="s">
        <v>206</v>
      </c>
      <c r="S474" s="2" t="s">
        <v>2080</v>
      </c>
      <c r="T474" s="2" t="s">
        <v>60</v>
      </c>
    </row>
    <row r="475" spans="1:23" x14ac:dyDescent="0.25">
      <c r="A475" t="s">
        <v>2477</v>
      </c>
      <c r="B475" s="4">
        <f t="shared" si="7"/>
        <v>73346</v>
      </c>
      <c r="C475" t="s">
        <v>2478</v>
      </c>
      <c r="D475" t="s">
        <v>42</v>
      </c>
      <c r="E475" t="s">
        <v>142</v>
      </c>
      <c r="F475">
        <v>2</v>
      </c>
      <c r="G475" t="s">
        <v>26</v>
      </c>
      <c r="H475" s="2" t="s">
        <v>27</v>
      </c>
      <c r="I475" t="s">
        <v>368</v>
      </c>
      <c r="J475" s="2" t="s">
        <v>2468</v>
      </c>
      <c r="L475" s="2" t="s">
        <v>30</v>
      </c>
      <c r="M475" s="2" t="s">
        <v>31</v>
      </c>
      <c r="N475" s="2" t="s">
        <v>32</v>
      </c>
      <c r="O475" s="2" t="s">
        <v>2479</v>
      </c>
      <c r="P475" s="2" t="s">
        <v>34</v>
      </c>
      <c r="Q475" t="s">
        <v>2480</v>
      </c>
      <c r="R475" s="2" t="s">
        <v>2481</v>
      </c>
      <c r="T475" s="2" t="s">
        <v>60</v>
      </c>
    </row>
    <row r="476" spans="1:23" x14ac:dyDescent="0.25">
      <c r="A476" t="s">
        <v>2482</v>
      </c>
      <c r="B476" s="4">
        <f t="shared" si="7"/>
        <v>73348</v>
      </c>
      <c r="C476" t="s">
        <v>2483</v>
      </c>
      <c r="D476" t="s">
        <v>279</v>
      </c>
      <c r="E476" t="s">
        <v>280</v>
      </c>
      <c r="F476">
        <v>1</v>
      </c>
      <c r="G476" t="s">
        <v>26</v>
      </c>
      <c r="H476" s="2" t="s">
        <v>27</v>
      </c>
      <c r="I476" t="s">
        <v>55</v>
      </c>
      <c r="J476" s="2" t="s">
        <v>2484</v>
      </c>
      <c r="L476" s="2" t="s">
        <v>30</v>
      </c>
      <c r="M476" s="2" t="s">
        <v>31</v>
      </c>
      <c r="N476" s="2" t="s">
        <v>32</v>
      </c>
      <c r="O476" s="2" t="s">
        <v>1204</v>
      </c>
      <c r="P476" s="2" t="s">
        <v>34</v>
      </c>
      <c r="Q476" t="s">
        <v>2485</v>
      </c>
      <c r="R476" s="2" t="s">
        <v>206</v>
      </c>
      <c r="S476" s="2" t="s">
        <v>2486</v>
      </c>
      <c r="T476" s="2" t="s">
        <v>60</v>
      </c>
    </row>
    <row r="477" spans="1:23" x14ac:dyDescent="0.25">
      <c r="A477" t="s">
        <v>2487</v>
      </c>
      <c r="B477" s="4">
        <f t="shared" si="7"/>
        <v>73349</v>
      </c>
      <c r="C477" t="s">
        <v>2488</v>
      </c>
      <c r="D477" t="s">
        <v>24</v>
      </c>
      <c r="E477" t="s">
        <v>2489</v>
      </c>
      <c r="F477">
        <v>2</v>
      </c>
      <c r="G477" t="s">
        <v>26</v>
      </c>
      <c r="H477" s="2" t="s">
        <v>27</v>
      </c>
      <c r="I477" t="s">
        <v>368</v>
      </c>
      <c r="J477" s="2" t="s">
        <v>2468</v>
      </c>
      <c r="L477" s="2" t="s">
        <v>30</v>
      </c>
      <c r="M477" s="2" t="s">
        <v>31</v>
      </c>
      <c r="N477" s="2" t="s">
        <v>32</v>
      </c>
      <c r="O477" s="2" t="s">
        <v>2490</v>
      </c>
      <c r="P477" s="2" t="s">
        <v>34</v>
      </c>
      <c r="Q477" t="s">
        <v>2488</v>
      </c>
      <c r="R477" s="2" t="s">
        <v>2491</v>
      </c>
      <c r="T477" s="2" t="s">
        <v>60</v>
      </c>
    </row>
    <row r="478" spans="1:23" x14ac:dyDescent="0.25">
      <c r="A478" t="s">
        <v>2492</v>
      </c>
      <c r="B478" s="4">
        <f t="shared" si="7"/>
        <v>73350</v>
      </c>
      <c r="C478" t="s">
        <v>2493</v>
      </c>
      <c r="D478" t="s">
        <v>279</v>
      </c>
      <c r="E478" t="s">
        <v>1130</v>
      </c>
      <c r="F478" t="s">
        <v>543</v>
      </c>
      <c r="G478" t="s">
        <v>26</v>
      </c>
      <c r="H478" s="2" t="s">
        <v>27</v>
      </c>
      <c r="I478" t="s">
        <v>55</v>
      </c>
      <c r="J478" s="2" t="s">
        <v>2494</v>
      </c>
      <c r="L478" s="2" t="s">
        <v>30</v>
      </c>
      <c r="M478" s="2" t="s">
        <v>31</v>
      </c>
      <c r="N478" s="2" t="s">
        <v>32</v>
      </c>
      <c r="O478" s="2" t="s">
        <v>1204</v>
      </c>
      <c r="P478" s="2" t="s">
        <v>34</v>
      </c>
      <c r="Q478" t="s">
        <v>2493</v>
      </c>
      <c r="R478" s="2" t="s">
        <v>206</v>
      </c>
      <c r="S478" s="2" t="s">
        <v>2495</v>
      </c>
      <c r="T478" s="2" t="s">
        <v>60</v>
      </c>
    </row>
    <row r="479" spans="1:23" x14ac:dyDescent="0.25">
      <c r="A479" t="s">
        <v>2496</v>
      </c>
      <c r="B479" s="4">
        <f t="shared" si="7"/>
        <v>73355</v>
      </c>
      <c r="C479" t="s">
        <v>2497</v>
      </c>
      <c r="D479" t="s">
        <v>103</v>
      </c>
      <c r="E479" t="s">
        <v>104</v>
      </c>
      <c r="F479">
        <v>1</v>
      </c>
      <c r="G479" t="s">
        <v>352</v>
      </c>
      <c r="H479" s="2" t="s">
        <v>27</v>
      </c>
      <c r="I479" t="s">
        <v>379</v>
      </c>
      <c r="J479" s="2" t="s">
        <v>2498</v>
      </c>
      <c r="L479" s="2" t="s">
        <v>30</v>
      </c>
      <c r="M479" s="2" t="s">
        <v>31</v>
      </c>
      <c r="N479" s="2" t="s">
        <v>32</v>
      </c>
      <c r="O479" s="2" t="s">
        <v>106</v>
      </c>
      <c r="P479" s="2" t="s">
        <v>34</v>
      </c>
      <c r="Q479" t="s">
        <v>2499</v>
      </c>
      <c r="R479" s="2" t="s">
        <v>206</v>
      </c>
      <c r="S479" s="2" t="s">
        <v>2500</v>
      </c>
      <c r="T479" s="2" t="s">
        <v>60</v>
      </c>
    </row>
    <row r="480" spans="1:23" x14ac:dyDescent="0.25">
      <c r="A480" t="s">
        <v>2501</v>
      </c>
      <c r="B480" s="4">
        <f t="shared" si="7"/>
        <v>73362</v>
      </c>
      <c r="C480" t="s">
        <v>2502</v>
      </c>
      <c r="D480" t="s">
        <v>365</v>
      </c>
      <c r="E480" t="s">
        <v>878</v>
      </c>
      <c r="F480" t="s">
        <v>367</v>
      </c>
      <c r="G480" t="s">
        <v>352</v>
      </c>
      <c r="H480" s="2" t="s">
        <v>27</v>
      </c>
      <c r="I480" t="s">
        <v>379</v>
      </c>
      <c r="J480" s="2" t="s">
        <v>2503</v>
      </c>
      <c r="L480" s="2" t="s">
        <v>30</v>
      </c>
      <c r="M480" s="2" t="s">
        <v>31</v>
      </c>
      <c r="N480" s="2" t="s">
        <v>32</v>
      </c>
      <c r="O480" s="2" t="s">
        <v>2504</v>
      </c>
      <c r="P480" s="2" t="s">
        <v>34</v>
      </c>
      <c r="Q480" t="s">
        <v>2505</v>
      </c>
      <c r="R480" s="2" t="s">
        <v>206</v>
      </c>
      <c r="S480" s="2" t="s">
        <v>2506</v>
      </c>
      <c r="T480" s="2" t="s">
        <v>60</v>
      </c>
    </row>
    <row r="481" spans="1:23" x14ac:dyDescent="0.25">
      <c r="A481" t="s">
        <v>2507</v>
      </c>
      <c r="B481" s="4">
        <f t="shared" si="7"/>
        <v>73364</v>
      </c>
      <c r="C481" t="s">
        <v>2508</v>
      </c>
      <c r="D481" t="s">
        <v>365</v>
      </c>
      <c r="E481" t="s">
        <v>738</v>
      </c>
      <c r="F481" t="s">
        <v>367</v>
      </c>
      <c r="G481" t="s">
        <v>352</v>
      </c>
      <c r="H481" s="2" t="s">
        <v>27</v>
      </c>
      <c r="I481" t="s">
        <v>379</v>
      </c>
      <c r="J481" s="2" t="s">
        <v>2503</v>
      </c>
      <c r="L481" s="2" t="s">
        <v>30</v>
      </c>
      <c r="M481" s="2" t="s">
        <v>31</v>
      </c>
      <c r="N481" s="2" t="s">
        <v>32</v>
      </c>
      <c r="O481" s="2" t="s">
        <v>1204</v>
      </c>
      <c r="P481" s="2" t="s">
        <v>34</v>
      </c>
      <c r="Q481" t="s">
        <v>2509</v>
      </c>
      <c r="R481" s="2" t="s">
        <v>2510</v>
      </c>
      <c r="T481" s="2" t="s">
        <v>60</v>
      </c>
    </row>
    <row r="482" spans="1:23" x14ac:dyDescent="0.25">
      <c r="A482" t="s">
        <v>2511</v>
      </c>
      <c r="B482" s="4">
        <f t="shared" si="7"/>
        <v>73379</v>
      </c>
      <c r="C482" t="s">
        <v>2512</v>
      </c>
      <c r="D482" t="s">
        <v>245</v>
      </c>
      <c r="E482" t="s">
        <v>2446</v>
      </c>
      <c r="F482">
        <v>2</v>
      </c>
      <c r="G482" t="s">
        <v>26</v>
      </c>
      <c r="H482" s="2" t="s">
        <v>27</v>
      </c>
      <c r="I482" t="s">
        <v>368</v>
      </c>
      <c r="J482" s="2" t="s">
        <v>2513</v>
      </c>
      <c r="L482" s="2" t="s">
        <v>30</v>
      </c>
      <c r="M482" s="2" t="s">
        <v>31</v>
      </c>
      <c r="N482" s="2" t="s">
        <v>32</v>
      </c>
      <c r="O482" s="2" t="s">
        <v>2514</v>
      </c>
      <c r="P482" s="2" t="s">
        <v>34</v>
      </c>
      <c r="Q482" t="s">
        <v>2515</v>
      </c>
      <c r="R482" s="2" t="s">
        <v>206</v>
      </c>
      <c r="S482" s="2" t="s">
        <v>2516</v>
      </c>
      <c r="T482" s="2" t="s">
        <v>60</v>
      </c>
    </row>
    <row r="483" spans="1:23" x14ac:dyDescent="0.25">
      <c r="A483" t="s">
        <v>2517</v>
      </c>
      <c r="B483" s="4">
        <f t="shared" si="7"/>
        <v>73385</v>
      </c>
      <c r="C483" t="s">
        <v>2518</v>
      </c>
      <c r="D483" t="s">
        <v>365</v>
      </c>
      <c r="E483" t="s">
        <v>878</v>
      </c>
      <c r="F483" t="s">
        <v>367</v>
      </c>
      <c r="G483" t="s">
        <v>352</v>
      </c>
      <c r="H483" s="2" t="s">
        <v>373</v>
      </c>
      <c r="I483" t="s">
        <v>379</v>
      </c>
      <c r="K483" s="2" t="s">
        <v>2337</v>
      </c>
      <c r="L483" s="2" t="s">
        <v>30</v>
      </c>
      <c r="M483" s="2" t="s">
        <v>31</v>
      </c>
      <c r="N483" s="2" t="s">
        <v>32</v>
      </c>
      <c r="O483" s="2" t="s">
        <v>2519</v>
      </c>
      <c r="P483" s="2" t="s">
        <v>34</v>
      </c>
      <c r="Q483" t="s">
        <v>2520</v>
      </c>
      <c r="R483" s="2" t="s">
        <v>2521</v>
      </c>
      <c r="T483" s="2" t="s">
        <v>60</v>
      </c>
    </row>
    <row r="484" spans="1:23" x14ac:dyDescent="0.25">
      <c r="A484" t="s">
        <v>2522</v>
      </c>
      <c r="B484" s="4">
        <f t="shared" si="7"/>
        <v>73388</v>
      </c>
      <c r="C484" t="s">
        <v>2523</v>
      </c>
      <c r="D484" t="s">
        <v>365</v>
      </c>
      <c r="E484" t="s">
        <v>90</v>
      </c>
      <c r="F484" t="s">
        <v>367</v>
      </c>
      <c r="G484" t="s">
        <v>26</v>
      </c>
      <c r="H484" s="2" t="s">
        <v>27</v>
      </c>
      <c r="I484" t="s">
        <v>28</v>
      </c>
      <c r="J484" s="2" t="s">
        <v>2524</v>
      </c>
      <c r="L484" s="2" t="s">
        <v>30</v>
      </c>
      <c r="M484" s="2" t="s">
        <v>31</v>
      </c>
      <c r="N484" s="2" t="s">
        <v>32</v>
      </c>
      <c r="O484" s="2" t="s">
        <v>1204</v>
      </c>
      <c r="P484" s="2" t="s">
        <v>34</v>
      </c>
      <c r="Q484" t="s">
        <v>2525</v>
      </c>
      <c r="R484" s="2" t="s">
        <v>206</v>
      </c>
      <c r="S484" s="2" t="s">
        <v>2526</v>
      </c>
      <c r="T484" s="2" t="s">
        <v>60</v>
      </c>
    </row>
    <row r="485" spans="1:23" x14ac:dyDescent="0.25">
      <c r="A485" t="s">
        <v>2527</v>
      </c>
      <c r="B485" s="4">
        <f t="shared" si="7"/>
        <v>73391</v>
      </c>
      <c r="C485" t="s">
        <v>2528</v>
      </c>
      <c r="D485" t="s">
        <v>365</v>
      </c>
      <c r="E485" t="s">
        <v>738</v>
      </c>
      <c r="F485" t="s">
        <v>367</v>
      </c>
      <c r="G485" t="s">
        <v>352</v>
      </c>
      <c r="H485" s="2" t="s">
        <v>27</v>
      </c>
      <c r="I485" t="s">
        <v>379</v>
      </c>
      <c r="J485" s="2" t="s">
        <v>2498</v>
      </c>
      <c r="L485" s="2" t="s">
        <v>30</v>
      </c>
      <c r="M485" s="2" t="s">
        <v>31</v>
      </c>
      <c r="N485" s="2" t="s">
        <v>32</v>
      </c>
      <c r="O485" s="2" t="s">
        <v>1204</v>
      </c>
      <c r="P485" s="2" t="s">
        <v>34</v>
      </c>
      <c r="Q485" t="s">
        <v>2419</v>
      </c>
      <c r="R485" s="2" t="s">
        <v>206</v>
      </c>
      <c r="S485" s="2" t="s">
        <v>2420</v>
      </c>
      <c r="T485" s="2" t="s">
        <v>60</v>
      </c>
    </row>
    <row r="486" spans="1:23" x14ac:dyDescent="0.25">
      <c r="A486" t="s">
        <v>2529</v>
      </c>
      <c r="B486" s="4">
        <f t="shared" si="7"/>
        <v>73393</v>
      </c>
      <c r="C486" t="s">
        <v>2530</v>
      </c>
      <c r="D486" t="s">
        <v>1149</v>
      </c>
      <c r="E486" t="s">
        <v>1427</v>
      </c>
      <c r="F486" t="s">
        <v>543</v>
      </c>
      <c r="G486" t="s">
        <v>26</v>
      </c>
      <c r="H486" s="2" t="s">
        <v>27</v>
      </c>
      <c r="I486" t="s">
        <v>368</v>
      </c>
      <c r="J486" s="2" t="s">
        <v>2531</v>
      </c>
      <c r="L486" s="2" t="s">
        <v>30</v>
      </c>
      <c r="M486" s="2" t="s">
        <v>31</v>
      </c>
      <c r="N486" s="2" t="s">
        <v>32</v>
      </c>
      <c r="O486" s="2" t="s">
        <v>1429</v>
      </c>
      <c r="P486" s="2" t="s">
        <v>34</v>
      </c>
      <c r="Q486" t="s">
        <v>1153</v>
      </c>
      <c r="R486" s="2" t="s">
        <v>1154</v>
      </c>
      <c r="T486" s="2" t="s">
        <v>60</v>
      </c>
    </row>
    <row r="487" spans="1:23" x14ac:dyDescent="0.25">
      <c r="A487" t="s">
        <v>2532</v>
      </c>
      <c r="B487" s="4">
        <f t="shared" si="7"/>
        <v>73399</v>
      </c>
      <c r="C487" t="s">
        <v>2533</v>
      </c>
      <c r="D487" t="s">
        <v>365</v>
      </c>
      <c r="E487" t="s">
        <v>63</v>
      </c>
      <c r="F487" t="s">
        <v>367</v>
      </c>
      <c r="G487" t="s">
        <v>352</v>
      </c>
      <c r="H487" s="2" t="s">
        <v>27</v>
      </c>
      <c r="I487" t="s">
        <v>379</v>
      </c>
      <c r="J487" s="2" t="s">
        <v>2534</v>
      </c>
      <c r="L487" s="2" t="s">
        <v>30</v>
      </c>
      <c r="M487" s="2" t="s">
        <v>31</v>
      </c>
      <c r="N487" s="2" t="s">
        <v>32</v>
      </c>
      <c r="O487" s="2" t="s">
        <v>1204</v>
      </c>
      <c r="P487" s="2" t="s">
        <v>34</v>
      </c>
      <c r="Q487" t="s">
        <v>2535</v>
      </c>
      <c r="R487" s="2" t="s">
        <v>206</v>
      </c>
      <c r="S487" s="2" t="s">
        <v>2536</v>
      </c>
      <c r="T487" s="2" t="s">
        <v>60</v>
      </c>
    </row>
    <row r="488" spans="1:23" x14ac:dyDescent="0.25">
      <c r="A488" t="s">
        <v>2537</v>
      </c>
      <c r="B488" s="4">
        <f t="shared" si="7"/>
        <v>73402</v>
      </c>
      <c r="C488" t="s">
        <v>2538</v>
      </c>
      <c r="D488" t="s">
        <v>42</v>
      </c>
      <c r="E488" t="s">
        <v>142</v>
      </c>
      <c r="F488">
        <v>2</v>
      </c>
      <c r="G488" t="s">
        <v>352</v>
      </c>
      <c r="H488" s="2" t="s">
        <v>27</v>
      </c>
      <c r="I488" t="s">
        <v>379</v>
      </c>
      <c r="J488" s="2" t="s">
        <v>2539</v>
      </c>
      <c r="L488" s="2" t="s">
        <v>30</v>
      </c>
      <c r="M488" s="2" t="s">
        <v>31</v>
      </c>
      <c r="N488" s="2" t="s">
        <v>32</v>
      </c>
      <c r="O488" s="2" t="s">
        <v>144</v>
      </c>
      <c r="P488" s="2" t="s">
        <v>34</v>
      </c>
      <c r="Q488" t="s">
        <v>1313</v>
      </c>
      <c r="R488" s="2" t="s">
        <v>1314</v>
      </c>
      <c r="T488" s="2" t="s">
        <v>60</v>
      </c>
    </row>
    <row r="489" spans="1:23" x14ac:dyDescent="0.25">
      <c r="A489" t="s">
        <v>2540</v>
      </c>
      <c r="B489" s="4">
        <f t="shared" si="7"/>
        <v>73407</v>
      </c>
      <c r="C489" t="s">
        <v>2541</v>
      </c>
      <c r="D489" t="s">
        <v>365</v>
      </c>
      <c r="E489" t="s">
        <v>1805</v>
      </c>
      <c r="F489" t="s">
        <v>367</v>
      </c>
      <c r="G489" t="s">
        <v>352</v>
      </c>
      <c r="H489" s="2" t="s">
        <v>27</v>
      </c>
      <c r="I489" t="s">
        <v>379</v>
      </c>
      <c r="J489" s="2" t="s">
        <v>2534</v>
      </c>
      <c r="L489" s="2" t="s">
        <v>30</v>
      </c>
      <c r="M489" s="2" t="s">
        <v>31</v>
      </c>
      <c r="N489" s="2" t="s">
        <v>32</v>
      </c>
      <c r="O489" s="2" t="s">
        <v>1204</v>
      </c>
      <c r="P489" s="2" t="s">
        <v>34</v>
      </c>
      <c r="Q489" t="s">
        <v>2542</v>
      </c>
      <c r="R489" s="2" t="s">
        <v>206</v>
      </c>
      <c r="S489" s="2" t="s">
        <v>2543</v>
      </c>
      <c r="T489" s="2" t="s">
        <v>60</v>
      </c>
    </row>
    <row r="490" spans="1:23" x14ac:dyDescent="0.25">
      <c r="A490" t="s">
        <v>2544</v>
      </c>
      <c r="B490" s="4">
        <f t="shared" si="7"/>
        <v>73409</v>
      </c>
      <c r="C490" t="s">
        <v>2545</v>
      </c>
      <c r="D490" t="s">
        <v>365</v>
      </c>
      <c r="E490" t="s">
        <v>1069</v>
      </c>
      <c r="F490" t="s">
        <v>187</v>
      </c>
      <c r="G490" t="s">
        <v>352</v>
      </c>
      <c r="H490" s="2" t="s">
        <v>27</v>
      </c>
      <c r="I490" t="s">
        <v>379</v>
      </c>
      <c r="J490" s="2" t="s">
        <v>2546</v>
      </c>
      <c r="L490" s="2" t="s">
        <v>30</v>
      </c>
      <c r="M490" s="2" t="s">
        <v>31</v>
      </c>
      <c r="N490" s="2" t="s">
        <v>32</v>
      </c>
      <c r="O490" s="2" t="s">
        <v>1204</v>
      </c>
      <c r="P490" s="2" t="s">
        <v>34</v>
      </c>
      <c r="Q490" t="s">
        <v>1477</v>
      </c>
      <c r="R490" s="2" t="s">
        <v>206</v>
      </c>
      <c r="S490" s="2" t="s">
        <v>1478</v>
      </c>
      <c r="T490" s="2" t="s">
        <v>60</v>
      </c>
    </row>
    <row r="491" spans="1:23" x14ac:dyDescent="0.25">
      <c r="A491" t="s">
        <v>2547</v>
      </c>
      <c r="B491" s="4">
        <f t="shared" si="7"/>
        <v>73410</v>
      </c>
      <c r="C491" t="s">
        <v>2548</v>
      </c>
      <c r="D491" t="s">
        <v>365</v>
      </c>
      <c r="E491" t="s">
        <v>1190</v>
      </c>
      <c r="F491" t="s">
        <v>187</v>
      </c>
      <c r="G491" t="s">
        <v>352</v>
      </c>
      <c r="H491" s="2" t="s">
        <v>27</v>
      </c>
      <c r="I491" t="s">
        <v>28</v>
      </c>
      <c r="J491" s="2" t="s">
        <v>2549</v>
      </c>
      <c r="L491" s="2" t="s">
        <v>30</v>
      </c>
      <c r="M491" s="2" t="s">
        <v>31</v>
      </c>
      <c r="N491" s="2" t="s">
        <v>32</v>
      </c>
      <c r="O491" s="2" t="s">
        <v>1204</v>
      </c>
      <c r="P491" s="2" t="s">
        <v>34</v>
      </c>
      <c r="Q491" t="s">
        <v>389</v>
      </c>
      <c r="R491" s="2" t="s">
        <v>206</v>
      </c>
      <c r="S491" s="2" t="s">
        <v>390</v>
      </c>
      <c r="T491" s="2" t="s">
        <v>60</v>
      </c>
    </row>
    <row r="492" spans="1:23" x14ac:dyDescent="0.25">
      <c r="A492" t="s">
        <v>2550</v>
      </c>
      <c r="B492" s="4">
        <f t="shared" si="7"/>
        <v>73411</v>
      </c>
      <c r="C492" t="s">
        <v>2551</v>
      </c>
      <c r="D492" t="s">
        <v>185</v>
      </c>
      <c r="E492" t="s">
        <v>1136</v>
      </c>
      <c r="F492" t="s">
        <v>543</v>
      </c>
      <c r="G492" t="s">
        <v>26</v>
      </c>
      <c r="H492" s="2" t="s">
        <v>27</v>
      </c>
      <c r="I492" t="s">
        <v>28</v>
      </c>
      <c r="J492" s="2" t="s">
        <v>2552</v>
      </c>
      <c r="L492" s="2" t="s">
        <v>30</v>
      </c>
      <c r="M492" s="2" t="s">
        <v>31</v>
      </c>
      <c r="N492" s="2" t="s">
        <v>32</v>
      </c>
      <c r="O492" s="2" t="s">
        <v>2553</v>
      </c>
      <c r="P492" s="2" t="s">
        <v>34</v>
      </c>
      <c r="Q492" t="s">
        <v>2554</v>
      </c>
      <c r="R492" s="2" t="s">
        <v>206</v>
      </c>
      <c r="S492" s="2" t="s">
        <v>2555</v>
      </c>
      <c r="T492" s="2" t="s">
        <v>34</v>
      </c>
      <c r="U492" s="2" t="s">
        <v>2556</v>
      </c>
      <c r="V492" s="2" t="s">
        <v>2557</v>
      </c>
      <c r="W492" t="s">
        <v>2558</v>
      </c>
    </row>
    <row r="493" spans="1:23" x14ac:dyDescent="0.25">
      <c r="A493" t="s">
        <v>2559</v>
      </c>
      <c r="B493" s="4">
        <f t="shared" si="7"/>
        <v>73412</v>
      </c>
      <c r="C493" t="s">
        <v>2560</v>
      </c>
      <c r="D493" t="s">
        <v>365</v>
      </c>
      <c r="E493" t="s">
        <v>1464</v>
      </c>
      <c r="F493" t="s">
        <v>367</v>
      </c>
      <c r="G493" t="s">
        <v>352</v>
      </c>
      <c r="H493" s="2" t="s">
        <v>373</v>
      </c>
      <c r="I493" t="s">
        <v>379</v>
      </c>
      <c r="K493" s="2" t="s">
        <v>727</v>
      </c>
      <c r="L493" s="2" t="s">
        <v>30</v>
      </c>
      <c r="M493" s="2" t="s">
        <v>31</v>
      </c>
      <c r="N493" s="2" t="s">
        <v>32</v>
      </c>
      <c r="O493" s="2" t="s">
        <v>2561</v>
      </c>
      <c r="P493" s="2" t="s">
        <v>34</v>
      </c>
      <c r="Q493" t="s">
        <v>2464</v>
      </c>
      <c r="R493" s="2" t="s">
        <v>206</v>
      </c>
      <c r="S493" s="2" t="s">
        <v>2465</v>
      </c>
      <c r="T493" s="2" t="s">
        <v>60</v>
      </c>
    </row>
    <row r="494" spans="1:23" x14ac:dyDescent="0.25">
      <c r="A494" t="s">
        <v>2562</v>
      </c>
      <c r="B494" s="4">
        <f t="shared" si="7"/>
        <v>73413</v>
      </c>
      <c r="C494" t="s">
        <v>2563</v>
      </c>
      <c r="D494" t="s">
        <v>24</v>
      </c>
      <c r="E494" t="s">
        <v>2489</v>
      </c>
      <c r="F494">
        <v>2</v>
      </c>
      <c r="G494" t="s">
        <v>352</v>
      </c>
      <c r="H494" s="2" t="s">
        <v>27</v>
      </c>
      <c r="I494" t="s">
        <v>28</v>
      </c>
      <c r="J494" s="2" t="s">
        <v>2564</v>
      </c>
      <c r="L494" s="2" t="s">
        <v>30</v>
      </c>
      <c r="M494" s="2" t="s">
        <v>31</v>
      </c>
      <c r="N494" s="2" t="s">
        <v>32</v>
      </c>
      <c r="O494" s="2" t="s">
        <v>214</v>
      </c>
      <c r="P494" s="2" t="s">
        <v>34</v>
      </c>
      <c r="Q494" t="s">
        <v>2181</v>
      </c>
      <c r="R494" s="2" t="s">
        <v>2182</v>
      </c>
      <c r="T494" s="2" t="s">
        <v>34</v>
      </c>
      <c r="U494" s="2" t="s">
        <v>2183</v>
      </c>
      <c r="V494" s="2" t="s">
        <v>2565</v>
      </c>
      <c r="W494" t="s">
        <v>2566</v>
      </c>
    </row>
    <row r="495" spans="1:23" x14ac:dyDescent="0.25">
      <c r="A495" t="s">
        <v>2567</v>
      </c>
      <c r="B495" s="4">
        <f t="shared" si="7"/>
        <v>73414</v>
      </c>
      <c r="C495" t="s">
        <v>2568</v>
      </c>
      <c r="D495" t="s">
        <v>365</v>
      </c>
      <c r="E495" t="s">
        <v>878</v>
      </c>
      <c r="F495" t="s">
        <v>367</v>
      </c>
      <c r="G495" t="s">
        <v>352</v>
      </c>
      <c r="H495" s="2" t="s">
        <v>27</v>
      </c>
      <c r="I495" t="s">
        <v>379</v>
      </c>
      <c r="J495" s="2" t="s">
        <v>2569</v>
      </c>
      <c r="L495" s="2" t="s">
        <v>30</v>
      </c>
      <c r="M495" s="2" t="s">
        <v>31</v>
      </c>
      <c r="N495" s="2" t="s">
        <v>32</v>
      </c>
      <c r="O495" s="2" t="s">
        <v>1204</v>
      </c>
      <c r="P495" s="2" t="s">
        <v>34</v>
      </c>
      <c r="Q495" t="s">
        <v>2293</v>
      </c>
      <c r="R495" s="2" t="s">
        <v>2294</v>
      </c>
      <c r="T495" s="2" t="s">
        <v>60</v>
      </c>
    </row>
    <row r="496" spans="1:23" x14ac:dyDescent="0.25">
      <c r="A496" t="s">
        <v>2570</v>
      </c>
      <c r="B496" s="4">
        <f t="shared" si="7"/>
        <v>73417</v>
      </c>
      <c r="C496" t="s">
        <v>2571</v>
      </c>
      <c r="D496" t="s">
        <v>365</v>
      </c>
      <c r="E496" t="s">
        <v>619</v>
      </c>
      <c r="F496" t="s">
        <v>367</v>
      </c>
      <c r="G496" t="s">
        <v>352</v>
      </c>
      <c r="H496" s="2" t="s">
        <v>27</v>
      </c>
      <c r="I496" t="s">
        <v>386</v>
      </c>
      <c r="J496" s="2" t="s">
        <v>2572</v>
      </c>
      <c r="L496" s="2" t="s">
        <v>30</v>
      </c>
      <c r="M496" s="2" t="s">
        <v>31</v>
      </c>
      <c r="N496" s="2" t="s">
        <v>32</v>
      </c>
      <c r="O496" s="2" t="s">
        <v>1204</v>
      </c>
      <c r="P496" s="2" t="s">
        <v>34</v>
      </c>
      <c r="Q496" t="s">
        <v>2573</v>
      </c>
      <c r="R496" s="2" t="s">
        <v>2574</v>
      </c>
      <c r="T496" s="2" t="s">
        <v>60</v>
      </c>
    </row>
    <row r="497" spans="1:23" x14ac:dyDescent="0.25">
      <c r="A497" t="s">
        <v>2575</v>
      </c>
      <c r="B497" s="4">
        <f t="shared" si="7"/>
        <v>73422</v>
      </c>
      <c r="C497" t="s">
        <v>2576</v>
      </c>
      <c r="D497" t="s">
        <v>365</v>
      </c>
      <c r="E497" t="s">
        <v>2577</v>
      </c>
      <c r="F497" t="s">
        <v>187</v>
      </c>
      <c r="G497" t="s">
        <v>352</v>
      </c>
      <c r="H497" s="2" t="s">
        <v>373</v>
      </c>
      <c r="I497" t="s">
        <v>379</v>
      </c>
      <c r="K497" s="2" t="s">
        <v>1514</v>
      </c>
      <c r="L497" s="2" t="s">
        <v>30</v>
      </c>
      <c r="M497" s="2" t="s">
        <v>31</v>
      </c>
      <c r="N497" s="2" t="s">
        <v>32</v>
      </c>
      <c r="O497" s="2" t="s">
        <v>2578</v>
      </c>
      <c r="P497" s="2" t="s">
        <v>34</v>
      </c>
      <c r="Q497" t="s">
        <v>2579</v>
      </c>
      <c r="R497" s="2" t="s">
        <v>2580</v>
      </c>
      <c r="T497" s="2" t="s">
        <v>60</v>
      </c>
    </row>
    <row r="498" spans="1:23" x14ac:dyDescent="0.25">
      <c r="A498" t="s">
        <v>2581</v>
      </c>
      <c r="B498" s="4">
        <f t="shared" si="7"/>
        <v>73423</v>
      </c>
      <c r="C498" t="s">
        <v>2582</v>
      </c>
      <c r="D498" t="s">
        <v>297</v>
      </c>
      <c r="E498" t="s">
        <v>304</v>
      </c>
      <c r="F498">
        <v>1</v>
      </c>
      <c r="G498" t="s">
        <v>26</v>
      </c>
      <c r="H498" s="2" t="s">
        <v>27</v>
      </c>
      <c r="I498" t="s">
        <v>55</v>
      </c>
      <c r="J498" s="2" t="s">
        <v>2583</v>
      </c>
      <c r="L498" s="2" t="s">
        <v>30</v>
      </c>
      <c r="M498" s="2" t="s">
        <v>31</v>
      </c>
      <c r="N498" s="2" t="s">
        <v>32</v>
      </c>
      <c r="O498" s="2" t="s">
        <v>106</v>
      </c>
      <c r="P498" s="2" t="s">
        <v>34</v>
      </c>
      <c r="Q498" t="s">
        <v>498</v>
      </c>
      <c r="R498" s="2" t="s">
        <v>499</v>
      </c>
      <c r="T498" s="2" t="s">
        <v>60</v>
      </c>
    </row>
    <row r="499" spans="1:23" x14ac:dyDescent="0.25">
      <c r="A499" t="s">
        <v>2584</v>
      </c>
      <c r="B499" s="4">
        <f t="shared" si="7"/>
        <v>73424</v>
      </c>
      <c r="C499" t="s">
        <v>2585</v>
      </c>
      <c r="D499" t="s">
        <v>42</v>
      </c>
      <c r="E499" t="s">
        <v>517</v>
      </c>
      <c r="F499">
        <v>2</v>
      </c>
      <c r="G499" t="s">
        <v>352</v>
      </c>
      <c r="H499" s="2" t="s">
        <v>27</v>
      </c>
      <c r="I499" t="s">
        <v>379</v>
      </c>
      <c r="J499" s="2" t="s">
        <v>2586</v>
      </c>
      <c r="L499" s="2" t="s">
        <v>30</v>
      </c>
      <c r="M499" s="2" t="s">
        <v>31</v>
      </c>
      <c r="N499" s="2" t="s">
        <v>32</v>
      </c>
      <c r="O499" s="2" t="s">
        <v>275</v>
      </c>
      <c r="P499" s="2" t="s">
        <v>34</v>
      </c>
      <c r="Q499" t="s">
        <v>1313</v>
      </c>
      <c r="R499" s="2" t="s">
        <v>1314</v>
      </c>
      <c r="T499" s="2" t="s">
        <v>60</v>
      </c>
    </row>
    <row r="500" spans="1:23" x14ac:dyDescent="0.25">
      <c r="A500" t="s">
        <v>2587</v>
      </c>
      <c r="B500" s="4">
        <f t="shared" si="7"/>
        <v>73425</v>
      </c>
      <c r="C500" t="s">
        <v>2588</v>
      </c>
      <c r="D500" t="s">
        <v>365</v>
      </c>
      <c r="E500" t="s">
        <v>878</v>
      </c>
      <c r="F500" t="s">
        <v>367</v>
      </c>
      <c r="G500" t="s">
        <v>352</v>
      </c>
      <c r="H500" s="2" t="s">
        <v>373</v>
      </c>
      <c r="I500" t="s">
        <v>28</v>
      </c>
      <c r="K500" s="2" t="s">
        <v>2589</v>
      </c>
      <c r="L500" s="2" t="s">
        <v>30</v>
      </c>
      <c r="M500" s="2" t="s">
        <v>31</v>
      </c>
      <c r="N500" s="2" t="s">
        <v>32</v>
      </c>
      <c r="O500" s="2" t="s">
        <v>2590</v>
      </c>
      <c r="P500" s="2" t="s">
        <v>34</v>
      </c>
      <c r="Q500" t="s">
        <v>2079</v>
      </c>
      <c r="R500" s="2" t="s">
        <v>206</v>
      </c>
      <c r="S500" s="2" t="s">
        <v>2080</v>
      </c>
      <c r="T500" s="2" t="s">
        <v>60</v>
      </c>
    </row>
    <row r="501" spans="1:23" x14ac:dyDescent="0.25">
      <c r="A501" t="s">
        <v>2591</v>
      </c>
      <c r="B501" s="4">
        <f t="shared" si="7"/>
        <v>73432</v>
      </c>
      <c r="C501" t="s">
        <v>2592</v>
      </c>
      <c r="D501" t="s">
        <v>365</v>
      </c>
      <c r="E501" t="s">
        <v>774</v>
      </c>
      <c r="F501" t="s">
        <v>680</v>
      </c>
      <c r="G501" t="s">
        <v>352</v>
      </c>
      <c r="H501" s="2" t="s">
        <v>27</v>
      </c>
      <c r="I501" t="s">
        <v>28</v>
      </c>
      <c r="J501" s="2" t="s">
        <v>2593</v>
      </c>
      <c r="L501" s="2" t="s">
        <v>30</v>
      </c>
      <c r="M501" s="2" t="s">
        <v>31</v>
      </c>
      <c r="N501" s="2" t="s">
        <v>32</v>
      </c>
      <c r="O501" s="2" t="s">
        <v>1204</v>
      </c>
      <c r="P501" s="2" t="s">
        <v>34</v>
      </c>
      <c r="Q501" t="s">
        <v>1447</v>
      </c>
      <c r="R501" s="2" t="s">
        <v>1448</v>
      </c>
      <c r="T501" s="2" t="s">
        <v>34</v>
      </c>
      <c r="U501" s="2" t="s">
        <v>1449</v>
      </c>
      <c r="V501" s="2" t="s">
        <v>2594</v>
      </c>
      <c r="W501" t="s">
        <v>2595</v>
      </c>
    </row>
    <row r="502" spans="1:23" x14ac:dyDescent="0.25">
      <c r="A502" t="s">
        <v>2596</v>
      </c>
      <c r="B502" s="4">
        <f t="shared" si="7"/>
        <v>73445</v>
      </c>
      <c r="C502" t="s">
        <v>2597</v>
      </c>
      <c r="D502" t="s">
        <v>103</v>
      </c>
      <c r="E502" t="s">
        <v>104</v>
      </c>
      <c r="F502">
        <v>1</v>
      </c>
      <c r="G502" t="s">
        <v>352</v>
      </c>
      <c r="H502" s="2" t="s">
        <v>27</v>
      </c>
      <c r="I502" t="s">
        <v>379</v>
      </c>
      <c r="J502" s="2" t="s">
        <v>2598</v>
      </c>
      <c r="L502" s="2" t="s">
        <v>30</v>
      </c>
      <c r="M502" s="2" t="s">
        <v>31</v>
      </c>
      <c r="N502" s="2" t="s">
        <v>32</v>
      </c>
      <c r="O502" s="2" t="s">
        <v>106</v>
      </c>
      <c r="P502" s="2" t="s">
        <v>34</v>
      </c>
      <c r="Q502" t="s">
        <v>2599</v>
      </c>
      <c r="R502" s="2" t="s">
        <v>206</v>
      </c>
      <c r="S502" s="2" t="s">
        <v>2600</v>
      </c>
      <c r="T502" s="2" t="s">
        <v>60</v>
      </c>
    </row>
    <row r="503" spans="1:23" x14ac:dyDescent="0.25">
      <c r="A503" t="s">
        <v>2601</v>
      </c>
      <c r="B503" s="4">
        <f t="shared" si="7"/>
        <v>73449</v>
      </c>
      <c r="C503" t="s">
        <v>2602</v>
      </c>
      <c r="D503" t="s">
        <v>42</v>
      </c>
      <c r="E503" t="s">
        <v>142</v>
      </c>
      <c r="F503">
        <v>2</v>
      </c>
      <c r="G503" t="s">
        <v>352</v>
      </c>
      <c r="H503" s="2" t="s">
        <v>27</v>
      </c>
      <c r="I503" t="s">
        <v>379</v>
      </c>
      <c r="J503" s="2" t="s">
        <v>2603</v>
      </c>
      <c r="L503" s="2" t="s">
        <v>30</v>
      </c>
      <c r="M503" s="2" t="s">
        <v>31</v>
      </c>
      <c r="N503" s="2" t="s">
        <v>32</v>
      </c>
      <c r="O503" s="2" t="s">
        <v>2604</v>
      </c>
      <c r="P503" s="2" t="s">
        <v>34</v>
      </c>
      <c r="Q503" t="s">
        <v>2605</v>
      </c>
      <c r="R503" s="2" t="s">
        <v>206</v>
      </c>
      <c r="S503" s="2" t="s">
        <v>2606</v>
      </c>
      <c r="T503" s="2" t="s">
        <v>60</v>
      </c>
    </row>
    <row r="504" spans="1:23" x14ac:dyDescent="0.25">
      <c r="A504" t="s">
        <v>2607</v>
      </c>
      <c r="B504" s="4">
        <f t="shared" si="7"/>
        <v>73452</v>
      </c>
      <c r="C504" t="s">
        <v>2608</v>
      </c>
      <c r="D504" t="s">
        <v>365</v>
      </c>
      <c r="E504" t="s">
        <v>714</v>
      </c>
      <c r="F504" t="s">
        <v>367</v>
      </c>
      <c r="G504" t="s">
        <v>352</v>
      </c>
      <c r="H504" s="2" t="s">
        <v>27</v>
      </c>
      <c r="I504" t="s">
        <v>379</v>
      </c>
      <c r="J504" s="2" t="s">
        <v>2609</v>
      </c>
      <c r="L504" s="2" t="s">
        <v>30</v>
      </c>
      <c r="M504" s="2" t="s">
        <v>31</v>
      </c>
      <c r="N504" s="2" t="s">
        <v>32</v>
      </c>
      <c r="O504" s="2" t="s">
        <v>1204</v>
      </c>
      <c r="P504" s="2" t="s">
        <v>34</v>
      </c>
      <c r="Q504" t="s">
        <v>2079</v>
      </c>
      <c r="R504" s="2" t="s">
        <v>206</v>
      </c>
      <c r="S504" s="2" t="s">
        <v>2080</v>
      </c>
      <c r="T504" s="2" t="s">
        <v>60</v>
      </c>
    </row>
    <row r="505" spans="1:23" x14ac:dyDescent="0.25">
      <c r="A505" t="s">
        <v>2610</v>
      </c>
      <c r="B505" s="4">
        <f t="shared" si="7"/>
        <v>73454</v>
      </c>
      <c r="C505" t="s">
        <v>2611</v>
      </c>
      <c r="D505" t="s">
        <v>365</v>
      </c>
      <c r="E505" t="s">
        <v>714</v>
      </c>
      <c r="F505" t="s">
        <v>367</v>
      </c>
      <c r="G505" t="s">
        <v>352</v>
      </c>
      <c r="H505" s="2" t="s">
        <v>27</v>
      </c>
      <c r="I505" t="s">
        <v>379</v>
      </c>
      <c r="J505" s="2" t="s">
        <v>2612</v>
      </c>
      <c r="L505" s="2" t="s">
        <v>30</v>
      </c>
      <c r="M505" s="2" t="s">
        <v>31</v>
      </c>
      <c r="N505" s="2" t="s">
        <v>32</v>
      </c>
      <c r="O505" s="2" t="s">
        <v>1204</v>
      </c>
      <c r="P505" s="2" t="s">
        <v>34</v>
      </c>
      <c r="Q505" t="s">
        <v>2613</v>
      </c>
      <c r="R505" s="2" t="s">
        <v>2614</v>
      </c>
      <c r="T505" s="2" t="s">
        <v>60</v>
      </c>
    </row>
    <row r="506" spans="1:23" x14ac:dyDescent="0.25">
      <c r="A506" t="s">
        <v>2615</v>
      </c>
      <c r="B506" s="4">
        <f t="shared" si="7"/>
        <v>73455</v>
      </c>
      <c r="C506" t="s">
        <v>2616</v>
      </c>
      <c r="D506" t="s">
        <v>365</v>
      </c>
      <c r="E506" t="s">
        <v>1069</v>
      </c>
      <c r="F506" t="s">
        <v>187</v>
      </c>
      <c r="G506" t="s">
        <v>352</v>
      </c>
      <c r="H506" s="2" t="s">
        <v>27</v>
      </c>
      <c r="I506" t="s">
        <v>379</v>
      </c>
      <c r="J506" s="2" t="s">
        <v>2617</v>
      </c>
      <c r="L506" s="2" t="s">
        <v>30</v>
      </c>
      <c r="M506" s="2" t="s">
        <v>31</v>
      </c>
      <c r="N506" s="2" t="s">
        <v>32</v>
      </c>
      <c r="O506" s="2" t="s">
        <v>1204</v>
      </c>
      <c r="P506" s="2" t="s">
        <v>34</v>
      </c>
      <c r="Q506" t="s">
        <v>2618</v>
      </c>
      <c r="R506" s="2" t="s">
        <v>206</v>
      </c>
      <c r="S506" s="2" t="s">
        <v>2619</v>
      </c>
      <c r="T506" s="2" t="s">
        <v>60</v>
      </c>
    </row>
    <row r="507" spans="1:23" x14ac:dyDescent="0.25">
      <c r="A507" t="s">
        <v>2620</v>
      </c>
      <c r="B507" s="4">
        <f t="shared" si="7"/>
        <v>73456</v>
      </c>
      <c r="C507" t="s">
        <v>2621</v>
      </c>
      <c r="D507" t="s">
        <v>365</v>
      </c>
      <c r="E507" t="s">
        <v>1764</v>
      </c>
      <c r="F507" t="s">
        <v>187</v>
      </c>
      <c r="G507" t="s">
        <v>352</v>
      </c>
      <c r="H507" s="2" t="s">
        <v>27</v>
      </c>
      <c r="I507" t="s">
        <v>379</v>
      </c>
      <c r="J507" s="2" t="s">
        <v>2622</v>
      </c>
      <c r="L507" s="2" t="s">
        <v>30</v>
      </c>
      <c r="M507" s="2" t="s">
        <v>31</v>
      </c>
      <c r="N507" s="2" t="s">
        <v>32</v>
      </c>
      <c r="O507" s="2" t="s">
        <v>1204</v>
      </c>
      <c r="P507" s="2" t="s">
        <v>34</v>
      </c>
      <c r="Q507" t="s">
        <v>2623</v>
      </c>
      <c r="R507" s="2" t="s">
        <v>2624</v>
      </c>
      <c r="T507" s="2" t="s">
        <v>60</v>
      </c>
    </row>
    <row r="508" spans="1:23" x14ac:dyDescent="0.25">
      <c r="A508" t="s">
        <v>2625</v>
      </c>
      <c r="B508" s="4">
        <f t="shared" si="7"/>
        <v>73461</v>
      </c>
      <c r="C508" t="s">
        <v>2626</v>
      </c>
      <c r="D508" t="s">
        <v>365</v>
      </c>
      <c r="E508" t="s">
        <v>90</v>
      </c>
      <c r="F508" t="s">
        <v>367</v>
      </c>
      <c r="G508" t="s">
        <v>26</v>
      </c>
      <c r="H508" s="2" t="s">
        <v>27</v>
      </c>
      <c r="I508" t="s">
        <v>28</v>
      </c>
      <c r="J508" s="2" t="s">
        <v>2627</v>
      </c>
      <c r="L508" s="2" t="s">
        <v>30</v>
      </c>
      <c r="M508" s="2" t="s">
        <v>31</v>
      </c>
      <c r="N508" s="2" t="s">
        <v>32</v>
      </c>
      <c r="O508" s="2" t="s">
        <v>1204</v>
      </c>
      <c r="P508" s="2" t="s">
        <v>34</v>
      </c>
      <c r="Q508" t="s">
        <v>2628</v>
      </c>
      <c r="R508" s="2" t="s">
        <v>2629</v>
      </c>
      <c r="T508" s="2" t="s">
        <v>60</v>
      </c>
    </row>
    <row r="509" spans="1:23" x14ac:dyDescent="0.25">
      <c r="A509" t="s">
        <v>2630</v>
      </c>
      <c r="B509" s="4">
        <f t="shared" si="7"/>
        <v>73465</v>
      </c>
      <c r="C509" t="s">
        <v>2631</v>
      </c>
      <c r="D509" t="s">
        <v>42</v>
      </c>
      <c r="E509" t="s">
        <v>67</v>
      </c>
      <c r="F509">
        <v>2</v>
      </c>
      <c r="G509" t="s">
        <v>352</v>
      </c>
      <c r="H509" s="2" t="s">
        <v>27</v>
      </c>
      <c r="I509" t="s">
        <v>379</v>
      </c>
      <c r="J509" s="2" t="s">
        <v>2632</v>
      </c>
      <c r="L509" s="2" t="s">
        <v>30</v>
      </c>
      <c r="M509" s="2" t="s">
        <v>31</v>
      </c>
      <c r="N509" s="2" t="s">
        <v>32</v>
      </c>
      <c r="O509" s="2" t="s">
        <v>2633</v>
      </c>
      <c r="P509" s="2" t="s">
        <v>34</v>
      </c>
      <c r="Q509" t="s">
        <v>2634</v>
      </c>
      <c r="R509" s="2" t="s">
        <v>206</v>
      </c>
      <c r="S509" s="2" t="s">
        <v>2635</v>
      </c>
      <c r="T509" s="2" t="s">
        <v>34</v>
      </c>
      <c r="U509" s="2" t="s">
        <v>2636</v>
      </c>
      <c r="V509" s="2" t="s">
        <v>2630</v>
      </c>
      <c r="W509" t="s">
        <v>2637</v>
      </c>
    </row>
    <row r="510" spans="1:23" x14ac:dyDescent="0.25">
      <c r="A510" t="s">
        <v>2638</v>
      </c>
      <c r="B510" s="4">
        <f t="shared" si="7"/>
        <v>73466</v>
      </c>
      <c r="C510" t="s">
        <v>2639</v>
      </c>
      <c r="D510" t="s">
        <v>42</v>
      </c>
      <c r="E510" t="s">
        <v>133</v>
      </c>
      <c r="F510">
        <v>2</v>
      </c>
      <c r="G510" t="s">
        <v>352</v>
      </c>
      <c r="H510" s="2" t="s">
        <v>27</v>
      </c>
      <c r="I510" t="s">
        <v>379</v>
      </c>
      <c r="J510" s="2" t="s">
        <v>2640</v>
      </c>
      <c r="L510" s="2" t="s">
        <v>30</v>
      </c>
      <c r="M510" s="2" t="s">
        <v>31</v>
      </c>
      <c r="N510" s="2" t="s">
        <v>32</v>
      </c>
      <c r="O510" s="2" t="s">
        <v>435</v>
      </c>
      <c r="P510" s="2" t="s">
        <v>34</v>
      </c>
      <c r="Q510" t="s">
        <v>2641</v>
      </c>
      <c r="R510" s="2" t="s">
        <v>206</v>
      </c>
      <c r="S510" s="2" t="s">
        <v>2642</v>
      </c>
      <c r="T510" s="2" t="s">
        <v>60</v>
      </c>
    </row>
    <row r="511" spans="1:23" x14ac:dyDescent="0.25">
      <c r="A511" t="s">
        <v>2643</v>
      </c>
      <c r="B511" s="4">
        <f t="shared" si="7"/>
        <v>73469</v>
      </c>
      <c r="C511" t="s">
        <v>2644</v>
      </c>
      <c r="D511" t="s">
        <v>185</v>
      </c>
      <c r="E511" t="s">
        <v>1136</v>
      </c>
      <c r="F511" t="s">
        <v>543</v>
      </c>
      <c r="G511" t="s">
        <v>26</v>
      </c>
      <c r="H511" s="2" t="s">
        <v>27</v>
      </c>
      <c r="I511" t="s">
        <v>386</v>
      </c>
      <c r="J511" s="2" t="s">
        <v>2645</v>
      </c>
      <c r="L511" s="2" t="s">
        <v>30</v>
      </c>
      <c r="M511" s="2" t="s">
        <v>31</v>
      </c>
      <c r="N511" s="2" t="s">
        <v>32</v>
      </c>
      <c r="O511" s="2" t="s">
        <v>2553</v>
      </c>
      <c r="P511" s="2" t="s">
        <v>34</v>
      </c>
      <c r="Q511" t="s">
        <v>2554</v>
      </c>
      <c r="R511" s="2" t="s">
        <v>206</v>
      </c>
      <c r="S511" s="2" t="s">
        <v>2555</v>
      </c>
      <c r="T511" s="2" t="s">
        <v>34</v>
      </c>
      <c r="U511" s="2" t="s">
        <v>2556</v>
      </c>
      <c r="V511" s="2" t="s">
        <v>2646</v>
      </c>
      <c r="W511" t="s">
        <v>2647</v>
      </c>
    </row>
    <row r="512" spans="1:23" x14ac:dyDescent="0.25">
      <c r="A512" t="s">
        <v>2648</v>
      </c>
      <c r="B512" s="4">
        <f t="shared" si="7"/>
        <v>73475</v>
      </c>
      <c r="C512" t="s">
        <v>2649</v>
      </c>
      <c r="D512" t="s">
        <v>365</v>
      </c>
      <c r="E512" t="s">
        <v>1069</v>
      </c>
      <c r="F512" t="s">
        <v>187</v>
      </c>
      <c r="G512" t="s">
        <v>352</v>
      </c>
      <c r="H512" s="2" t="s">
        <v>27</v>
      </c>
      <c r="I512" t="s">
        <v>379</v>
      </c>
      <c r="J512" s="2" t="s">
        <v>2650</v>
      </c>
      <c r="L512" s="2" t="s">
        <v>30</v>
      </c>
      <c r="M512" s="2" t="s">
        <v>31</v>
      </c>
      <c r="N512" s="2" t="s">
        <v>32</v>
      </c>
      <c r="O512" s="2" t="s">
        <v>1204</v>
      </c>
      <c r="P512" s="2" t="s">
        <v>34</v>
      </c>
      <c r="Q512" t="s">
        <v>2651</v>
      </c>
      <c r="R512" s="2" t="s">
        <v>206</v>
      </c>
      <c r="S512" s="2" t="s">
        <v>2652</v>
      </c>
      <c r="T512" s="2" t="s">
        <v>60</v>
      </c>
    </row>
    <row r="513" spans="1:23" x14ac:dyDescent="0.25">
      <c r="A513" t="s">
        <v>2653</v>
      </c>
      <c r="B513" s="4">
        <f t="shared" si="7"/>
        <v>73476</v>
      </c>
      <c r="C513" t="s">
        <v>2654</v>
      </c>
      <c r="D513" t="s">
        <v>42</v>
      </c>
      <c r="E513" t="s">
        <v>133</v>
      </c>
      <c r="F513">
        <v>2</v>
      </c>
      <c r="G513" t="s">
        <v>352</v>
      </c>
      <c r="H513" s="2" t="s">
        <v>373</v>
      </c>
      <c r="I513" t="s">
        <v>379</v>
      </c>
      <c r="K513" s="2" t="s">
        <v>1232</v>
      </c>
      <c r="L513" s="2" t="s">
        <v>30</v>
      </c>
      <c r="M513" s="2" t="s">
        <v>31</v>
      </c>
      <c r="N513" s="2" t="s">
        <v>32</v>
      </c>
      <c r="O513" s="2" t="s">
        <v>435</v>
      </c>
      <c r="P513" s="2" t="s">
        <v>34</v>
      </c>
      <c r="Q513" t="s">
        <v>2655</v>
      </c>
      <c r="R513" s="2" t="s">
        <v>2656</v>
      </c>
      <c r="T513" s="2" t="s">
        <v>60</v>
      </c>
    </row>
    <row r="514" spans="1:23" x14ac:dyDescent="0.25">
      <c r="A514" t="s">
        <v>2657</v>
      </c>
      <c r="B514" s="4">
        <f t="shared" si="7"/>
        <v>73477</v>
      </c>
      <c r="C514" t="s">
        <v>2658</v>
      </c>
      <c r="D514" t="s">
        <v>365</v>
      </c>
      <c r="E514" t="s">
        <v>2659</v>
      </c>
      <c r="F514" t="s">
        <v>367</v>
      </c>
      <c r="G514" t="s">
        <v>352</v>
      </c>
      <c r="H514" s="2" t="s">
        <v>373</v>
      </c>
      <c r="I514" t="s">
        <v>379</v>
      </c>
      <c r="K514" s="2" t="s">
        <v>2660</v>
      </c>
      <c r="L514" s="2" t="s">
        <v>30</v>
      </c>
      <c r="M514" s="2" t="s">
        <v>31</v>
      </c>
      <c r="N514" s="2" t="s">
        <v>32</v>
      </c>
      <c r="O514" s="2" t="s">
        <v>2661</v>
      </c>
      <c r="P514" s="2" t="s">
        <v>34</v>
      </c>
      <c r="Q514" t="s">
        <v>2662</v>
      </c>
      <c r="R514" s="2" t="s">
        <v>206</v>
      </c>
      <c r="S514" s="2" t="s">
        <v>2663</v>
      </c>
      <c r="T514" s="2" t="s">
        <v>60</v>
      </c>
    </row>
    <row r="515" spans="1:23" x14ac:dyDescent="0.25">
      <c r="A515" t="s">
        <v>2664</v>
      </c>
      <c r="B515" s="4">
        <f t="shared" ref="B515:B578" si="8">REPLACE(A515, 1, 1, "")+0</f>
        <v>73481</v>
      </c>
      <c r="C515" t="s">
        <v>2665</v>
      </c>
      <c r="D515" t="s">
        <v>365</v>
      </c>
      <c r="E515" t="s">
        <v>1805</v>
      </c>
      <c r="F515" t="s">
        <v>367</v>
      </c>
      <c r="G515" t="s">
        <v>352</v>
      </c>
      <c r="H515" s="2" t="s">
        <v>373</v>
      </c>
      <c r="I515" t="s">
        <v>379</v>
      </c>
      <c r="K515" s="2" t="s">
        <v>2666</v>
      </c>
      <c r="L515" s="2" t="s">
        <v>30</v>
      </c>
      <c r="M515" s="2" t="s">
        <v>31</v>
      </c>
      <c r="N515" s="2" t="s">
        <v>32</v>
      </c>
      <c r="O515" s="2" t="s">
        <v>2667</v>
      </c>
      <c r="P515" s="2" t="s">
        <v>34</v>
      </c>
      <c r="Q515" t="s">
        <v>2668</v>
      </c>
      <c r="R515" s="2" t="s">
        <v>2669</v>
      </c>
      <c r="T515" s="2" t="s">
        <v>60</v>
      </c>
    </row>
    <row r="516" spans="1:23" x14ac:dyDescent="0.25">
      <c r="A516" t="s">
        <v>2670</v>
      </c>
      <c r="B516" s="4">
        <f t="shared" si="8"/>
        <v>73482</v>
      </c>
      <c r="C516" t="s">
        <v>2671</v>
      </c>
      <c r="D516" t="s">
        <v>365</v>
      </c>
      <c r="E516" t="s">
        <v>1157</v>
      </c>
      <c r="F516" t="s">
        <v>367</v>
      </c>
      <c r="G516" t="s">
        <v>352</v>
      </c>
      <c r="H516" s="2" t="s">
        <v>27</v>
      </c>
      <c r="I516" t="s">
        <v>379</v>
      </c>
      <c r="J516" s="2" t="s">
        <v>2672</v>
      </c>
      <c r="L516" s="2" t="s">
        <v>30</v>
      </c>
      <c r="M516" s="2" t="s">
        <v>31</v>
      </c>
      <c r="N516" s="2" t="s">
        <v>32</v>
      </c>
      <c r="O516" s="2" t="s">
        <v>1204</v>
      </c>
      <c r="P516" s="2" t="s">
        <v>34</v>
      </c>
      <c r="Q516" t="s">
        <v>526</v>
      </c>
      <c r="R516" s="2" t="s">
        <v>206</v>
      </c>
      <c r="S516" s="2" t="s">
        <v>527</v>
      </c>
      <c r="T516" s="2" t="s">
        <v>60</v>
      </c>
    </row>
    <row r="517" spans="1:23" x14ac:dyDescent="0.25">
      <c r="A517" t="s">
        <v>2673</v>
      </c>
      <c r="B517" s="4">
        <f t="shared" si="8"/>
        <v>73484</v>
      </c>
      <c r="C517" t="s">
        <v>2674</v>
      </c>
      <c r="D517" t="s">
        <v>365</v>
      </c>
      <c r="E517" t="s">
        <v>1481</v>
      </c>
      <c r="F517" t="s">
        <v>187</v>
      </c>
      <c r="G517" t="s">
        <v>352</v>
      </c>
      <c r="H517" s="2" t="s">
        <v>27</v>
      </c>
      <c r="I517" t="s">
        <v>379</v>
      </c>
      <c r="J517" s="2" t="s">
        <v>2675</v>
      </c>
      <c r="L517" s="2" t="s">
        <v>30</v>
      </c>
      <c r="M517" s="2" t="s">
        <v>31</v>
      </c>
      <c r="N517" s="2" t="s">
        <v>32</v>
      </c>
      <c r="O517" s="2" t="s">
        <v>1204</v>
      </c>
      <c r="P517" s="2" t="s">
        <v>34</v>
      </c>
      <c r="Q517" t="s">
        <v>2651</v>
      </c>
      <c r="R517" s="2" t="s">
        <v>206</v>
      </c>
      <c r="S517" s="2" t="s">
        <v>2652</v>
      </c>
      <c r="T517" s="2" t="s">
        <v>60</v>
      </c>
    </row>
    <row r="518" spans="1:23" x14ac:dyDescent="0.25">
      <c r="A518" t="s">
        <v>2676</v>
      </c>
      <c r="B518" s="4">
        <f t="shared" si="8"/>
        <v>73490</v>
      </c>
      <c r="C518" t="s">
        <v>2677</v>
      </c>
      <c r="D518" t="s">
        <v>365</v>
      </c>
      <c r="E518" t="s">
        <v>774</v>
      </c>
      <c r="F518" t="s">
        <v>680</v>
      </c>
      <c r="G518" t="s">
        <v>352</v>
      </c>
      <c r="H518" s="2" t="s">
        <v>27</v>
      </c>
      <c r="I518" t="s">
        <v>379</v>
      </c>
      <c r="J518" s="2" t="s">
        <v>2678</v>
      </c>
      <c r="L518" s="2" t="s">
        <v>30</v>
      </c>
      <c r="M518" s="2" t="s">
        <v>31</v>
      </c>
      <c r="N518" s="2" t="s">
        <v>32</v>
      </c>
      <c r="O518" s="2" t="s">
        <v>1204</v>
      </c>
      <c r="P518" s="2" t="s">
        <v>34</v>
      </c>
      <c r="Q518" t="s">
        <v>2679</v>
      </c>
      <c r="R518" s="2" t="s">
        <v>206</v>
      </c>
      <c r="S518" s="2" t="s">
        <v>2680</v>
      </c>
      <c r="T518" s="2" t="s">
        <v>60</v>
      </c>
    </row>
    <row r="519" spans="1:23" x14ac:dyDescent="0.25">
      <c r="A519" t="s">
        <v>2681</v>
      </c>
      <c r="B519" s="4">
        <f t="shared" si="8"/>
        <v>73491</v>
      </c>
      <c r="C519" t="s">
        <v>2682</v>
      </c>
      <c r="D519" t="s">
        <v>185</v>
      </c>
      <c r="E519" t="s">
        <v>1136</v>
      </c>
      <c r="F519" t="s">
        <v>543</v>
      </c>
      <c r="G519" t="s">
        <v>352</v>
      </c>
      <c r="H519" s="2" t="s">
        <v>27</v>
      </c>
      <c r="I519" t="s">
        <v>379</v>
      </c>
      <c r="J519" s="2" t="s">
        <v>2683</v>
      </c>
      <c r="L519" s="2" t="s">
        <v>30</v>
      </c>
      <c r="M519" s="2" t="s">
        <v>31</v>
      </c>
      <c r="N519" s="2" t="s">
        <v>32</v>
      </c>
      <c r="O519" s="2" t="s">
        <v>1204</v>
      </c>
      <c r="P519" s="2" t="s">
        <v>34</v>
      </c>
      <c r="Q519" t="s">
        <v>1937</v>
      </c>
      <c r="R519" s="2" t="s">
        <v>206</v>
      </c>
      <c r="S519" s="2" t="s">
        <v>1938</v>
      </c>
      <c r="T519" s="2" t="s">
        <v>60</v>
      </c>
    </row>
    <row r="520" spans="1:23" x14ac:dyDescent="0.25">
      <c r="A520" t="s">
        <v>2684</v>
      </c>
      <c r="B520" s="4">
        <f t="shared" si="8"/>
        <v>73502</v>
      </c>
      <c r="C520" t="s">
        <v>2685</v>
      </c>
      <c r="D520" t="s">
        <v>365</v>
      </c>
      <c r="E520" t="s">
        <v>378</v>
      </c>
      <c r="F520" t="s">
        <v>187</v>
      </c>
      <c r="G520" t="s">
        <v>352</v>
      </c>
      <c r="H520" s="2" t="s">
        <v>27</v>
      </c>
      <c r="I520" t="s">
        <v>379</v>
      </c>
      <c r="J520" s="2" t="s">
        <v>2686</v>
      </c>
      <c r="L520" s="2" t="s">
        <v>30</v>
      </c>
      <c r="M520" s="2" t="s">
        <v>31</v>
      </c>
      <c r="N520" s="2" t="s">
        <v>32</v>
      </c>
      <c r="O520" s="2" t="s">
        <v>1204</v>
      </c>
      <c r="P520" s="2" t="s">
        <v>34</v>
      </c>
      <c r="Q520" t="s">
        <v>2687</v>
      </c>
      <c r="R520" s="2" t="s">
        <v>2688</v>
      </c>
      <c r="T520" s="2" t="s">
        <v>60</v>
      </c>
    </row>
    <row r="521" spans="1:23" x14ac:dyDescent="0.25">
      <c r="A521" t="s">
        <v>2689</v>
      </c>
      <c r="B521" s="4">
        <f t="shared" si="8"/>
        <v>73503</v>
      </c>
      <c r="C521" t="s">
        <v>2690</v>
      </c>
      <c r="D521" t="s">
        <v>365</v>
      </c>
      <c r="E521" t="s">
        <v>523</v>
      </c>
      <c r="F521" t="s">
        <v>367</v>
      </c>
      <c r="G521" t="s">
        <v>352</v>
      </c>
      <c r="H521" s="2" t="s">
        <v>373</v>
      </c>
      <c r="I521" t="s">
        <v>379</v>
      </c>
      <c r="K521" s="2" t="s">
        <v>2691</v>
      </c>
      <c r="L521" s="2" t="s">
        <v>30</v>
      </c>
      <c r="M521" s="2" t="s">
        <v>31</v>
      </c>
      <c r="N521" s="2" t="s">
        <v>32</v>
      </c>
      <c r="O521" s="2" t="s">
        <v>2692</v>
      </c>
      <c r="P521" s="2" t="s">
        <v>34</v>
      </c>
      <c r="Q521" t="s">
        <v>2693</v>
      </c>
      <c r="R521" s="2" t="s">
        <v>206</v>
      </c>
      <c r="S521" s="2" t="s">
        <v>2694</v>
      </c>
      <c r="T521" s="2" t="s">
        <v>60</v>
      </c>
    </row>
    <row r="522" spans="1:23" x14ac:dyDescent="0.25">
      <c r="A522" t="s">
        <v>2695</v>
      </c>
      <c r="B522" s="4">
        <f t="shared" si="8"/>
        <v>73504</v>
      </c>
      <c r="C522" t="s">
        <v>2696</v>
      </c>
      <c r="D522" t="s">
        <v>365</v>
      </c>
      <c r="E522" t="s">
        <v>1464</v>
      </c>
      <c r="F522" t="s">
        <v>367</v>
      </c>
      <c r="G522" t="s">
        <v>352</v>
      </c>
      <c r="H522" s="2" t="s">
        <v>27</v>
      </c>
      <c r="I522" t="s">
        <v>379</v>
      </c>
      <c r="J522" s="2" t="s">
        <v>2697</v>
      </c>
      <c r="L522" s="2" t="s">
        <v>30</v>
      </c>
      <c r="M522" s="2" t="s">
        <v>31</v>
      </c>
      <c r="N522" s="2" t="s">
        <v>32</v>
      </c>
      <c r="O522" s="2" t="s">
        <v>1204</v>
      </c>
      <c r="P522" s="2" t="s">
        <v>34</v>
      </c>
      <c r="Q522" t="s">
        <v>1923</v>
      </c>
      <c r="R522" s="2" t="s">
        <v>1924</v>
      </c>
      <c r="T522" s="2" t="s">
        <v>60</v>
      </c>
    </row>
    <row r="523" spans="1:23" x14ac:dyDescent="0.25">
      <c r="A523" t="s">
        <v>2698</v>
      </c>
      <c r="B523" s="4">
        <f t="shared" si="8"/>
        <v>73505</v>
      </c>
      <c r="C523" t="s">
        <v>2699</v>
      </c>
      <c r="D523" t="s">
        <v>365</v>
      </c>
      <c r="E523" t="s">
        <v>1396</v>
      </c>
      <c r="F523" t="s">
        <v>367</v>
      </c>
      <c r="G523" t="s">
        <v>352</v>
      </c>
      <c r="H523" s="2" t="s">
        <v>27</v>
      </c>
      <c r="I523" t="s">
        <v>379</v>
      </c>
      <c r="J523" s="2" t="s">
        <v>2700</v>
      </c>
      <c r="L523" s="2" t="s">
        <v>30</v>
      </c>
      <c r="M523" s="2" t="s">
        <v>31</v>
      </c>
      <c r="N523" s="2" t="s">
        <v>32</v>
      </c>
      <c r="O523" s="2" t="s">
        <v>1204</v>
      </c>
      <c r="P523" s="2" t="s">
        <v>34</v>
      </c>
      <c r="Q523" t="s">
        <v>2079</v>
      </c>
      <c r="R523" s="2" t="s">
        <v>206</v>
      </c>
      <c r="S523" s="2" t="s">
        <v>2080</v>
      </c>
      <c r="T523" s="2" t="s">
        <v>60</v>
      </c>
    </row>
    <row r="524" spans="1:23" x14ac:dyDescent="0.25">
      <c r="A524" t="s">
        <v>2701</v>
      </c>
      <c r="B524" s="4">
        <f t="shared" si="8"/>
        <v>73507</v>
      </c>
      <c r="C524" t="s">
        <v>2702</v>
      </c>
      <c r="D524" t="s">
        <v>42</v>
      </c>
      <c r="E524" t="s">
        <v>479</v>
      </c>
      <c r="F524">
        <v>3</v>
      </c>
      <c r="G524" t="s">
        <v>26</v>
      </c>
      <c r="H524" s="2" t="s">
        <v>27</v>
      </c>
      <c r="I524" t="s">
        <v>55</v>
      </c>
      <c r="J524" s="2" t="s">
        <v>2703</v>
      </c>
      <c r="L524" s="2" t="s">
        <v>30</v>
      </c>
      <c r="M524" s="2" t="s">
        <v>31</v>
      </c>
      <c r="N524" s="2" t="s">
        <v>32</v>
      </c>
      <c r="O524" s="2" t="s">
        <v>45</v>
      </c>
      <c r="P524" s="2" t="s">
        <v>34</v>
      </c>
      <c r="Q524" t="s">
        <v>86</v>
      </c>
      <c r="R524" s="2" t="s">
        <v>87</v>
      </c>
      <c r="T524" s="2" t="s">
        <v>60</v>
      </c>
    </row>
    <row r="525" spans="1:23" x14ac:dyDescent="0.25">
      <c r="A525" t="s">
        <v>2704</v>
      </c>
      <c r="B525" s="4">
        <f t="shared" si="8"/>
        <v>73508</v>
      </c>
      <c r="C525" t="s">
        <v>2705</v>
      </c>
      <c r="D525" t="s">
        <v>279</v>
      </c>
      <c r="E525" t="s">
        <v>273</v>
      </c>
      <c r="F525" t="s">
        <v>543</v>
      </c>
      <c r="G525" t="s">
        <v>26</v>
      </c>
      <c r="H525" s="2" t="s">
        <v>27</v>
      </c>
      <c r="I525" t="s">
        <v>55</v>
      </c>
      <c r="J525" s="2" t="s">
        <v>2706</v>
      </c>
      <c r="L525" s="2" t="s">
        <v>30</v>
      </c>
      <c r="M525" s="2" t="s">
        <v>31</v>
      </c>
      <c r="N525" s="2" t="s">
        <v>32</v>
      </c>
      <c r="O525" s="2" t="s">
        <v>1204</v>
      </c>
      <c r="P525" s="2" t="s">
        <v>34</v>
      </c>
      <c r="Q525" t="s">
        <v>307</v>
      </c>
      <c r="R525" s="2" t="s">
        <v>308</v>
      </c>
      <c r="T525" s="2" t="s">
        <v>34</v>
      </c>
      <c r="U525" s="2" t="s">
        <v>309</v>
      </c>
      <c r="V525" s="2" t="s">
        <v>2704</v>
      </c>
      <c r="W525" t="s">
        <v>2707</v>
      </c>
    </row>
    <row r="526" spans="1:23" x14ac:dyDescent="0.25">
      <c r="A526" t="s">
        <v>2708</v>
      </c>
      <c r="B526" s="4">
        <f t="shared" si="8"/>
        <v>73512</v>
      </c>
      <c r="C526" t="s">
        <v>2709</v>
      </c>
      <c r="D526" t="s">
        <v>42</v>
      </c>
      <c r="E526" t="s">
        <v>67</v>
      </c>
      <c r="F526">
        <v>2</v>
      </c>
      <c r="G526" t="s">
        <v>352</v>
      </c>
      <c r="H526" s="2" t="s">
        <v>27</v>
      </c>
      <c r="I526" t="s">
        <v>379</v>
      </c>
      <c r="J526" s="2" t="s">
        <v>2710</v>
      </c>
      <c r="L526" s="2" t="s">
        <v>30</v>
      </c>
      <c r="M526" s="2" t="s">
        <v>31</v>
      </c>
      <c r="N526" s="2" t="s">
        <v>32</v>
      </c>
      <c r="O526" s="2" t="s">
        <v>2711</v>
      </c>
      <c r="P526" s="2" t="s">
        <v>34</v>
      </c>
      <c r="Q526" t="s">
        <v>2712</v>
      </c>
      <c r="R526" s="2" t="s">
        <v>2713</v>
      </c>
      <c r="T526" s="2" t="s">
        <v>60</v>
      </c>
    </row>
    <row r="527" spans="1:23" x14ac:dyDescent="0.25">
      <c r="A527" t="s">
        <v>2714</v>
      </c>
      <c r="B527" s="4">
        <f t="shared" si="8"/>
        <v>73515</v>
      </c>
      <c r="C527" t="s">
        <v>2715</v>
      </c>
      <c r="D527" t="s">
        <v>365</v>
      </c>
      <c r="E527" t="s">
        <v>2577</v>
      </c>
      <c r="F527" t="s">
        <v>187</v>
      </c>
      <c r="G527" t="s">
        <v>352</v>
      </c>
      <c r="H527" s="2" t="s">
        <v>27</v>
      </c>
      <c r="I527" t="s">
        <v>379</v>
      </c>
      <c r="J527" s="2" t="s">
        <v>2716</v>
      </c>
      <c r="L527" s="2" t="s">
        <v>30</v>
      </c>
      <c r="M527" s="2" t="s">
        <v>31</v>
      </c>
      <c r="N527" s="2" t="s">
        <v>32</v>
      </c>
      <c r="O527" s="2" t="s">
        <v>1204</v>
      </c>
      <c r="P527" s="2" t="s">
        <v>34</v>
      </c>
      <c r="Q527" t="s">
        <v>2717</v>
      </c>
      <c r="R527" s="2" t="s">
        <v>206</v>
      </c>
      <c r="S527" s="2" t="s">
        <v>2718</v>
      </c>
      <c r="T527" s="2" t="s">
        <v>60</v>
      </c>
    </row>
    <row r="528" spans="1:23" x14ac:dyDescent="0.25">
      <c r="A528" t="s">
        <v>2719</v>
      </c>
      <c r="B528" s="4">
        <f t="shared" si="8"/>
        <v>73517</v>
      </c>
      <c r="C528" t="s">
        <v>2720</v>
      </c>
      <c r="D528" t="s">
        <v>365</v>
      </c>
      <c r="E528" t="s">
        <v>1069</v>
      </c>
      <c r="F528" t="s">
        <v>187</v>
      </c>
      <c r="G528" t="s">
        <v>352</v>
      </c>
      <c r="H528" s="2" t="s">
        <v>27</v>
      </c>
      <c r="I528" t="s">
        <v>379</v>
      </c>
      <c r="J528" s="2" t="s">
        <v>2721</v>
      </c>
      <c r="L528" s="2" t="s">
        <v>30</v>
      </c>
      <c r="M528" s="2" t="s">
        <v>31</v>
      </c>
      <c r="N528" s="2" t="s">
        <v>32</v>
      </c>
      <c r="O528" s="2" t="s">
        <v>1204</v>
      </c>
      <c r="P528" s="2" t="s">
        <v>34</v>
      </c>
      <c r="Q528" t="s">
        <v>2722</v>
      </c>
      <c r="R528" s="2" t="s">
        <v>206</v>
      </c>
      <c r="S528" s="2" t="s">
        <v>2723</v>
      </c>
      <c r="T528" s="2" t="s">
        <v>60</v>
      </c>
    </row>
    <row r="529" spans="1:23" x14ac:dyDescent="0.25">
      <c r="A529" t="s">
        <v>2724</v>
      </c>
      <c r="B529" s="4">
        <f t="shared" si="8"/>
        <v>73519</v>
      </c>
      <c r="C529" t="s">
        <v>2725</v>
      </c>
      <c r="D529" t="s">
        <v>365</v>
      </c>
      <c r="E529" t="s">
        <v>1069</v>
      </c>
      <c r="F529" t="s">
        <v>187</v>
      </c>
      <c r="G529" t="s">
        <v>352</v>
      </c>
      <c r="H529" s="2" t="s">
        <v>27</v>
      </c>
      <c r="I529" t="s">
        <v>379</v>
      </c>
      <c r="J529" s="2" t="s">
        <v>2726</v>
      </c>
      <c r="L529" s="2" t="s">
        <v>30</v>
      </c>
      <c r="M529" s="2" t="s">
        <v>31</v>
      </c>
      <c r="N529" s="2" t="s">
        <v>32</v>
      </c>
      <c r="O529" s="2" t="s">
        <v>1204</v>
      </c>
      <c r="P529" s="2" t="s">
        <v>34</v>
      </c>
      <c r="Q529" t="s">
        <v>1477</v>
      </c>
      <c r="R529" s="2" t="s">
        <v>206</v>
      </c>
      <c r="S529" s="2" t="s">
        <v>1478</v>
      </c>
      <c r="T529" s="2" t="s">
        <v>60</v>
      </c>
    </row>
    <row r="530" spans="1:23" x14ac:dyDescent="0.25">
      <c r="A530" t="s">
        <v>2727</v>
      </c>
      <c r="B530" s="4">
        <f t="shared" si="8"/>
        <v>73521</v>
      </c>
      <c r="C530" t="s">
        <v>2728</v>
      </c>
      <c r="D530" t="s">
        <v>365</v>
      </c>
      <c r="E530" t="s">
        <v>2577</v>
      </c>
      <c r="F530" t="s">
        <v>187</v>
      </c>
      <c r="G530" t="s">
        <v>352</v>
      </c>
      <c r="H530" s="2" t="s">
        <v>373</v>
      </c>
      <c r="I530" t="s">
        <v>379</v>
      </c>
      <c r="K530" s="2" t="s">
        <v>2729</v>
      </c>
      <c r="L530" s="2" t="s">
        <v>30</v>
      </c>
      <c r="M530" s="2" t="s">
        <v>31</v>
      </c>
      <c r="N530" s="2" t="s">
        <v>32</v>
      </c>
      <c r="O530" s="2" t="s">
        <v>2730</v>
      </c>
      <c r="P530" s="2" t="s">
        <v>34</v>
      </c>
      <c r="Q530" t="s">
        <v>2717</v>
      </c>
      <c r="R530" s="2" t="s">
        <v>206</v>
      </c>
      <c r="S530" s="2" t="s">
        <v>2718</v>
      </c>
      <c r="T530" s="2" t="s">
        <v>60</v>
      </c>
    </row>
    <row r="531" spans="1:23" x14ac:dyDescent="0.25">
      <c r="A531" t="s">
        <v>2731</v>
      </c>
      <c r="B531" s="4">
        <f t="shared" si="8"/>
        <v>73523</v>
      </c>
      <c r="C531" t="s">
        <v>2732</v>
      </c>
      <c r="D531" t="s">
        <v>185</v>
      </c>
      <c r="E531" t="s">
        <v>1416</v>
      </c>
      <c r="F531" t="s">
        <v>187</v>
      </c>
      <c r="G531" t="s">
        <v>352</v>
      </c>
      <c r="H531" s="2" t="s">
        <v>373</v>
      </c>
      <c r="I531" t="s">
        <v>28</v>
      </c>
      <c r="K531" s="2" t="s">
        <v>2357</v>
      </c>
      <c r="L531" s="2" t="s">
        <v>30</v>
      </c>
      <c r="M531" s="2" t="s">
        <v>31</v>
      </c>
      <c r="N531" s="2" t="s">
        <v>32</v>
      </c>
      <c r="O531" s="2" t="s">
        <v>2733</v>
      </c>
      <c r="P531" s="2" t="s">
        <v>34</v>
      </c>
      <c r="Q531" t="s">
        <v>2734</v>
      </c>
      <c r="R531" s="2" t="s">
        <v>206</v>
      </c>
      <c r="S531" s="2" t="s">
        <v>2735</v>
      </c>
      <c r="T531" s="2" t="s">
        <v>60</v>
      </c>
    </row>
    <row r="532" spans="1:23" x14ac:dyDescent="0.25">
      <c r="A532" t="s">
        <v>2736</v>
      </c>
      <c r="B532" s="4">
        <f t="shared" si="8"/>
        <v>73526</v>
      </c>
      <c r="C532" t="s">
        <v>2737</v>
      </c>
      <c r="D532" t="s">
        <v>149</v>
      </c>
      <c r="E532" t="s">
        <v>133</v>
      </c>
      <c r="F532">
        <v>3</v>
      </c>
      <c r="G532" t="s">
        <v>26</v>
      </c>
      <c r="H532" s="2" t="s">
        <v>27</v>
      </c>
      <c r="I532" t="s">
        <v>55</v>
      </c>
      <c r="J532" s="2" t="s">
        <v>2738</v>
      </c>
      <c r="L532" s="2" t="s">
        <v>30</v>
      </c>
      <c r="M532" s="2" t="s">
        <v>31</v>
      </c>
      <c r="N532" s="2" t="s">
        <v>32</v>
      </c>
      <c r="O532" s="2" t="s">
        <v>152</v>
      </c>
      <c r="P532" s="2" t="s">
        <v>34</v>
      </c>
      <c r="Q532" t="s">
        <v>2739</v>
      </c>
      <c r="R532" s="2" t="s">
        <v>2740</v>
      </c>
      <c r="T532" s="2" t="s">
        <v>60</v>
      </c>
    </row>
    <row r="533" spans="1:23" x14ac:dyDescent="0.25">
      <c r="A533" t="s">
        <v>2741</v>
      </c>
      <c r="B533" s="4">
        <f t="shared" si="8"/>
        <v>73538</v>
      </c>
      <c r="C533" t="s">
        <v>2742</v>
      </c>
      <c r="D533" t="s">
        <v>365</v>
      </c>
      <c r="E533" t="s">
        <v>1805</v>
      </c>
      <c r="F533" t="s">
        <v>367</v>
      </c>
      <c r="G533" t="s">
        <v>26</v>
      </c>
      <c r="H533" s="2" t="s">
        <v>373</v>
      </c>
      <c r="I533" t="s">
        <v>368</v>
      </c>
      <c r="K533" s="2" t="s">
        <v>2666</v>
      </c>
      <c r="L533" s="2" t="s">
        <v>30</v>
      </c>
      <c r="M533" s="2" t="s">
        <v>31</v>
      </c>
      <c r="N533" s="2" t="s">
        <v>32</v>
      </c>
      <c r="O533" s="2" t="s">
        <v>2743</v>
      </c>
      <c r="P533" s="2" t="s">
        <v>34</v>
      </c>
      <c r="Q533" t="s">
        <v>2668</v>
      </c>
      <c r="R533" s="2" t="s">
        <v>2669</v>
      </c>
      <c r="T533" s="2" t="s">
        <v>60</v>
      </c>
    </row>
    <row r="534" spans="1:23" x14ac:dyDescent="0.25">
      <c r="A534" t="s">
        <v>2744</v>
      </c>
      <c r="B534" s="4">
        <f t="shared" si="8"/>
        <v>73539</v>
      </c>
      <c r="C534" t="s">
        <v>2745</v>
      </c>
      <c r="D534" t="s">
        <v>365</v>
      </c>
      <c r="E534" t="s">
        <v>366</v>
      </c>
      <c r="F534" t="s">
        <v>367</v>
      </c>
      <c r="G534" t="s">
        <v>26</v>
      </c>
      <c r="H534" s="2" t="s">
        <v>27</v>
      </c>
      <c r="I534" t="s">
        <v>28</v>
      </c>
      <c r="J534" s="2" t="s">
        <v>2746</v>
      </c>
      <c r="L534" s="2" t="s">
        <v>30</v>
      </c>
      <c r="M534" s="2" t="s">
        <v>31</v>
      </c>
      <c r="N534" s="2" t="s">
        <v>32</v>
      </c>
      <c r="O534" s="2" t="s">
        <v>1204</v>
      </c>
      <c r="P534" s="2" t="s">
        <v>34</v>
      </c>
      <c r="Q534" t="s">
        <v>1742</v>
      </c>
      <c r="R534" s="2" t="s">
        <v>206</v>
      </c>
      <c r="S534" s="2" t="s">
        <v>1743</v>
      </c>
      <c r="T534" s="2" t="s">
        <v>60</v>
      </c>
    </row>
    <row r="535" spans="1:23" x14ac:dyDescent="0.25">
      <c r="A535" t="s">
        <v>2747</v>
      </c>
      <c r="B535" s="4">
        <f t="shared" si="8"/>
        <v>73542</v>
      </c>
      <c r="C535" t="s">
        <v>2748</v>
      </c>
      <c r="D535" t="s">
        <v>42</v>
      </c>
      <c r="E535" t="s">
        <v>433</v>
      </c>
      <c r="F535">
        <v>3</v>
      </c>
      <c r="G535" t="s">
        <v>352</v>
      </c>
      <c r="H535" s="2" t="s">
        <v>27</v>
      </c>
      <c r="I535" t="s">
        <v>379</v>
      </c>
      <c r="J535" s="2" t="s">
        <v>2749</v>
      </c>
      <c r="L535" s="2" t="s">
        <v>30</v>
      </c>
      <c r="M535" s="2" t="s">
        <v>31</v>
      </c>
      <c r="N535" s="2" t="s">
        <v>32</v>
      </c>
      <c r="O535" s="2" t="s">
        <v>2750</v>
      </c>
      <c r="P535" s="2" t="s">
        <v>34</v>
      </c>
      <c r="Q535" t="s">
        <v>2751</v>
      </c>
      <c r="R535" s="2" t="s">
        <v>206</v>
      </c>
      <c r="S535" s="2" t="s">
        <v>2752</v>
      </c>
      <c r="T535" s="2" t="s">
        <v>60</v>
      </c>
    </row>
    <row r="536" spans="1:23" x14ac:dyDescent="0.25">
      <c r="A536" t="s">
        <v>2753</v>
      </c>
      <c r="B536" s="4">
        <f t="shared" si="8"/>
        <v>73543</v>
      </c>
      <c r="C536" t="s">
        <v>2754</v>
      </c>
      <c r="D536" t="s">
        <v>42</v>
      </c>
      <c r="E536" t="s">
        <v>598</v>
      </c>
      <c r="F536">
        <v>3</v>
      </c>
      <c r="G536" t="s">
        <v>352</v>
      </c>
      <c r="H536" s="2" t="s">
        <v>27</v>
      </c>
      <c r="I536" t="s">
        <v>379</v>
      </c>
      <c r="J536" s="2" t="s">
        <v>2755</v>
      </c>
      <c r="L536" s="2" t="s">
        <v>30</v>
      </c>
      <c r="M536" s="2" t="s">
        <v>31</v>
      </c>
      <c r="N536" s="2" t="s">
        <v>32</v>
      </c>
      <c r="O536" s="2" t="s">
        <v>2756</v>
      </c>
      <c r="P536" s="2" t="s">
        <v>34</v>
      </c>
      <c r="Q536" t="s">
        <v>2641</v>
      </c>
      <c r="R536" s="2" t="s">
        <v>206</v>
      </c>
      <c r="S536" s="2" t="s">
        <v>2642</v>
      </c>
      <c r="T536" s="2" t="s">
        <v>60</v>
      </c>
    </row>
    <row r="537" spans="1:23" x14ac:dyDescent="0.25">
      <c r="A537" t="s">
        <v>2757</v>
      </c>
      <c r="B537" s="4">
        <f t="shared" si="8"/>
        <v>73546</v>
      </c>
      <c r="C537" t="s">
        <v>2758</v>
      </c>
      <c r="D537" t="s">
        <v>365</v>
      </c>
      <c r="E537" t="s">
        <v>1190</v>
      </c>
      <c r="F537" t="s">
        <v>187</v>
      </c>
      <c r="G537" t="s">
        <v>352</v>
      </c>
      <c r="H537" s="2" t="s">
        <v>27</v>
      </c>
      <c r="I537" t="s">
        <v>379</v>
      </c>
      <c r="J537" s="2" t="s">
        <v>2759</v>
      </c>
      <c r="L537" s="2" t="s">
        <v>30</v>
      </c>
      <c r="M537" s="2" t="s">
        <v>31</v>
      </c>
      <c r="N537" s="2" t="s">
        <v>32</v>
      </c>
      <c r="O537" s="2" t="s">
        <v>2760</v>
      </c>
      <c r="P537" s="2" t="s">
        <v>34</v>
      </c>
      <c r="Q537" t="s">
        <v>2761</v>
      </c>
      <c r="R537" s="2" t="s">
        <v>2762</v>
      </c>
      <c r="T537" s="2" t="s">
        <v>60</v>
      </c>
    </row>
    <row r="538" spans="1:23" x14ac:dyDescent="0.25">
      <c r="A538" t="s">
        <v>2763</v>
      </c>
      <c r="B538" s="4">
        <f t="shared" si="8"/>
        <v>73549</v>
      </c>
      <c r="C538" t="s">
        <v>2764</v>
      </c>
      <c r="D538" t="s">
        <v>365</v>
      </c>
      <c r="E538" t="s">
        <v>1190</v>
      </c>
      <c r="F538" t="s">
        <v>187</v>
      </c>
      <c r="G538" t="s">
        <v>352</v>
      </c>
      <c r="H538" s="2" t="s">
        <v>27</v>
      </c>
      <c r="I538" t="s">
        <v>379</v>
      </c>
      <c r="J538" s="2" t="s">
        <v>2765</v>
      </c>
      <c r="L538" s="2" t="s">
        <v>30</v>
      </c>
      <c r="M538" s="2" t="s">
        <v>31</v>
      </c>
      <c r="N538" s="2" t="s">
        <v>32</v>
      </c>
      <c r="O538" s="2" t="s">
        <v>1204</v>
      </c>
      <c r="P538" s="2" t="s">
        <v>34</v>
      </c>
      <c r="Q538" t="s">
        <v>1477</v>
      </c>
      <c r="R538" s="2" t="s">
        <v>206</v>
      </c>
      <c r="S538" s="2" t="s">
        <v>1478</v>
      </c>
      <c r="T538" s="2" t="s">
        <v>60</v>
      </c>
    </row>
    <row r="539" spans="1:23" x14ac:dyDescent="0.25">
      <c r="A539" t="s">
        <v>2766</v>
      </c>
      <c r="B539" s="4">
        <f t="shared" si="8"/>
        <v>73556</v>
      </c>
      <c r="C539" t="s">
        <v>2767</v>
      </c>
      <c r="D539" t="s">
        <v>185</v>
      </c>
      <c r="E539" t="s">
        <v>679</v>
      </c>
      <c r="F539" t="s">
        <v>680</v>
      </c>
      <c r="G539" t="s">
        <v>352</v>
      </c>
      <c r="H539" s="2" t="s">
        <v>27</v>
      </c>
      <c r="I539" t="s">
        <v>28</v>
      </c>
      <c r="J539" s="2" t="s">
        <v>2768</v>
      </c>
      <c r="L539" s="2" t="s">
        <v>30</v>
      </c>
      <c r="M539" s="2" t="s">
        <v>31</v>
      </c>
      <c r="N539" s="2" t="s">
        <v>32</v>
      </c>
      <c r="O539" s="2" t="s">
        <v>2769</v>
      </c>
      <c r="P539" s="2" t="s">
        <v>34</v>
      </c>
      <c r="Q539" t="s">
        <v>2770</v>
      </c>
      <c r="R539" s="2" t="s">
        <v>2771</v>
      </c>
      <c r="T539" s="2" t="s">
        <v>34</v>
      </c>
      <c r="U539" s="2" t="s">
        <v>2772</v>
      </c>
      <c r="V539" s="2" t="s">
        <v>2773</v>
      </c>
      <c r="W539" t="s">
        <v>2774</v>
      </c>
    </row>
    <row r="540" spans="1:23" x14ac:dyDescent="0.25">
      <c r="A540" t="s">
        <v>2775</v>
      </c>
      <c r="B540" s="4">
        <f t="shared" si="8"/>
        <v>73560</v>
      </c>
      <c r="C540" t="s">
        <v>2776</v>
      </c>
      <c r="D540" t="s">
        <v>279</v>
      </c>
      <c r="E540" t="s">
        <v>557</v>
      </c>
      <c r="F540" t="s">
        <v>543</v>
      </c>
      <c r="G540" t="s">
        <v>352</v>
      </c>
      <c r="H540" s="2" t="s">
        <v>27</v>
      </c>
      <c r="I540" t="s">
        <v>28</v>
      </c>
      <c r="J540" s="2" t="s">
        <v>2777</v>
      </c>
      <c r="L540" s="2" t="s">
        <v>30</v>
      </c>
      <c r="M540" s="2" t="s">
        <v>31</v>
      </c>
      <c r="N540" s="2" t="s">
        <v>32</v>
      </c>
      <c r="O540" s="2" t="s">
        <v>1204</v>
      </c>
      <c r="P540" s="2" t="s">
        <v>34</v>
      </c>
      <c r="Q540" t="s">
        <v>407</v>
      </c>
      <c r="R540" s="2" t="s">
        <v>408</v>
      </c>
      <c r="T540" s="2" t="s">
        <v>34</v>
      </c>
      <c r="U540" s="2" t="s">
        <v>409</v>
      </c>
      <c r="V540" s="2" t="s">
        <v>2778</v>
      </c>
      <c r="W540" t="s">
        <v>2779</v>
      </c>
    </row>
    <row r="541" spans="1:23" x14ac:dyDescent="0.25">
      <c r="A541" t="s">
        <v>2780</v>
      </c>
      <c r="B541" s="4">
        <f t="shared" si="8"/>
        <v>73561</v>
      </c>
      <c r="C541" t="s">
        <v>2781</v>
      </c>
      <c r="D541" t="s">
        <v>103</v>
      </c>
      <c r="E541" t="s">
        <v>104</v>
      </c>
      <c r="F541">
        <v>1</v>
      </c>
      <c r="G541" t="s">
        <v>352</v>
      </c>
      <c r="H541" s="2" t="s">
        <v>27</v>
      </c>
      <c r="I541" t="s">
        <v>379</v>
      </c>
      <c r="J541" s="2" t="s">
        <v>2782</v>
      </c>
      <c r="L541" s="2" t="s">
        <v>30</v>
      </c>
      <c r="M541" s="2" t="s">
        <v>31</v>
      </c>
      <c r="N541" s="2" t="s">
        <v>32</v>
      </c>
      <c r="O541" s="2" t="s">
        <v>2783</v>
      </c>
      <c r="P541" s="2" t="s">
        <v>34</v>
      </c>
      <c r="Q541" t="s">
        <v>2784</v>
      </c>
      <c r="R541" s="2" t="s">
        <v>206</v>
      </c>
      <c r="S541" s="2" t="s">
        <v>2785</v>
      </c>
      <c r="T541" s="2" t="s">
        <v>60</v>
      </c>
    </row>
    <row r="542" spans="1:23" x14ac:dyDescent="0.25">
      <c r="A542" t="s">
        <v>2786</v>
      </c>
      <c r="B542" s="4">
        <f t="shared" si="8"/>
        <v>73564</v>
      </c>
      <c r="C542" t="s">
        <v>2787</v>
      </c>
      <c r="D542" t="s">
        <v>365</v>
      </c>
      <c r="E542" t="s">
        <v>1069</v>
      </c>
      <c r="F542" t="s">
        <v>187</v>
      </c>
      <c r="G542" t="s">
        <v>352</v>
      </c>
      <c r="H542" s="2" t="s">
        <v>27</v>
      </c>
      <c r="I542" t="s">
        <v>379</v>
      </c>
      <c r="J542" s="2" t="s">
        <v>2788</v>
      </c>
      <c r="L542" s="2" t="s">
        <v>30</v>
      </c>
      <c r="M542" s="2" t="s">
        <v>31</v>
      </c>
      <c r="N542" s="2" t="s">
        <v>32</v>
      </c>
      <c r="O542" s="2" t="s">
        <v>1204</v>
      </c>
      <c r="P542" s="2" t="s">
        <v>34</v>
      </c>
      <c r="Q542" t="s">
        <v>2460</v>
      </c>
      <c r="R542" s="2" t="s">
        <v>206</v>
      </c>
      <c r="S542" s="2" t="s">
        <v>2461</v>
      </c>
      <c r="T542" s="2" t="s">
        <v>60</v>
      </c>
    </row>
    <row r="543" spans="1:23" x14ac:dyDescent="0.25">
      <c r="A543" t="s">
        <v>2789</v>
      </c>
      <c r="B543" s="4">
        <f t="shared" si="8"/>
        <v>73568</v>
      </c>
      <c r="C543" t="s">
        <v>2790</v>
      </c>
      <c r="D543" t="s">
        <v>185</v>
      </c>
      <c r="E543" t="s">
        <v>2791</v>
      </c>
      <c r="F543" t="s">
        <v>680</v>
      </c>
      <c r="G543" t="s">
        <v>352</v>
      </c>
      <c r="H543" s="2" t="s">
        <v>27</v>
      </c>
      <c r="I543" t="s">
        <v>2792</v>
      </c>
      <c r="J543" s="2" t="s">
        <v>2793</v>
      </c>
      <c r="L543" s="2" t="s">
        <v>30</v>
      </c>
      <c r="M543" s="2" t="s">
        <v>31</v>
      </c>
      <c r="N543" s="2" t="s">
        <v>32</v>
      </c>
      <c r="O543" s="2" t="s">
        <v>2769</v>
      </c>
      <c r="P543" s="2" t="s">
        <v>34</v>
      </c>
      <c r="Q543" t="s">
        <v>2794</v>
      </c>
      <c r="R543" s="2" t="s">
        <v>206</v>
      </c>
      <c r="S543" s="2" t="s">
        <v>2795</v>
      </c>
      <c r="T543" s="2" t="s">
        <v>34</v>
      </c>
      <c r="U543" s="2" t="s">
        <v>2796</v>
      </c>
      <c r="V543" s="2" t="s">
        <v>2797</v>
      </c>
      <c r="W543" t="s">
        <v>2798</v>
      </c>
    </row>
    <row r="544" spans="1:23" x14ac:dyDescent="0.25">
      <c r="A544" t="s">
        <v>2799</v>
      </c>
      <c r="B544" s="4">
        <f t="shared" si="8"/>
        <v>73569</v>
      </c>
      <c r="C544" t="s">
        <v>2800</v>
      </c>
      <c r="D544" t="s">
        <v>279</v>
      </c>
      <c r="E544" t="s">
        <v>557</v>
      </c>
      <c r="F544" t="s">
        <v>543</v>
      </c>
      <c r="G544" t="s">
        <v>352</v>
      </c>
      <c r="H544" s="2" t="s">
        <v>27</v>
      </c>
      <c r="I544" t="s">
        <v>28</v>
      </c>
      <c r="J544" s="2" t="s">
        <v>2801</v>
      </c>
      <c r="L544" s="2" t="s">
        <v>30</v>
      </c>
      <c r="M544" s="2" t="s">
        <v>31</v>
      </c>
      <c r="N544" s="2" t="s">
        <v>32</v>
      </c>
      <c r="O544" s="2" t="s">
        <v>2769</v>
      </c>
      <c r="P544" s="2" t="s">
        <v>34</v>
      </c>
      <c r="Q544" t="s">
        <v>2802</v>
      </c>
      <c r="R544" s="2" t="s">
        <v>2803</v>
      </c>
      <c r="T544" s="2" t="s">
        <v>34</v>
      </c>
      <c r="U544" s="2" t="s">
        <v>2804</v>
      </c>
      <c r="V544" s="2" t="s">
        <v>2805</v>
      </c>
      <c r="W544" t="s">
        <v>2806</v>
      </c>
    </row>
    <row r="545" spans="1:23" x14ac:dyDescent="0.25">
      <c r="A545" t="s">
        <v>2807</v>
      </c>
      <c r="B545" s="4">
        <f t="shared" si="8"/>
        <v>73570</v>
      </c>
      <c r="C545" t="s">
        <v>2808</v>
      </c>
      <c r="D545" t="s">
        <v>365</v>
      </c>
      <c r="E545" t="s">
        <v>2577</v>
      </c>
      <c r="F545" t="s">
        <v>187</v>
      </c>
      <c r="G545" t="s">
        <v>26</v>
      </c>
      <c r="H545" s="2" t="s">
        <v>373</v>
      </c>
      <c r="I545" t="s">
        <v>368</v>
      </c>
      <c r="K545" s="2" t="s">
        <v>2809</v>
      </c>
      <c r="L545" s="2" t="s">
        <v>30</v>
      </c>
      <c r="M545" s="2" t="s">
        <v>31</v>
      </c>
      <c r="N545" s="2" t="s">
        <v>32</v>
      </c>
      <c r="O545" s="2" t="s">
        <v>2578</v>
      </c>
      <c r="P545" s="2" t="s">
        <v>34</v>
      </c>
      <c r="Q545" t="s">
        <v>2810</v>
      </c>
      <c r="R545" s="2" t="s">
        <v>2811</v>
      </c>
      <c r="T545" s="2" t="s">
        <v>60</v>
      </c>
    </row>
    <row r="546" spans="1:23" x14ac:dyDescent="0.25">
      <c r="A546" t="s">
        <v>2812</v>
      </c>
      <c r="B546" s="4">
        <f t="shared" si="8"/>
        <v>73571</v>
      </c>
      <c r="C546" t="s">
        <v>2808</v>
      </c>
      <c r="D546" t="s">
        <v>365</v>
      </c>
      <c r="E546" t="s">
        <v>2577</v>
      </c>
      <c r="F546" t="s">
        <v>187</v>
      </c>
      <c r="G546" t="s">
        <v>352</v>
      </c>
      <c r="H546" s="2" t="s">
        <v>373</v>
      </c>
      <c r="I546" t="s">
        <v>379</v>
      </c>
      <c r="K546" s="2" t="s">
        <v>2809</v>
      </c>
      <c r="L546" s="2" t="s">
        <v>30</v>
      </c>
      <c r="M546" s="2" t="s">
        <v>31</v>
      </c>
      <c r="N546" s="2" t="s">
        <v>32</v>
      </c>
      <c r="O546" s="2" t="s">
        <v>2730</v>
      </c>
      <c r="P546" s="2" t="s">
        <v>34</v>
      </c>
      <c r="Q546" t="s">
        <v>2810</v>
      </c>
      <c r="R546" s="2" t="s">
        <v>2811</v>
      </c>
      <c r="T546" s="2" t="s">
        <v>60</v>
      </c>
    </row>
    <row r="547" spans="1:23" x14ac:dyDescent="0.25">
      <c r="A547" t="s">
        <v>2813</v>
      </c>
      <c r="B547" s="4">
        <f t="shared" si="8"/>
        <v>73573</v>
      </c>
      <c r="C547" t="s">
        <v>2814</v>
      </c>
      <c r="D547" t="s">
        <v>279</v>
      </c>
      <c r="E547" t="s">
        <v>335</v>
      </c>
      <c r="F547">
        <v>1</v>
      </c>
      <c r="G547" t="s">
        <v>352</v>
      </c>
      <c r="H547" s="2" t="s">
        <v>27</v>
      </c>
      <c r="I547" t="s">
        <v>379</v>
      </c>
      <c r="J547" s="2" t="s">
        <v>2815</v>
      </c>
      <c r="L547" s="2" t="s">
        <v>30</v>
      </c>
      <c r="M547" s="2" t="s">
        <v>31</v>
      </c>
      <c r="N547" s="2" t="s">
        <v>32</v>
      </c>
      <c r="O547" s="2" t="s">
        <v>2769</v>
      </c>
      <c r="P547" s="2" t="s">
        <v>34</v>
      </c>
      <c r="Q547" t="s">
        <v>1279</v>
      </c>
      <c r="R547" s="2" t="s">
        <v>206</v>
      </c>
      <c r="S547" s="2" t="s">
        <v>1280</v>
      </c>
      <c r="T547" s="2" t="s">
        <v>60</v>
      </c>
    </row>
    <row r="548" spans="1:23" x14ac:dyDescent="0.25">
      <c r="A548" t="s">
        <v>2816</v>
      </c>
      <c r="B548" s="4">
        <f t="shared" si="8"/>
        <v>73575</v>
      </c>
      <c r="C548" t="s">
        <v>2817</v>
      </c>
      <c r="D548" t="s">
        <v>365</v>
      </c>
      <c r="E548" t="s">
        <v>1412</v>
      </c>
      <c r="F548" t="s">
        <v>367</v>
      </c>
      <c r="G548" t="s">
        <v>352</v>
      </c>
      <c r="H548" s="2" t="s">
        <v>373</v>
      </c>
      <c r="I548" t="s">
        <v>379</v>
      </c>
      <c r="K548" s="2" t="s">
        <v>1307</v>
      </c>
      <c r="L548" s="2" t="s">
        <v>30</v>
      </c>
      <c r="M548" s="2" t="s">
        <v>31</v>
      </c>
      <c r="N548" s="2" t="s">
        <v>32</v>
      </c>
      <c r="O548" s="2" t="s">
        <v>2818</v>
      </c>
      <c r="P548" s="2" t="s">
        <v>34</v>
      </c>
      <c r="Q548" t="s">
        <v>2079</v>
      </c>
      <c r="R548" s="2" t="s">
        <v>206</v>
      </c>
      <c r="S548" s="2" t="s">
        <v>2080</v>
      </c>
      <c r="T548" s="2" t="s">
        <v>60</v>
      </c>
    </row>
    <row r="549" spans="1:23" x14ac:dyDescent="0.25">
      <c r="A549" t="s">
        <v>2819</v>
      </c>
      <c r="B549" s="4">
        <f t="shared" si="8"/>
        <v>73576</v>
      </c>
      <c r="C549" t="s">
        <v>2820</v>
      </c>
      <c r="D549" t="s">
        <v>279</v>
      </c>
      <c r="E549" t="s">
        <v>405</v>
      </c>
      <c r="F549">
        <v>1</v>
      </c>
      <c r="G549" t="s">
        <v>352</v>
      </c>
      <c r="H549" s="2" t="s">
        <v>27</v>
      </c>
      <c r="I549" t="s">
        <v>28</v>
      </c>
      <c r="J549" s="2" t="s">
        <v>2821</v>
      </c>
      <c r="L549" s="2" t="s">
        <v>30</v>
      </c>
      <c r="M549" s="2" t="s">
        <v>31</v>
      </c>
      <c r="N549" s="2" t="s">
        <v>32</v>
      </c>
      <c r="O549" s="2" t="s">
        <v>2769</v>
      </c>
      <c r="P549" s="2" t="s">
        <v>34</v>
      </c>
      <c r="Q549" t="s">
        <v>190</v>
      </c>
      <c r="R549" s="2" t="s">
        <v>191</v>
      </c>
      <c r="T549" s="2" t="s">
        <v>34</v>
      </c>
      <c r="U549" s="2" t="s">
        <v>192</v>
      </c>
      <c r="V549" s="2" t="s">
        <v>2822</v>
      </c>
      <c r="W549" t="s">
        <v>2823</v>
      </c>
    </row>
    <row r="550" spans="1:23" x14ac:dyDescent="0.25">
      <c r="A550" t="s">
        <v>2824</v>
      </c>
      <c r="B550" s="4">
        <f t="shared" si="8"/>
        <v>73577</v>
      </c>
      <c r="C550" t="s">
        <v>2825</v>
      </c>
      <c r="D550" t="s">
        <v>320</v>
      </c>
      <c r="E550" t="s">
        <v>238</v>
      </c>
      <c r="F550">
        <v>1</v>
      </c>
      <c r="G550" t="s">
        <v>352</v>
      </c>
      <c r="H550" s="2" t="s">
        <v>27</v>
      </c>
      <c r="I550" t="s">
        <v>28</v>
      </c>
      <c r="J550" s="2" t="s">
        <v>2826</v>
      </c>
      <c r="L550" s="2" t="s">
        <v>30</v>
      </c>
      <c r="M550" s="2" t="s">
        <v>31</v>
      </c>
      <c r="N550" s="2" t="s">
        <v>32</v>
      </c>
      <c r="O550" s="2" t="s">
        <v>2827</v>
      </c>
      <c r="P550" s="2" t="s">
        <v>34</v>
      </c>
      <c r="Q550" t="s">
        <v>190</v>
      </c>
      <c r="R550" s="2" t="s">
        <v>191</v>
      </c>
      <c r="T550" s="2" t="s">
        <v>34</v>
      </c>
      <c r="U550" s="2" t="s">
        <v>192</v>
      </c>
      <c r="V550" s="2" t="s">
        <v>2828</v>
      </c>
      <c r="W550" t="s">
        <v>2829</v>
      </c>
    </row>
    <row r="551" spans="1:23" x14ac:dyDescent="0.25">
      <c r="A551" t="s">
        <v>2830</v>
      </c>
      <c r="B551" s="4">
        <f t="shared" si="8"/>
        <v>73580</v>
      </c>
      <c r="C551" t="s">
        <v>2831</v>
      </c>
      <c r="D551" t="s">
        <v>24</v>
      </c>
      <c r="E551" t="s">
        <v>25</v>
      </c>
      <c r="F551">
        <v>2</v>
      </c>
      <c r="G551" t="s">
        <v>352</v>
      </c>
      <c r="H551" s="2" t="s">
        <v>27</v>
      </c>
      <c r="I551" t="s">
        <v>28</v>
      </c>
      <c r="J551" s="2" t="s">
        <v>2832</v>
      </c>
      <c r="L551" s="2" t="s">
        <v>30</v>
      </c>
      <c r="M551" s="2" t="s">
        <v>31</v>
      </c>
      <c r="N551" s="2" t="s">
        <v>32</v>
      </c>
      <c r="O551" s="2" t="s">
        <v>2833</v>
      </c>
      <c r="P551" s="2" t="s">
        <v>34</v>
      </c>
      <c r="Q551" t="s">
        <v>2834</v>
      </c>
      <c r="R551" s="2" t="s">
        <v>2835</v>
      </c>
      <c r="T551" s="2" t="s">
        <v>34</v>
      </c>
      <c r="U551" s="2" t="s">
        <v>2836</v>
      </c>
      <c r="V551" s="2" t="s">
        <v>2837</v>
      </c>
      <c r="W551" t="s">
        <v>2838</v>
      </c>
    </row>
    <row r="552" spans="1:23" x14ac:dyDescent="0.25">
      <c r="A552" t="s">
        <v>2839</v>
      </c>
      <c r="B552" s="4">
        <f t="shared" si="8"/>
        <v>73581</v>
      </c>
      <c r="C552" t="s">
        <v>2840</v>
      </c>
      <c r="D552" t="s">
        <v>24</v>
      </c>
      <c r="E552" t="s">
        <v>113</v>
      </c>
      <c r="F552">
        <v>2</v>
      </c>
      <c r="G552" t="s">
        <v>352</v>
      </c>
      <c r="H552" s="2" t="s">
        <v>27</v>
      </c>
      <c r="I552" t="s">
        <v>28</v>
      </c>
      <c r="J552" s="2" t="s">
        <v>2841</v>
      </c>
      <c r="L552" s="2" t="s">
        <v>30</v>
      </c>
      <c r="M552" s="2" t="s">
        <v>31</v>
      </c>
      <c r="N552" s="2" t="s">
        <v>32</v>
      </c>
      <c r="O552" s="2" t="s">
        <v>115</v>
      </c>
      <c r="P552" s="2" t="s">
        <v>34</v>
      </c>
      <c r="Q552" t="s">
        <v>2834</v>
      </c>
      <c r="R552" s="2" t="s">
        <v>2835</v>
      </c>
      <c r="T552" s="2" t="s">
        <v>34</v>
      </c>
      <c r="U552" s="2" t="s">
        <v>2836</v>
      </c>
      <c r="V552" s="2" t="s">
        <v>2842</v>
      </c>
      <c r="W552" t="s">
        <v>2843</v>
      </c>
    </row>
    <row r="553" spans="1:23" x14ac:dyDescent="0.25">
      <c r="A553" t="s">
        <v>2844</v>
      </c>
      <c r="B553" s="4">
        <f t="shared" si="8"/>
        <v>73582</v>
      </c>
      <c r="C553" t="s">
        <v>2845</v>
      </c>
      <c r="D553" t="s">
        <v>365</v>
      </c>
      <c r="E553" t="s">
        <v>1069</v>
      </c>
      <c r="F553" t="s">
        <v>187</v>
      </c>
      <c r="G553" t="s">
        <v>352</v>
      </c>
      <c r="H553" s="2" t="s">
        <v>27</v>
      </c>
      <c r="I553" t="s">
        <v>379</v>
      </c>
      <c r="J553" s="2" t="s">
        <v>2846</v>
      </c>
      <c r="L553" s="2" t="s">
        <v>30</v>
      </c>
      <c r="M553" s="2" t="s">
        <v>31</v>
      </c>
      <c r="N553" s="2" t="s">
        <v>32</v>
      </c>
      <c r="O553" s="2" t="s">
        <v>2769</v>
      </c>
      <c r="P553" s="2" t="s">
        <v>34</v>
      </c>
      <c r="Q553" t="s">
        <v>2651</v>
      </c>
      <c r="R553" s="2" t="s">
        <v>206</v>
      </c>
      <c r="S553" s="2" t="s">
        <v>2652</v>
      </c>
      <c r="T553" s="2" t="s">
        <v>60</v>
      </c>
    </row>
    <row r="554" spans="1:23" x14ac:dyDescent="0.25">
      <c r="A554" t="s">
        <v>2847</v>
      </c>
      <c r="B554" s="4">
        <f t="shared" si="8"/>
        <v>73590</v>
      </c>
      <c r="C554" t="s">
        <v>2848</v>
      </c>
      <c r="D554" t="s">
        <v>365</v>
      </c>
      <c r="E554" t="s">
        <v>2849</v>
      </c>
      <c r="F554" t="s">
        <v>367</v>
      </c>
      <c r="G554" t="s">
        <v>26</v>
      </c>
      <c r="H554" s="2" t="s">
        <v>27</v>
      </c>
      <c r="I554" t="s">
        <v>368</v>
      </c>
      <c r="J554" s="2" t="s">
        <v>2850</v>
      </c>
      <c r="L554" s="2" t="s">
        <v>30</v>
      </c>
      <c r="M554" s="2" t="s">
        <v>31</v>
      </c>
      <c r="N554" s="2" t="s">
        <v>32</v>
      </c>
      <c r="O554" s="2" t="s">
        <v>1204</v>
      </c>
      <c r="P554" s="2" t="s">
        <v>34</v>
      </c>
      <c r="Q554" t="s">
        <v>2380</v>
      </c>
      <c r="R554" s="2" t="s">
        <v>2381</v>
      </c>
      <c r="T554" s="2" t="s">
        <v>60</v>
      </c>
    </row>
    <row r="555" spans="1:23" x14ac:dyDescent="0.25">
      <c r="A555" t="s">
        <v>2851</v>
      </c>
      <c r="B555" s="4">
        <f t="shared" si="8"/>
        <v>73594</v>
      </c>
      <c r="C555" t="s">
        <v>2852</v>
      </c>
      <c r="D555" t="s">
        <v>1149</v>
      </c>
      <c r="E555" t="s">
        <v>1593</v>
      </c>
      <c r="F555" t="s">
        <v>543</v>
      </c>
      <c r="G555" t="s">
        <v>352</v>
      </c>
      <c r="H555" s="2" t="s">
        <v>373</v>
      </c>
      <c r="I555" t="s">
        <v>379</v>
      </c>
      <c r="K555" s="2" t="s">
        <v>1859</v>
      </c>
      <c r="L555" s="2" t="s">
        <v>30</v>
      </c>
      <c r="M555" s="2" t="s">
        <v>31</v>
      </c>
      <c r="N555" s="2" t="s">
        <v>32</v>
      </c>
      <c r="O555" s="2" t="s">
        <v>370</v>
      </c>
      <c r="P555" s="2" t="s">
        <v>34</v>
      </c>
      <c r="Q555" t="s">
        <v>2853</v>
      </c>
      <c r="R555" s="2" t="s">
        <v>2854</v>
      </c>
      <c r="T555" s="2" t="s">
        <v>60</v>
      </c>
    </row>
    <row r="556" spans="1:23" x14ac:dyDescent="0.25">
      <c r="A556" t="s">
        <v>2855</v>
      </c>
      <c r="B556" s="4">
        <f t="shared" si="8"/>
        <v>73597</v>
      </c>
      <c r="C556" t="s">
        <v>2856</v>
      </c>
      <c r="D556" t="s">
        <v>365</v>
      </c>
      <c r="E556" t="s">
        <v>1069</v>
      </c>
      <c r="F556" t="s">
        <v>187</v>
      </c>
      <c r="G556" t="s">
        <v>352</v>
      </c>
      <c r="H556" s="2" t="s">
        <v>27</v>
      </c>
      <c r="I556" t="s">
        <v>379</v>
      </c>
      <c r="J556" s="2" t="s">
        <v>2857</v>
      </c>
      <c r="L556" s="2" t="s">
        <v>30</v>
      </c>
      <c r="M556" s="2" t="s">
        <v>31</v>
      </c>
      <c r="N556" s="2" t="s">
        <v>32</v>
      </c>
      <c r="O556" s="2" t="s">
        <v>2769</v>
      </c>
      <c r="P556" s="2" t="s">
        <v>34</v>
      </c>
      <c r="Q556" t="s">
        <v>1477</v>
      </c>
      <c r="R556" s="2" t="s">
        <v>206</v>
      </c>
      <c r="S556" s="2" t="s">
        <v>1478</v>
      </c>
      <c r="T556" s="2" t="s">
        <v>60</v>
      </c>
    </row>
    <row r="557" spans="1:23" x14ac:dyDescent="0.25">
      <c r="A557" t="s">
        <v>2858</v>
      </c>
      <c r="B557" s="4">
        <f t="shared" si="8"/>
        <v>73600</v>
      </c>
      <c r="C557" t="s">
        <v>2859</v>
      </c>
      <c r="D557" t="s">
        <v>365</v>
      </c>
      <c r="E557" t="s">
        <v>1190</v>
      </c>
      <c r="F557" t="s">
        <v>187</v>
      </c>
      <c r="G557" t="s">
        <v>352</v>
      </c>
      <c r="H557" s="2" t="s">
        <v>27</v>
      </c>
      <c r="I557" t="s">
        <v>379</v>
      </c>
      <c r="J557" s="2" t="s">
        <v>2860</v>
      </c>
      <c r="L557" s="2" t="s">
        <v>30</v>
      </c>
      <c r="M557" s="2" t="s">
        <v>31</v>
      </c>
      <c r="N557" s="2" t="s">
        <v>32</v>
      </c>
      <c r="O557" s="2" t="s">
        <v>2769</v>
      </c>
      <c r="P557" s="2" t="s">
        <v>34</v>
      </c>
      <c r="Q557" t="s">
        <v>2861</v>
      </c>
      <c r="R557" s="2" t="s">
        <v>2862</v>
      </c>
      <c r="T557" s="2" t="s">
        <v>60</v>
      </c>
    </row>
    <row r="558" spans="1:23" x14ac:dyDescent="0.25">
      <c r="A558" t="s">
        <v>2863</v>
      </c>
      <c r="B558" s="4">
        <f t="shared" si="8"/>
        <v>73601</v>
      </c>
      <c r="C558" t="s">
        <v>2864</v>
      </c>
      <c r="D558" t="s">
        <v>185</v>
      </c>
      <c r="E558" t="s">
        <v>679</v>
      </c>
      <c r="F558" t="s">
        <v>680</v>
      </c>
      <c r="G558" t="s">
        <v>26</v>
      </c>
      <c r="H558" s="2" t="s">
        <v>27</v>
      </c>
      <c r="I558" t="s">
        <v>368</v>
      </c>
      <c r="J558" s="2" t="s">
        <v>2865</v>
      </c>
      <c r="L558" s="2" t="s">
        <v>30</v>
      </c>
      <c r="M558" s="2" t="s">
        <v>31</v>
      </c>
      <c r="N558" s="2" t="s">
        <v>32</v>
      </c>
      <c r="O558" s="2" t="s">
        <v>2769</v>
      </c>
      <c r="P558" s="2" t="s">
        <v>34</v>
      </c>
      <c r="Q558" t="s">
        <v>2866</v>
      </c>
      <c r="R558" s="2" t="s">
        <v>2867</v>
      </c>
      <c r="T558" s="2" t="s">
        <v>60</v>
      </c>
    </row>
    <row r="559" spans="1:23" x14ac:dyDescent="0.25">
      <c r="A559" t="s">
        <v>2868</v>
      </c>
      <c r="B559" s="4">
        <f t="shared" si="8"/>
        <v>73603</v>
      </c>
      <c r="C559" t="s">
        <v>2869</v>
      </c>
      <c r="D559" t="s">
        <v>365</v>
      </c>
      <c r="E559" t="s">
        <v>378</v>
      </c>
      <c r="F559" t="s">
        <v>187</v>
      </c>
      <c r="G559" t="s">
        <v>352</v>
      </c>
      <c r="H559" s="2" t="s">
        <v>373</v>
      </c>
      <c r="I559" t="s">
        <v>379</v>
      </c>
      <c r="K559" s="2" t="s">
        <v>727</v>
      </c>
      <c r="L559" s="2" t="s">
        <v>30</v>
      </c>
      <c r="M559" s="2" t="s">
        <v>31</v>
      </c>
      <c r="N559" s="2" t="s">
        <v>32</v>
      </c>
      <c r="O559" s="2" t="s">
        <v>2870</v>
      </c>
      <c r="P559" s="2" t="s">
        <v>34</v>
      </c>
      <c r="Q559" t="s">
        <v>1499</v>
      </c>
      <c r="R559" s="2" t="s">
        <v>206</v>
      </c>
      <c r="S559" s="2" t="s">
        <v>1500</v>
      </c>
      <c r="T559" s="2" t="s">
        <v>60</v>
      </c>
    </row>
    <row r="560" spans="1:23" x14ac:dyDescent="0.25">
      <c r="A560" t="s">
        <v>2871</v>
      </c>
      <c r="B560" s="4">
        <f t="shared" si="8"/>
        <v>73604</v>
      </c>
      <c r="C560" t="s">
        <v>2872</v>
      </c>
      <c r="D560" t="s">
        <v>365</v>
      </c>
      <c r="E560" t="s">
        <v>1396</v>
      </c>
      <c r="F560" t="s">
        <v>367</v>
      </c>
      <c r="G560" t="s">
        <v>352</v>
      </c>
      <c r="H560" s="2" t="s">
        <v>27</v>
      </c>
      <c r="I560" t="s">
        <v>379</v>
      </c>
      <c r="J560" s="2" t="s">
        <v>2873</v>
      </c>
      <c r="L560" s="2" t="s">
        <v>30</v>
      </c>
      <c r="M560" s="2" t="s">
        <v>31</v>
      </c>
      <c r="N560" s="2" t="s">
        <v>32</v>
      </c>
      <c r="O560" s="2" t="s">
        <v>2769</v>
      </c>
      <c r="P560" s="2" t="s">
        <v>34</v>
      </c>
      <c r="Q560" t="s">
        <v>2874</v>
      </c>
      <c r="R560" s="2" t="s">
        <v>206</v>
      </c>
      <c r="S560" s="2" t="s">
        <v>2875</v>
      </c>
      <c r="T560" s="2" t="s">
        <v>60</v>
      </c>
    </row>
    <row r="561" spans="1:23" x14ac:dyDescent="0.25">
      <c r="A561" t="s">
        <v>2876</v>
      </c>
      <c r="B561" s="4">
        <f t="shared" si="8"/>
        <v>73608</v>
      </c>
      <c r="C561" t="s">
        <v>2877</v>
      </c>
      <c r="D561" t="s">
        <v>365</v>
      </c>
      <c r="E561" t="s">
        <v>2878</v>
      </c>
      <c r="F561" t="s">
        <v>187</v>
      </c>
      <c r="G561" t="s">
        <v>352</v>
      </c>
      <c r="H561" s="2" t="s">
        <v>27</v>
      </c>
      <c r="I561" t="s">
        <v>379</v>
      </c>
      <c r="J561" s="2" t="s">
        <v>2879</v>
      </c>
      <c r="L561" s="2" t="s">
        <v>30</v>
      </c>
      <c r="M561" s="2" t="s">
        <v>31</v>
      </c>
      <c r="N561" s="2" t="s">
        <v>32</v>
      </c>
      <c r="O561" s="2" t="s">
        <v>2769</v>
      </c>
      <c r="P561" s="2" t="s">
        <v>34</v>
      </c>
      <c r="Q561" t="s">
        <v>2880</v>
      </c>
      <c r="R561" s="2" t="s">
        <v>206</v>
      </c>
      <c r="S561" s="2" t="s">
        <v>2881</v>
      </c>
      <c r="T561" s="2" t="s">
        <v>60</v>
      </c>
    </row>
    <row r="562" spans="1:23" x14ac:dyDescent="0.25">
      <c r="A562" t="s">
        <v>2882</v>
      </c>
      <c r="B562" s="4">
        <f t="shared" si="8"/>
        <v>73609</v>
      </c>
      <c r="C562" t="s">
        <v>2883</v>
      </c>
      <c r="D562" t="s">
        <v>42</v>
      </c>
      <c r="E562" t="s">
        <v>67</v>
      </c>
      <c r="F562">
        <v>2</v>
      </c>
      <c r="G562" t="s">
        <v>352</v>
      </c>
      <c r="H562" s="2" t="s">
        <v>27</v>
      </c>
      <c r="I562" t="s">
        <v>379</v>
      </c>
      <c r="J562" s="2" t="s">
        <v>2884</v>
      </c>
      <c r="L562" s="2" t="s">
        <v>30</v>
      </c>
      <c r="M562" s="2" t="s">
        <v>31</v>
      </c>
      <c r="N562" s="2" t="s">
        <v>32</v>
      </c>
      <c r="O562" s="2" t="s">
        <v>2604</v>
      </c>
      <c r="P562" s="2" t="s">
        <v>34</v>
      </c>
      <c r="Q562" t="s">
        <v>2605</v>
      </c>
      <c r="R562" s="2" t="s">
        <v>206</v>
      </c>
      <c r="S562" s="2" t="s">
        <v>2606</v>
      </c>
      <c r="T562" s="2" t="s">
        <v>60</v>
      </c>
    </row>
    <row r="563" spans="1:23" x14ac:dyDescent="0.25">
      <c r="A563" t="s">
        <v>2885</v>
      </c>
      <c r="B563" s="4">
        <f t="shared" si="8"/>
        <v>73610</v>
      </c>
      <c r="C563" t="s">
        <v>2886</v>
      </c>
      <c r="D563" t="s">
        <v>42</v>
      </c>
      <c r="E563" t="s">
        <v>67</v>
      </c>
      <c r="F563">
        <v>2</v>
      </c>
      <c r="G563" t="s">
        <v>352</v>
      </c>
      <c r="H563" s="2" t="s">
        <v>27</v>
      </c>
      <c r="I563" t="s">
        <v>379</v>
      </c>
      <c r="J563" s="2" t="s">
        <v>2887</v>
      </c>
      <c r="L563" s="2" t="s">
        <v>30</v>
      </c>
      <c r="M563" s="2" t="s">
        <v>31</v>
      </c>
      <c r="N563" s="2" t="s">
        <v>32</v>
      </c>
      <c r="O563" s="2" t="s">
        <v>2711</v>
      </c>
      <c r="P563" s="2" t="s">
        <v>34</v>
      </c>
      <c r="Q563" t="s">
        <v>2712</v>
      </c>
      <c r="R563" s="2" t="s">
        <v>2713</v>
      </c>
      <c r="T563" s="2" t="s">
        <v>60</v>
      </c>
    </row>
    <row r="564" spans="1:23" x14ac:dyDescent="0.25">
      <c r="A564" t="s">
        <v>2888</v>
      </c>
      <c r="B564" s="4">
        <f t="shared" si="8"/>
        <v>73612</v>
      </c>
      <c r="C564" t="s">
        <v>2889</v>
      </c>
      <c r="D564" t="s">
        <v>365</v>
      </c>
      <c r="E564" t="s">
        <v>378</v>
      </c>
      <c r="F564" t="s">
        <v>187</v>
      </c>
      <c r="G564" t="s">
        <v>352</v>
      </c>
      <c r="H564" s="2" t="s">
        <v>27</v>
      </c>
      <c r="I564" t="s">
        <v>379</v>
      </c>
      <c r="J564" s="2" t="s">
        <v>2890</v>
      </c>
      <c r="L564" s="2" t="s">
        <v>30</v>
      </c>
      <c r="M564" s="2" t="s">
        <v>31</v>
      </c>
      <c r="N564" s="2" t="s">
        <v>32</v>
      </c>
      <c r="O564" s="2" t="s">
        <v>2769</v>
      </c>
      <c r="P564" s="2" t="s">
        <v>34</v>
      </c>
      <c r="Q564" t="s">
        <v>2687</v>
      </c>
      <c r="R564" s="2" t="s">
        <v>2688</v>
      </c>
      <c r="T564" s="2" t="s">
        <v>60</v>
      </c>
    </row>
    <row r="565" spans="1:23" x14ac:dyDescent="0.25">
      <c r="A565" t="s">
        <v>2891</v>
      </c>
      <c r="B565" s="4">
        <f t="shared" si="8"/>
        <v>73613</v>
      </c>
      <c r="C565" t="s">
        <v>2892</v>
      </c>
      <c r="D565" t="s">
        <v>365</v>
      </c>
      <c r="E565" t="s">
        <v>1190</v>
      </c>
      <c r="F565" t="s">
        <v>187</v>
      </c>
      <c r="G565" t="s">
        <v>352</v>
      </c>
      <c r="H565" s="2" t="s">
        <v>27</v>
      </c>
      <c r="I565" t="s">
        <v>379</v>
      </c>
      <c r="J565" s="2" t="s">
        <v>2893</v>
      </c>
      <c r="L565" s="2" t="s">
        <v>30</v>
      </c>
      <c r="M565" s="2" t="s">
        <v>31</v>
      </c>
      <c r="N565" s="2" t="s">
        <v>32</v>
      </c>
      <c r="O565" s="2" t="s">
        <v>2769</v>
      </c>
      <c r="P565" s="2" t="s">
        <v>34</v>
      </c>
      <c r="Q565" t="s">
        <v>2687</v>
      </c>
      <c r="R565" s="2" t="s">
        <v>2688</v>
      </c>
      <c r="T565" s="2" t="s">
        <v>60</v>
      </c>
    </row>
    <row r="566" spans="1:23" x14ac:dyDescent="0.25">
      <c r="A566" t="s">
        <v>2894</v>
      </c>
      <c r="B566" s="4">
        <f t="shared" si="8"/>
        <v>73617</v>
      </c>
      <c r="C566" t="s">
        <v>2895</v>
      </c>
      <c r="D566" t="s">
        <v>365</v>
      </c>
      <c r="E566" t="s">
        <v>2351</v>
      </c>
      <c r="F566" t="s">
        <v>367</v>
      </c>
      <c r="G566" t="s">
        <v>26</v>
      </c>
      <c r="H566" s="2" t="s">
        <v>27</v>
      </c>
      <c r="I566" t="s">
        <v>55</v>
      </c>
      <c r="J566" s="2" t="s">
        <v>2896</v>
      </c>
      <c r="L566" s="2" t="s">
        <v>30</v>
      </c>
      <c r="M566" s="2" t="s">
        <v>31</v>
      </c>
      <c r="N566" s="2" t="s">
        <v>32</v>
      </c>
      <c r="O566" s="2" t="s">
        <v>2769</v>
      </c>
      <c r="P566" s="2" t="s">
        <v>34</v>
      </c>
      <c r="Q566" t="s">
        <v>1573</v>
      </c>
      <c r="R566" s="2" t="s">
        <v>1574</v>
      </c>
      <c r="T566" s="2" t="s">
        <v>34</v>
      </c>
      <c r="U566" s="2" t="s">
        <v>1575</v>
      </c>
      <c r="V566" s="2" t="s">
        <v>2897</v>
      </c>
      <c r="W566" t="s">
        <v>2898</v>
      </c>
    </row>
    <row r="567" spans="1:23" x14ac:dyDescent="0.25">
      <c r="A567" t="s">
        <v>2899</v>
      </c>
      <c r="B567" s="4">
        <f t="shared" si="8"/>
        <v>73618</v>
      </c>
      <c r="C567" t="s">
        <v>2900</v>
      </c>
      <c r="D567" t="s">
        <v>365</v>
      </c>
      <c r="E567" t="s">
        <v>1571</v>
      </c>
      <c r="F567" t="s">
        <v>367</v>
      </c>
      <c r="G567" t="s">
        <v>26</v>
      </c>
      <c r="H567" s="2" t="s">
        <v>27</v>
      </c>
      <c r="I567" t="s">
        <v>368</v>
      </c>
      <c r="J567" s="2" t="s">
        <v>2901</v>
      </c>
      <c r="L567" s="2" t="s">
        <v>30</v>
      </c>
      <c r="M567" s="2" t="s">
        <v>31</v>
      </c>
      <c r="N567" s="2" t="s">
        <v>32</v>
      </c>
      <c r="O567" s="2" t="s">
        <v>2769</v>
      </c>
      <c r="P567" s="2" t="s">
        <v>34</v>
      </c>
      <c r="Q567" t="s">
        <v>1573</v>
      </c>
      <c r="R567" s="2" t="s">
        <v>1574</v>
      </c>
      <c r="T567" s="2" t="s">
        <v>34</v>
      </c>
      <c r="U567" s="2" t="s">
        <v>1575</v>
      </c>
      <c r="V567" s="2" t="s">
        <v>2902</v>
      </c>
      <c r="W567" t="s">
        <v>2903</v>
      </c>
    </row>
    <row r="568" spans="1:23" x14ac:dyDescent="0.25">
      <c r="A568" t="s">
        <v>2904</v>
      </c>
      <c r="B568" s="4">
        <f t="shared" si="8"/>
        <v>73620</v>
      </c>
      <c r="C568" t="s">
        <v>2905</v>
      </c>
      <c r="D568" t="s">
        <v>42</v>
      </c>
      <c r="E568" t="s">
        <v>142</v>
      </c>
      <c r="F568">
        <v>2</v>
      </c>
      <c r="G568" t="s">
        <v>352</v>
      </c>
      <c r="H568" s="2" t="s">
        <v>27</v>
      </c>
      <c r="I568" t="s">
        <v>379</v>
      </c>
      <c r="J568" s="2" t="s">
        <v>2906</v>
      </c>
      <c r="L568" s="2" t="s">
        <v>30</v>
      </c>
      <c r="M568" s="2" t="s">
        <v>31</v>
      </c>
      <c r="N568" s="2" t="s">
        <v>32</v>
      </c>
      <c r="O568" s="2" t="s">
        <v>2604</v>
      </c>
      <c r="P568" s="2" t="s">
        <v>34</v>
      </c>
      <c r="Q568" t="s">
        <v>2605</v>
      </c>
      <c r="R568" s="2" t="s">
        <v>206</v>
      </c>
      <c r="S568" s="2" t="s">
        <v>2606</v>
      </c>
      <c r="T568" s="2" t="s">
        <v>60</v>
      </c>
    </row>
    <row r="569" spans="1:23" x14ac:dyDescent="0.25">
      <c r="A569" t="s">
        <v>2907</v>
      </c>
      <c r="B569" s="4">
        <f t="shared" si="8"/>
        <v>73621</v>
      </c>
      <c r="C569" t="s">
        <v>2908</v>
      </c>
      <c r="D569" t="s">
        <v>42</v>
      </c>
      <c r="E569" t="s">
        <v>2909</v>
      </c>
      <c r="F569">
        <v>3</v>
      </c>
      <c r="G569" t="s">
        <v>352</v>
      </c>
      <c r="H569" s="2" t="s">
        <v>27</v>
      </c>
      <c r="I569" t="s">
        <v>379</v>
      </c>
      <c r="J569" s="2" t="s">
        <v>2910</v>
      </c>
      <c r="L569" s="2" t="s">
        <v>30</v>
      </c>
      <c r="M569" s="2" t="s">
        <v>31</v>
      </c>
      <c r="N569" s="2" t="s">
        <v>32</v>
      </c>
      <c r="O569" s="2" t="s">
        <v>2604</v>
      </c>
      <c r="P569" s="2" t="s">
        <v>34</v>
      </c>
      <c r="Q569" t="s">
        <v>2605</v>
      </c>
      <c r="R569" s="2" t="s">
        <v>206</v>
      </c>
      <c r="S569" s="2" t="s">
        <v>2606</v>
      </c>
      <c r="T569" s="2" t="s">
        <v>60</v>
      </c>
    </row>
    <row r="570" spans="1:23" x14ac:dyDescent="0.25">
      <c r="A570" t="s">
        <v>2911</v>
      </c>
      <c r="B570" s="4">
        <f t="shared" si="8"/>
        <v>73626</v>
      </c>
      <c r="C570" t="s">
        <v>2912</v>
      </c>
      <c r="D570" t="s">
        <v>365</v>
      </c>
      <c r="E570" t="s">
        <v>1805</v>
      </c>
      <c r="F570" t="s">
        <v>367</v>
      </c>
      <c r="G570" t="s">
        <v>352</v>
      </c>
      <c r="H570" s="2" t="s">
        <v>373</v>
      </c>
      <c r="I570" t="s">
        <v>379</v>
      </c>
      <c r="K570" s="2" t="s">
        <v>727</v>
      </c>
      <c r="L570" s="2" t="s">
        <v>30</v>
      </c>
      <c r="M570" s="2" t="s">
        <v>31</v>
      </c>
      <c r="N570" s="2" t="s">
        <v>32</v>
      </c>
      <c r="O570" s="2" t="s">
        <v>2913</v>
      </c>
      <c r="P570" s="2" t="s">
        <v>34</v>
      </c>
      <c r="Q570" t="s">
        <v>2914</v>
      </c>
      <c r="R570" s="2" t="s">
        <v>206</v>
      </c>
      <c r="S570" s="2" t="s">
        <v>2915</v>
      </c>
      <c r="T570" s="2" t="s">
        <v>60</v>
      </c>
    </row>
    <row r="571" spans="1:23" x14ac:dyDescent="0.25">
      <c r="A571" t="s">
        <v>2916</v>
      </c>
      <c r="B571" s="4">
        <f t="shared" si="8"/>
        <v>73628</v>
      </c>
      <c r="C571" t="s">
        <v>2917</v>
      </c>
      <c r="D571" t="s">
        <v>185</v>
      </c>
      <c r="E571" t="s">
        <v>1372</v>
      </c>
      <c r="F571" t="s">
        <v>543</v>
      </c>
      <c r="G571" t="s">
        <v>26</v>
      </c>
      <c r="H571" s="2" t="s">
        <v>27</v>
      </c>
      <c r="I571" t="s">
        <v>28</v>
      </c>
      <c r="J571" s="2" t="s">
        <v>2918</v>
      </c>
      <c r="L571" s="2" t="s">
        <v>30</v>
      </c>
      <c r="M571" s="2" t="s">
        <v>31</v>
      </c>
      <c r="N571" s="2" t="s">
        <v>32</v>
      </c>
      <c r="O571" s="2" t="s">
        <v>2769</v>
      </c>
      <c r="P571" s="2" t="s">
        <v>34</v>
      </c>
      <c r="Q571" t="s">
        <v>1374</v>
      </c>
      <c r="R571" s="2" t="s">
        <v>206</v>
      </c>
      <c r="S571" s="2" t="s">
        <v>1375</v>
      </c>
      <c r="T571" s="2" t="s">
        <v>34</v>
      </c>
      <c r="U571" s="2" t="s">
        <v>1376</v>
      </c>
      <c r="V571" s="2" t="s">
        <v>2919</v>
      </c>
      <c r="W571" t="s">
        <v>2920</v>
      </c>
    </row>
    <row r="572" spans="1:23" x14ac:dyDescent="0.25">
      <c r="A572" t="s">
        <v>2921</v>
      </c>
      <c r="B572" s="4">
        <f t="shared" si="8"/>
        <v>73632</v>
      </c>
      <c r="C572" t="s">
        <v>1148</v>
      </c>
      <c r="D572" t="s">
        <v>1149</v>
      </c>
      <c r="E572" t="s">
        <v>2922</v>
      </c>
      <c r="F572" t="s">
        <v>680</v>
      </c>
      <c r="G572" t="s">
        <v>352</v>
      </c>
      <c r="H572" s="2" t="s">
        <v>373</v>
      </c>
      <c r="I572" t="s">
        <v>379</v>
      </c>
      <c r="K572" s="2" t="s">
        <v>1151</v>
      </c>
      <c r="L572" s="2" t="s">
        <v>30</v>
      </c>
      <c r="M572" s="2" t="s">
        <v>31</v>
      </c>
      <c r="N572" s="2" t="s">
        <v>32</v>
      </c>
      <c r="O572" s="2" t="s">
        <v>1152</v>
      </c>
      <c r="P572" s="2" t="s">
        <v>34</v>
      </c>
      <c r="Q572" t="s">
        <v>1153</v>
      </c>
      <c r="R572" s="2" t="s">
        <v>1154</v>
      </c>
      <c r="T572" s="2" t="s">
        <v>60</v>
      </c>
    </row>
    <row r="573" spans="1:23" x14ac:dyDescent="0.25">
      <c r="A573" t="s">
        <v>2923</v>
      </c>
      <c r="B573" s="4">
        <f t="shared" si="8"/>
        <v>73633</v>
      </c>
      <c r="C573" t="s">
        <v>2924</v>
      </c>
      <c r="D573" t="s">
        <v>365</v>
      </c>
      <c r="E573" t="s">
        <v>2849</v>
      </c>
      <c r="F573" t="s">
        <v>367</v>
      </c>
      <c r="G573" t="s">
        <v>352</v>
      </c>
      <c r="H573" s="2" t="s">
        <v>27</v>
      </c>
      <c r="I573" t="s">
        <v>379</v>
      </c>
      <c r="J573" s="2" t="s">
        <v>2925</v>
      </c>
      <c r="L573" s="2" t="s">
        <v>30</v>
      </c>
      <c r="M573" s="2" t="s">
        <v>31</v>
      </c>
      <c r="N573" s="2" t="s">
        <v>32</v>
      </c>
      <c r="O573" s="2" t="s">
        <v>2769</v>
      </c>
      <c r="P573" s="2" t="s">
        <v>34</v>
      </c>
      <c r="Q573" t="s">
        <v>2926</v>
      </c>
      <c r="R573" s="2" t="s">
        <v>206</v>
      </c>
      <c r="S573" s="2" t="s">
        <v>2927</v>
      </c>
      <c r="T573" s="2" t="s">
        <v>60</v>
      </c>
    </row>
    <row r="574" spans="1:23" x14ac:dyDescent="0.25">
      <c r="A574" t="s">
        <v>2928</v>
      </c>
      <c r="B574" s="4">
        <f t="shared" si="8"/>
        <v>73636</v>
      </c>
      <c r="C574" t="s">
        <v>2929</v>
      </c>
      <c r="D574" t="s">
        <v>365</v>
      </c>
      <c r="E574" t="s">
        <v>63</v>
      </c>
      <c r="F574" t="s">
        <v>367</v>
      </c>
      <c r="G574" t="s">
        <v>352</v>
      </c>
      <c r="H574" s="2" t="s">
        <v>373</v>
      </c>
      <c r="I574" t="s">
        <v>379</v>
      </c>
      <c r="K574" s="2" t="s">
        <v>727</v>
      </c>
      <c r="L574" s="2" t="s">
        <v>30</v>
      </c>
      <c r="M574" s="2" t="s">
        <v>31</v>
      </c>
      <c r="N574" s="2" t="s">
        <v>32</v>
      </c>
      <c r="O574" s="2" t="s">
        <v>2913</v>
      </c>
      <c r="P574" s="2" t="s">
        <v>34</v>
      </c>
      <c r="Q574" t="s">
        <v>2930</v>
      </c>
      <c r="R574" s="2" t="s">
        <v>206</v>
      </c>
      <c r="S574" s="2" t="s">
        <v>2931</v>
      </c>
      <c r="T574" s="2" t="s">
        <v>60</v>
      </c>
    </row>
    <row r="575" spans="1:23" x14ac:dyDescent="0.25">
      <c r="A575" t="s">
        <v>2932</v>
      </c>
      <c r="B575" s="4">
        <f t="shared" si="8"/>
        <v>73639</v>
      </c>
      <c r="C575" t="s">
        <v>2933</v>
      </c>
      <c r="D575" t="s">
        <v>365</v>
      </c>
      <c r="E575" t="s">
        <v>2878</v>
      </c>
      <c r="F575" t="s">
        <v>187</v>
      </c>
      <c r="G575" t="s">
        <v>352</v>
      </c>
      <c r="H575" s="2" t="s">
        <v>27</v>
      </c>
      <c r="I575" t="s">
        <v>379</v>
      </c>
      <c r="J575" s="2" t="s">
        <v>2934</v>
      </c>
      <c r="L575" s="2" t="s">
        <v>30</v>
      </c>
      <c r="M575" s="2" t="s">
        <v>31</v>
      </c>
      <c r="N575" s="2" t="s">
        <v>32</v>
      </c>
      <c r="O575" s="2" t="s">
        <v>2769</v>
      </c>
      <c r="P575" s="2" t="s">
        <v>34</v>
      </c>
      <c r="Q575" t="s">
        <v>2935</v>
      </c>
      <c r="R575" s="2" t="s">
        <v>206</v>
      </c>
      <c r="S575" s="2" t="s">
        <v>2936</v>
      </c>
      <c r="T575" s="2" t="s">
        <v>60</v>
      </c>
    </row>
    <row r="576" spans="1:23" x14ac:dyDescent="0.25">
      <c r="A576" t="s">
        <v>2937</v>
      </c>
      <c r="B576" s="4">
        <f t="shared" si="8"/>
        <v>73640</v>
      </c>
      <c r="C576" t="s">
        <v>2938</v>
      </c>
      <c r="D576" t="s">
        <v>365</v>
      </c>
      <c r="E576" t="s">
        <v>1069</v>
      </c>
      <c r="F576" t="s">
        <v>187</v>
      </c>
      <c r="G576" t="s">
        <v>352</v>
      </c>
      <c r="H576" s="2" t="s">
        <v>27</v>
      </c>
      <c r="I576" t="s">
        <v>379</v>
      </c>
      <c r="J576" s="2" t="s">
        <v>2939</v>
      </c>
      <c r="L576" s="2" t="s">
        <v>30</v>
      </c>
      <c r="M576" s="2" t="s">
        <v>31</v>
      </c>
      <c r="N576" s="2" t="s">
        <v>32</v>
      </c>
      <c r="O576" s="2" t="s">
        <v>2769</v>
      </c>
      <c r="P576" s="2" t="s">
        <v>34</v>
      </c>
      <c r="Q576" t="s">
        <v>2623</v>
      </c>
      <c r="R576" s="2" t="s">
        <v>2624</v>
      </c>
      <c r="T576" s="2" t="s">
        <v>60</v>
      </c>
    </row>
    <row r="577" spans="1:20" x14ac:dyDescent="0.25">
      <c r="A577" t="s">
        <v>2940</v>
      </c>
      <c r="B577" s="4">
        <f t="shared" si="8"/>
        <v>73641</v>
      </c>
      <c r="C577" t="s">
        <v>2941</v>
      </c>
      <c r="D577" t="s">
        <v>365</v>
      </c>
      <c r="E577" t="s">
        <v>1190</v>
      </c>
      <c r="F577" t="s">
        <v>187</v>
      </c>
      <c r="G577" t="s">
        <v>352</v>
      </c>
      <c r="H577" s="2" t="s">
        <v>27</v>
      </c>
      <c r="I577" t="s">
        <v>379</v>
      </c>
      <c r="J577" s="2" t="s">
        <v>2942</v>
      </c>
      <c r="L577" s="2" t="s">
        <v>30</v>
      </c>
      <c r="M577" s="2" t="s">
        <v>31</v>
      </c>
      <c r="N577" s="2" t="s">
        <v>32</v>
      </c>
      <c r="O577" s="2" t="s">
        <v>2769</v>
      </c>
      <c r="P577" s="2" t="s">
        <v>34</v>
      </c>
      <c r="Q577" t="s">
        <v>1477</v>
      </c>
      <c r="R577" s="2" t="s">
        <v>206</v>
      </c>
      <c r="S577" s="2" t="s">
        <v>1478</v>
      </c>
      <c r="T577" s="2" t="s">
        <v>60</v>
      </c>
    </row>
    <row r="578" spans="1:20" x14ac:dyDescent="0.25">
      <c r="A578" t="s">
        <v>2943</v>
      </c>
      <c r="B578" s="4">
        <f t="shared" si="8"/>
        <v>73642</v>
      </c>
      <c r="C578" t="s">
        <v>2944</v>
      </c>
      <c r="D578" t="s">
        <v>1149</v>
      </c>
      <c r="E578" t="s">
        <v>1427</v>
      </c>
      <c r="F578" t="s">
        <v>543</v>
      </c>
      <c r="G578" t="s">
        <v>26</v>
      </c>
      <c r="H578" s="2" t="s">
        <v>27</v>
      </c>
      <c r="I578" t="s">
        <v>368</v>
      </c>
      <c r="J578" s="2" t="s">
        <v>2945</v>
      </c>
      <c r="L578" s="2" t="s">
        <v>30</v>
      </c>
      <c r="M578" s="2" t="s">
        <v>31</v>
      </c>
      <c r="N578" s="2" t="s">
        <v>32</v>
      </c>
      <c r="O578" s="2" t="s">
        <v>2946</v>
      </c>
      <c r="P578" s="2" t="s">
        <v>34</v>
      </c>
      <c r="Q578" t="s">
        <v>1757</v>
      </c>
      <c r="R578" s="2" t="s">
        <v>1758</v>
      </c>
      <c r="T578" s="2" t="s">
        <v>60</v>
      </c>
    </row>
    <row r="579" spans="1:20" x14ac:dyDescent="0.25">
      <c r="A579" t="s">
        <v>2947</v>
      </c>
      <c r="B579" s="4">
        <f t="shared" ref="B579:B642" si="9">REPLACE(A579, 1, 1, "")+0</f>
        <v>73646</v>
      </c>
      <c r="C579" t="s">
        <v>2948</v>
      </c>
      <c r="D579" t="s">
        <v>1149</v>
      </c>
      <c r="E579" t="s">
        <v>2922</v>
      </c>
      <c r="F579" t="s">
        <v>680</v>
      </c>
      <c r="G579" t="s">
        <v>352</v>
      </c>
      <c r="H579" s="2" t="s">
        <v>373</v>
      </c>
      <c r="I579" t="s">
        <v>379</v>
      </c>
      <c r="K579" s="2" t="s">
        <v>1328</v>
      </c>
      <c r="L579" s="2" t="s">
        <v>30</v>
      </c>
      <c r="M579" s="2" t="s">
        <v>31</v>
      </c>
      <c r="N579" s="2" t="s">
        <v>32</v>
      </c>
      <c r="O579" s="2" t="s">
        <v>2949</v>
      </c>
      <c r="P579" s="2" t="s">
        <v>34</v>
      </c>
      <c r="Q579" t="s">
        <v>2950</v>
      </c>
      <c r="R579" s="2" t="s">
        <v>2951</v>
      </c>
      <c r="T579" s="2" t="s">
        <v>60</v>
      </c>
    </row>
    <row r="580" spans="1:20" x14ac:dyDescent="0.25">
      <c r="A580" t="s">
        <v>2952</v>
      </c>
      <c r="B580" s="4">
        <f t="shared" si="9"/>
        <v>73649</v>
      </c>
      <c r="C580" t="s">
        <v>2953</v>
      </c>
      <c r="D580" t="s">
        <v>365</v>
      </c>
      <c r="E580" t="s">
        <v>1190</v>
      </c>
      <c r="F580" t="s">
        <v>187</v>
      </c>
      <c r="G580" t="s">
        <v>352</v>
      </c>
      <c r="H580" s="2" t="s">
        <v>27</v>
      </c>
      <c r="I580" t="s">
        <v>379</v>
      </c>
      <c r="J580" s="2" t="s">
        <v>2954</v>
      </c>
      <c r="L580" s="2" t="s">
        <v>30</v>
      </c>
      <c r="M580" s="2" t="s">
        <v>31</v>
      </c>
      <c r="N580" s="2" t="s">
        <v>32</v>
      </c>
      <c r="O580" s="2" t="s">
        <v>2769</v>
      </c>
      <c r="P580" s="2" t="s">
        <v>34</v>
      </c>
      <c r="Q580" t="s">
        <v>2955</v>
      </c>
      <c r="R580" s="2" t="s">
        <v>206</v>
      </c>
      <c r="S580" s="2" t="s">
        <v>2956</v>
      </c>
      <c r="T580" s="2" t="s">
        <v>60</v>
      </c>
    </row>
    <row r="581" spans="1:20" x14ac:dyDescent="0.25">
      <c r="A581" t="s">
        <v>2957</v>
      </c>
      <c r="B581" s="4">
        <f t="shared" si="9"/>
        <v>73650</v>
      </c>
      <c r="C581" t="s">
        <v>2958</v>
      </c>
      <c r="D581" t="s">
        <v>42</v>
      </c>
      <c r="E581" t="s">
        <v>142</v>
      </c>
      <c r="F581">
        <v>2</v>
      </c>
      <c r="G581" t="s">
        <v>352</v>
      </c>
      <c r="H581" s="2" t="s">
        <v>27</v>
      </c>
      <c r="I581" t="s">
        <v>379</v>
      </c>
      <c r="J581" s="2" t="s">
        <v>2959</v>
      </c>
      <c r="L581" s="2" t="s">
        <v>30</v>
      </c>
      <c r="M581" s="2" t="s">
        <v>31</v>
      </c>
      <c r="N581" s="2" t="s">
        <v>32</v>
      </c>
      <c r="O581" s="2" t="s">
        <v>652</v>
      </c>
      <c r="P581" s="2" t="s">
        <v>34</v>
      </c>
      <c r="Q581" t="s">
        <v>2623</v>
      </c>
      <c r="R581" s="2" t="s">
        <v>2624</v>
      </c>
      <c r="T581" s="2" t="s">
        <v>60</v>
      </c>
    </row>
    <row r="582" spans="1:20" x14ac:dyDescent="0.25">
      <c r="A582" t="s">
        <v>2960</v>
      </c>
      <c r="B582" s="4">
        <f t="shared" si="9"/>
        <v>73651</v>
      </c>
      <c r="C582" t="s">
        <v>2961</v>
      </c>
      <c r="D582" t="s">
        <v>42</v>
      </c>
      <c r="E582" t="s">
        <v>133</v>
      </c>
      <c r="F582">
        <v>3</v>
      </c>
      <c r="G582" t="s">
        <v>352</v>
      </c>
      <c r="H582" s="2" t="s">
        <v>27</v>
      </c>
      <c r="I582" t="s">
        <v>379</v>
      </c>
      <c r="J582" s="2" t="s">
        <v>2962</v>
      </c>
      <c r="L582" s="2" t="s">
        <v>30</v>
      </c>
      <c r="M582" s="2" t="s">
        <v>31</v>
      </c>
      <c r="N582" s="2" t="s">
        <v>32</v>
      </c>
      <c r="O582" s="2" t="s">
        <v>435</v>
      </c>
      <c r="P582" s="2" t="s">
        <v>34</v>
      </c>
      <c r="Q582" t="s">
        <v>2963</v>
      </c>
      <c r="R582" s="2" t="s">
        <v>206</v>
      </c>
      <c r="S582" s="2" t="s">
        <v>2964</v>
      </c>
      <c r="T582" s="2" t="s">
        <v>60</v>
      </c>
    </row>
    <row r="583" spans="1:20" x14ac:dyDescent="0.25">
      <c r="A583" t="s">
        <v>2965</v>
      </c>
      <c r="B583" s="4">
        <f t="shared" si="9"/>
        <v>73652</v>
      </c>
      <c r="C583" t="s">
        <v>2966</v>
      </c>
      <c r="D583" t="s">
        <v>365</v>
      </c>
      <c r="E583" t="s">
        <v>1190</v>
      </c>
      <c r="F583" t="s">
        <v>187</v>
      </c>
      <c r="G583" t="s">
        <v>352</v>
      </c>
      <c r="H583" s="2" t="s">
        <v>27</v>
      </c>
      <c r="I583" t="s">
        <v>379</v>
      </c>
      <c r="J583" s="2" t="s">
        <v>2967</v>
      </c>
      <c r="L583" s="2" t="s">
        <v>30</v>
      </c>
      <c r="M583" s="2" t="s">
        <v>31</v>
      </c>
      <c r="N583" s="2" t="s">
        <v>32</v>
      </c>
      <c r="O583" s="2" t="s">
        <v>2968</v>
      </c>
      <c r="P583" s="2" t="s">
        <v>34</v>
      </c>
      <c r="Q583" t="s">
        <v>2761</v>
      </c>
      <c r="R583" s="2" t="s">
        <v>2762</v>
      </c>
      <c r="T583" s="2" t="s">
        <v>60</v>
      </c>
    </row>
    <row r="584" spans="1:20" x14ac:dyDescent="0.25">
      <c r="A584" t="s">
        <v>2969</v>
      </c>
      <c r="B584" s="4">
        <f t="shared" si="9"/>
        <v>73653</v>
      </c>
      <c r="C584" t="s">
        <v>2970</v>
      </c>
      <c r="D584" t="s">
        <v>365</v>
      </c>
      <c r="E584" t="s">
        <v>2971</v>
      </c>
      <c r="F584" t="s">
        <v>367</v>
      </c>
      <c r="G584" t="s">
        <v>26</v>
      </c>
      <c r="H584" s="2" t="s">
        <v>27</v>
      </c>
      <c r="I584" t="s">
        <v>368</v>
      </c>
      <c r="J584" s="2" t="s">
        <v>2972</v>
      </c>
      <c r="L584" s="2" t="s">
        <v>30</v>
      </c>
      <c r="M584" s="2" t="s">
        <v>31</v>
      </c>
      <c r="N584" s="2" t="s">
        <v>32</v>
      </c>
      <c r="O584" s="2" t="s">
        <v>2769</v>
      </c>
      <c r="P584" s="2" t="s">
        <v>34</v>
      </c>
      <c r="Q584" t="s">
        <v>2973</v>
      </c>
      <c r="R584" s="2" t="s">
        <v>2974</v>
      </c>
      <c r="T584" s="2" t="s">
        <v>60</v>
      </c>
    </row>
    <row r="585" spans="1:20" x14ac:dyDescent="0.25">
      <c r="A585" t="s">
        <v>2975</v>
      </c>
      <c r="B585" s="4">
        <f t="shared" si="9"/>
        <v>73654</v>
      </c>
      <c r="C585" t="s">
        <v>2976</v>
      </c>
      <c r="D585" t="s">
        <v>1149</v>
      </c>
      <c r="E585" t="s">
        <v>2977</v>
      </c>
      <c r="F585" t="s">
        <v>543</v>
      </c>
      <c r="G585" t="s">
        <v>352</v>
      </c>
      <c r="H585" s="2" t="s">
        <v>27</v>
      </c>
      <c r="I585" t="s">
        <v>379</v>
      </c>
      <c r="J585" s="2" t="s">
        <v>2978</v>
      </c>
      <c r="L585" s="2" t="s">
        <v>30</v>
      </c>
      <c r="M585" s="2" t="s">
        <v>31</v>
      </c>
      <c r="N585" s="2" t="s">
        <v>32</v>
      </c>
      <c r="O585" s="2" t="s">
        <v>2979</v>
      </c>
      <c r="P585" s="2" t="s">
        <v>34</v>
      </c>
      <c r="Q585" t="s">
        <v>1153</v>
      </c>
      <c r="R585" s="2" t="s">
        <v>1154</v>
      </c>
      <c r="T585" s="2" t="s">
        <v>60</v>
      </c>
    </row>
    <row r="586" spans="1:20" x14ac:dyDescent="0.25">
      <c r="A586" t="s">
        <v>2980</v>
      </c>
      <c r="B586" s="4">
        <f t="shared" si="9"/>
        <v>73656</v>
      </c>
      <c r="C586" t="s">
        <v>2981</v>
      </c>
      <c r="D586" t="s">
        <v>2423</v>
      </c>
      <c r="E586" t="s">
        <v>2424</v>
      </c>
      <c r="F586">
        <v>2</v>
      </c>
      <c r="G586" t="s">
        <v>352</v>
      </c>
      <c r="H586" s="2" t="s">
        <v>27</v>
      </c>
      <c r="I586" t="s">
        <v>379</v>
      </c>
      <c r="J586" s="2" t="s">
        <v>2982</v>
      </c>
      <c r="L586" s="2" t="s">
        <v>30</v>
      </c>
      <c r="M586" s="2" t="s">
        <v>31</v>
      </c>
      <c r="N586" s="2" t="s">
        <v>32</v>
      </c>
      <c r="O586" s="2" t="s">
        <v>2983</v>
      </c>
      <c r="P586" s="2" t="s">
        <v>34</v>
      </c>
      <c r="Q586" t="s">
        <v>2984</v>
      </c>
      <c r="R586" s="2" t="s">
        <v>2985</v>
      </c>
      <c r="T586" s="2" t="s">
        <v>60</v>
      </c>
    </row>
    <row r="587" spans="1:20" x14ac:dyDescent="0.25">
      <c r="A587" t="s">
        <v>2986</v>
      </c>
      <c r="B587" s="4">
        <f t="shared" si="9"/>
        <v>73659</v>
      </c>
      <c r="C587" t="s">
        <v>2987</v>
      </c>
      <c r="D587" t="s">
        <v>42</v>
      </c>
      <c r="E587" t="s">
        <v>1024</v>
      </c>
      <c r="F587">
        <v>3</v>
      </c>
      <c r="G587" t="s">
        <v>352</v>
      </c>
      <c r="H587" s="2" t="s">
        <v>27</v>
      </c>
      <c r="I587" t="s">
        <v>379</v>
      </c>
      <c r="J587" s="2" t="s">
        <v>2988</v>
      </c>
      <c r="L587" s="2" t="s">
        <v>30</v>
      </c>
      <c r="M587" s="2" t="s">
        <v>31</v>
      </c>
      <c r="N587" s="2" t="s">
        <v>32</v>
      </c>
      <c r="O587" s="2" t="s">
        <v>897</v>
      </c>
      <c r="P587" s="2" t="s">
        <v>34</v>
      </c>
      <c r="Q587" t="s">
        <v>2989</v>
      </c>
      <c r="R587" s="2" t="s">
        <v>2990</v>
      </c>
      <c r="T587" s="2" t="s">
        <v>60</v>
      </c>
    </row>
    <row r="588" spans="1:20" x14ac:dyDescent="0.25">
      <c r="A588" t="s">
        <v>2991</v>
      </c>
      <c r="B588" s="4">
        <f t="shared" si="9"/>
        <v>73664</v>
      </c>
      <c r="C588" t="s">
        <v>2992</v>
      </c>
      <c r="D588" t="s">
        <v>42</v>
      </c>
      <c r="E588" t="s">
        <v>133</v>
      </c>
      <c r="F588">
        <v>3</v>
      </c>
      <c r="G588" t="s">
        <v>352</v>
      </c>
      <c r="H588" s="2" t="s">
        <v>27</v>
      </c>
      <c r="I588" t="s">
        <v>379</v>
      </c>
      <c r="J588" s="2" t="s">
        <v>2993</v>
      </c>
      <c r="L588" s="2" t="s">
        <v>30</v>
      </c>
      <c r="M588" s="2" t="s">
        <v>31</v>
      </c>
      <c r="N588" s="2" t="s">
        <v>32</v>
      </c>
      <c r="O588" s="2" t="s">
        <v>435</v>
      </c>
      <c r="P588" s="2" t="s">
        <v>34</v>
      </c>
      <c r="Q588" t="s">
        <v>2963</v>
      </c>
      <c r="R588" s="2" t="s">
        <v>206</v>
      </c>
      <c r="S588" s="2" t="s">
        <v>2964</v>
      </c>
      <c r="T588" s="2" t="s">
        <v>60</v>
      </c>
    </row>
    <row r="589" spans="1:20" x14ac:dyDescent="0.25">
      <c r="A589" t="s">
        <v>2994</v>
      </c>
      <c r="B589" s="4">
        <f t="shared" si="9"/>
        <v>73667</v>
      </c>
      <c r="C589" t="s">
        <v>2995</v>
      </c>
      <c r="D589" t="s">
        <v>320</v>
      </c>
      <c r="E589" t="s">
        <v>2996</v>
      </c>
      <c r="F589" t="s">
        <v>187</v>
      </c>
      <c r="G589" t="s">
        <v>26</v>
      </c>
      <c r="H589" s="2" t="s">
        <v>27</v>
      </c>
      <c r="I589" t="s">
        <v>368</v>
      </c>
      <c r="J589" s="2" t="s">
        <v>2997</v>
      </c>
      <c r="L589" s="2" t="s">
        <v>30</v>
      </c>
      <c r="M589" s="2" t="s">
        <v>31</v>
      </c>
      <c r="N589" s="2" t="s">
        <v>32</v>
      </c>
      <c r="O589" s="2" t="s">
        <v>2998</v>
      </c>
      <c r="P589" s="2" t="s">
        <v>34</v>
      </c>
      <c r="Q589" t="s">
        <v>2999</v>
      </c>
      <c r="R589" s="2" t="s">
        <v>3000</v>
      </c>
      <c r="T589" s="2" t="s">
        <v>60</v>
      </c>
    </row>
    <row r="590" spans="1:20" x14ac:dyDescent="0.25">
      <c r="A590" t="s">
        <v>3001</v>
      </c>
      <c r="B590" s="4">
        <f t="shared" si="9"/>
        <v>73669</v>
      </c>
      <c r="C590" t="s">
        <v>3002</v>
      </c>
      <c r="D590" t="s">
        <v>365</v>
      </c>
      <c r="E590" t="s">
        <v>738</v>
      </c>
      <c r="F590" t="s">
        <v>367</v>
      </c>
      <c r="G590" t="s">
        <v>352</v>
      </c>
      <c r="H590" s="2" t="s">
        <v>27</v>
      </c>
      <c r="I590" t="s">
        <v>379</v>
      </c>
      <c r="J590" s="2" t="s">
        <v>3003</v>
      </c>
      <c r="L590" s="2" t="s">
        <v>30</v>
      </c>
      <c r="M590" s="2" t="s">
        <v>31</v>
      </c>
      <c r="N590" s="2" t="s">
        <v>32</v>
      </c>
      <c r="O590" s="2" t="s">
        <v>2769</v>
      </c>
      <c r="P590" s="2" t="s">
        <v>34</v>
      </c>
      <c r="Q590" t="s">
        <v>3004</v>
      </c>
      <c r="R590" s="2" t="s">
        <v>206</v>
      </c>
      <c r="S590" s="2" t="s">
        <v>3005</v>
      </c>
      <c r="T590" s="2" t="s">
        <v>60</v>
      </c>
    </row>
    <row r="591" spans="1:20" x14ac:dyDescent="0.25">
      <c r="A591" t="s">
        <v>3006</v>
      </c>
      <c r="B591" s="4">
        <f t="shared" si="9"/>
        <v>73670</v>
      </c>
      <c r="C591" t="s">
        <v>3007</v>
      </c>
      <c r="D591" t="s">
        <v>365</v>
      </c>
      <c r="E591" t="s">
        <v>1190</v>
      </c>
      <c r="F591" t="s">
        <v>187</v>
      </c>
      <c r="G591" t="s">
        <v>352</v>
      </c>
      <c r="H591" s="2" t="s">
        <v>27</v>
      </c>
      <c r="I591" t="s">
        <v>379</v>
      </c>
      <c r="J591" s="2" t="s">
        <v>3008</v>
      </c>
      <c r="L591" s="2" t="s">
        <v>30</v>
      </c>
      <c r="M591" s="2" t="s">
        <v>31</v>
      </c>
      <c r="N591" s="2" t="s">
        <v>32</v>
      </c>
      <c r="O591" s="2" t="s">
        <v>3009</v>
      </c>
      <c r="P591" s="2" t="s">
        <v>34</v>
      </c>
      <c r="Q591" t="s">
        <v>2761</v>
      </c>
      <c r="R591" s="2" t="s">
        <v>2762</v>
      </c>
      <c r="T591" s="2" t="s">
        <v>60</v>
      </c>
    </row>
    <row r="592" spans="1:20" x14ac:dyDescent="0.25">
      <c r="A592" t="s">
        <v>3010</v>
      </c>
      <c r="B592" s="4">
        <f t="shared" si="9"/>
        <v>73671</v>
      </c>
      <c r="C592" t="s">
        <v>3011</v>
      </c>
      <c r="D592" t="s">
        <v>42</v>
      </c>
      <c r="E592" t="s">
        <v>67</v>
      </c>
      <c r="F592">
        <v>2</v>
      </c>
      <c r="G592" t="s">
        <v>352</v>
      </c>
      <c r="H592" s="2" t="s">
        <v>27</v>
      </c>
      <c r="I592" t="s">
        <v>379</v>
      </c>
      <c r="J592" s="2" t="s">
        <v>3012</v>
      </c>
      <c r="L592" s="2" t="s">
        <v>30</v>
      </c>
      <c r="M592" s="2" t="s">
        <v>31</v>
      </c>
      <c r="N592" s="2" t="s">
        <v>32</v>
      </c>
      <c r="O592" s="2" t="s">
        <v>2711</v>
      </c>
      <c r="P592" s="2" t="s">
        <v>34</v>
      </c>
      <c r="Q592" t="s">
        <v>2712</v>
      </c>
      <c r="R592" s="2" t="s">
        <v>2713</v>
      </c>
      <c r="T592" s="2" t="s">
        <v>60</v>
      </c>
    </row>
    <row r="593" spans="1:23" x14ac:dyDescent="0.25">
      <c r="A593" t="s">
        <v>3013</v>
      </c>
      <c r="B593" s="4">
        <f t="shared" si="9"/>
        <v>73672</v>
      </c>
      <c r="C593" t="s">
        <v>3014</v>
      </c>
      <c r="D593" t="s">
        <v>185</v>
      </c>
      <c r="E593" t="s">
        <v>393</v>
      </c>
      <c r="F593" t="s">
        <v>187</v>
      </c>
      <c r="G593" t="s">
        <v>352</v>
      </c>
      <c r="H593" s="2" t="s">
        <v>27</v>
      </c>
      <c r="I593" t="s">
        <v>379</v>
      </c>
      <c r="J593" s="2" t="s">
        <v>3015</v>
      </c>
      <c r="L593" s="2" t="s">
        <v>30</v>
      </c>
      <c r="M593" s="2" t="s">
        <v>31</v>
      </c>
      <c r="N593" s="2" t="s">
        <v>32</v>
      </c>
      <c r="O593" s="2" t="s">
        <v>2769</v>
      </c>
      <c r="P593" s="2" t="s">
        <v>34</v>
      </c>
      <c r="Q593" t="s">
        <v>3016</v>
      </c>
      <c r="R593" s="2" t="s">
        <v>206</v>
      </c>
      <c r="S593" s="2" t="s">
        <v>3017</v>
      </c>
      <c r="T593" s="2" t="s">
        <v>34</v>
      </c>
      <c r="U593" s="2" t="s">
        <v>3018</v>
      </c>
      <c r="V593" s="2" t="s">
        <v>3019</v>
      </c>
      <c r="W593" t="s">
        <v>2774</v>
      </c>
    </row>
    <row r="594" spans="1:23" x14ac:dyDescent="0.25">
      <c r="A594" t="s">
        <v>3020</v>
      </c>
      <c r="B594" s="4">
        <f t="shared" si="9"/>
        <v>73673</v>
      </c>
      <c r="C594" t="s">
        <v>3021</v>
      </c>
      <c r="D594" t="s">
        <v>42</v>
      </c>
      <c r="E594" t="s">
        <v>142</v>
      </c>
      <c r="F594">
        <v>2</v>
      </c>
      <c r="G594" t="s">
        <v>352</v>
      </c>
      <c r="H594" s="2" t="s">
        <v>27</v>
      </c>
      <c r="I594" t="s">
        <v>379</v>
      </c>
      <c r="J594" s="2" t="s">
        <v>3022</v>
      </c>
      <c r="L594" s="2" t="s">
        <v>30</v>
      </c>
      <c r="M594" s="2" t="s">
        <v>31</v>
      </c>
      <c r="N594" s="2" t="s">
        <v>32</v>
      </c>
      <c r="O594" s="2" t="s">
        <v>2604</v>
      </c>
      <c r="P594" s="2" t="s">
        <v>34</v>
      </c>
      <c r="Q594" t="s">
        <v>2605</v>
      </c>
      <c r="R594" s="2" t="s">
        <v>206</v>
      </c>
      <c r="S594" s="2" t="s">
        <v>2606</v>
      </c>
      <c r="T594" s="2" t="s">
        <v>60</v>
      </c>
    </row>
    <row r="595" spans="1:23" x14ac:dyDescent="0.25">
      <c r="A595" t="s">
        <v>3023</v>
      </c>
      <c r="B595" s="4">
        <f t="shared" si="9"/>
        <v>73674</v>
      </c>
      <c r="C595" t="s">
        <v>3024</v>
      </c>
      <c r="D595" t="s">
        <v>185</v>
      </c>
      <c r="E595" t="s">
        <v>3025</v>
      </c>
      <c r="F595" t="s">
        <v>680</v>
      </c>
      <c r="G595" t="s">
        <v>352</v>
      </c>
      <c r="H595" s="2" t="s">
        <v>373</v>
      </c>
      <c r="I595" t="s">
        <v>379</v>
      </c>
      <c r="K595" s="2" t="s">
        <v>3026</v>
      </c>
      <c r="L595" s="2" t="s">
        <v>30</v>
      </c>
      <c r="M595" s="2" t="s">
        <v>31</v>
      </c>
      <c r="N595" s="2" t="s">
        <v>32</v>
      </c>
      <c r="O595" s="2" t="s">
        <v>2979</v>
      </c>
      <c r="P595" s="2" t="s">
        <v>34</v>
      </c>
      <c r="Q595" t="s">
        <v>3027</v>
      </c>
      <c r="R595" s="2" t="s">
        <v>206</v>
      </c>
      <c r="S595" s="2" t="s">
        <v>3028</v>
      </c>
      <c r="T595" s="2" t="s">
        <v>60</v>
      </c>
    </row>
    <row r="596" spans="1:23" x14ac:dyDescent="0.25">
      <c r="A596" t="s">
        <v>3029</v>
      </c>
      <c r="B596" s="4">
        <f t="shared" si="9"/>
        <v>73677</v>
      </c>
      <c r="C596" t="s">
        <v>3030</v>
      </c>
      <c r="D596" t="s">
        <v>42</v>
      </c>
      <c r="E596" t="s">
        <v>201</v>
      </c>
      <c r="F596">
        <v>3</v>
      </c>
      <c r="G596" t="s">
        <v>26</v>
      </c>
      <c r="H596" s="2" t="s">
        <v>27</v>
      </c>
      <c r="I596" t="s">
        <v>28</v>
      </c>
      <c r="J596" s="2" t="s">
        <v>3031</v>
      </c>
      <c r="L596" s="2" t="s">
        <v>30</v>
      </c>
      <c r="M596" s="2" t="s">
        <v>31</v>
      </c>
      <c r="N596" s="2" t="s">
        <v>32</v>
      </c>
      <c r="O596" s="2" t="s">
        <v>144</v>
      </c>
      <c r="P596" s="2" t="s">
        <v>34</v>
      </c>
      <c r="Q596" t="s">
        <v>3032</v>
      </c>
      <c r="R596" s="2" t="s">
        <v>3033</v>
      </c>
      <c r="T596" s="2" t="s">
        <v>34</v>
      </c>
      <c r="U596" s="2" t="s">
        <v>3034</v>
      </c>
      <c r="V596" s="2" t="s">
        <v>3035</v>
      </c>
      <c r="W596" t="s">
        <v>3036</v>
      </c>
    </row>
    <row r="597" spans="1:23" x14ac:dyDescent="0.25">
      <c r="A597" t="s">
        <v>3037</v>
      </c>
      <c r="B597" s="4">
        <f t="shared" si="9"/>
        <v>73678</v>
      </c>
      <c r="C597" t="s">
        <v>3038</v>
      </c>
      <c r="D597" t="s">
        <v>42</v>
      </c>
      <c r="E597" t="s">
        <v>517</v>
      </c>
      <c r="F597">
        <v>3</v>
      </c>
      <c r="G597" t="s">
        <v>352</v>
      </c>
      <c r="H597" s="2" t="s">
        <v>27</v>
      </c>
      <c r="I597" t="s">
        <v>28</v>
      </c>
      <c r="J597" s="2" t="s">
        <v>3039</v>
      </c>
      <c r="L597" s="2" t="s">
        <v>30</v>
      </c>
      <c r="M597" s="2" t="s">
        <v>31</v>
      </c>
      <c r="N597" s="2" t="s">
        <v>32</v>
      </c>
      <c r="O597" s="2" t="s">
        <v>3040</v>
      </c>
      <c r="P597" s="2" t="s">
        <v>34</v>
      </c>
      <c r="Q597" t="s">
        <v>35</v>
      </c>
      <c r="R597" s="2" t="s">
        <v>36</v>
      </c>
      <c r="T597" s="2" t="s">
        <v>34</v>
      </c>
      <c r="U597" s="2" t="s">
        <v>37</v>
      </c>
      <c r="V597" s="2" t="s">
        <v>3041</v>
      </c>
      <c r="W597" t="s">
        <v>3042</v>
      </c>
    </row>
    <row r="598" spans="1:23" x14ac:dyDescent="0.25">
      <c r="A598" t="s">
        <v>3043</v>
      </c>
      <c r="B598" s="4">
        <f t="shared" si="9"/>
        <v>73679</v>
      </c>
      <c r="C598" t="s">
        <v>3044</v>
      </c>
      <c r="D598" t="s">
        <v>42</v>
      </c>
      <c r="E598" t="s">
        <v>142</v>
      </c>
      <c r="F598">
        <v>2</v>
      </c>
      <c r="G598" t="s">
        <v>352</v>
      </c>
      <c r="H598" s="2" t="s">
        <v>27</v>
      </c>
      <c r="I598" t="s">
        <v>379</v>
      </c>
      <c r="J598" s="2" t="s">
        <v>3045</v>
      </c>
      <c r="L598" s="2" t="s">
        <v>30</v>
      </c>
      <c r="M598" s="2" t="s">
        <v>31</v>
      </c>
      <c r="N598" s="2" t="s">
        <v>32</v>
      </c>
      <c r="O598" s="2" t="s">
        <v>275</v>
      </c>
      <c r="P598" s="2" t="s">
        <v>34</v>
      </c>
      <c r="Q598" t="s">
        <v>2655</v>
      </c>
      <c r="R598" s="2" t="s">
        <v>2656</v>
      </c>
      <c r="T598" s="2" t="s">
        <v>60</v>
      </c>
    </row>
    <row r="599" spans="1:23" x14ac:dyDescent="0.25">
      <c r="A599" t="s">
        <v>3046</v>
      </c>
      <c r="B599" s="4">
        <f t="shared" si="9"/>
        <v>73684</v>
      </c>
      <c r="C599" t="s">
        <v>3047</v>
      </c>
      <c r="D599" t="s">
        <v>365</v>
      </c>
      <c r="E599" t="s">
        <v>1764</v>
      </c>
      <c r="F599" t="s">
        <v>187</v>
      </c>
      <c r="G599" t="s">
        <v>26</v>
      </c>
      <c r="H599" s="2" t="s">
        <v>27</v>
      </c>
      <c r="I599" t="s">
        <v>28</v>
      </c>
      <c r="J599" s="2" t="s">
        <v>3048</v>
      </c>
      <c r="L599" s="2" t="s">
        <v>30</v>
      </c>
      <c r="M599" s="2" t="s">
        <v>31</v>
      </c>
      <c r="N599" s="2" t="s">
        <v>32</v>
      </c>
      <c r="O599" s="2" t="s">
        <v>2769</v>
      </c>
      <c r="P599" s="2" t="s">
        <v>34</v>
      </c>
      <c r="Q599" t="s">
        <v>1286</v>
      </c>
      <c r="R599" s="2" t="s">
        <v>206</v>
      </c>
      <c r="S599" s="2" t="s">
        <v>1287</v>
      </c>
      <c r="T599" s="2" t="s">
        <v>34</v>
      </c>
      <c r="U599" s="2" t="s">
        <v>1288</v>
      </c>
      <c r="V599" s="2" t="s">
        <v>3049</v>
      </c>
      <c r="W599" t="s">
        <v>3050</v>
      </c>
    </row>
    <row r="600" spans="1:23" x14ac:dyDescent="0.25">
      <c r="A600" t="s">
        <v>3051</v>
      </c>
      <c r="B600" s="4">
        <f t="shared" si="9"/>
        <v>73686</v>
      </c>
      <c r="C600" t="s">
        <v>3052</v>
      </c>
      <c r="D600" t="s">
        <v>365</v>
      </c>
      <c r="E600" t="s">
        <v>1190</v>
      </c>
      <c r="F600" t="s">
        <v>187</v>
      </c>
      <c r="G600" t="s">
        <v>352</v>
      </c>
      <c r="H600" s="2" t="s">
        <v>27</v>
      </c>
      <c r="I600" t="s">
        <v>28</v>
      </c>
      <c r="J600" s="2" t="s">
        <v>3053</v>
      </c>
      <c r="L600" s="2" t="s">
        <v>30</v>
      </c>
      <c r="M600" s="2" t="s">
        <v>31</v>
      </c>
      <c r="N600" s="2" t="s">
        <v>32</v>
      </c>
      <c r="O600" s="2" t="s">
        <v>2769</v>
      </c>
      <c r="P600" s="2" t="s">
        <v>34</v>
      </c>
      <c r="Q600" t="s">
        <v>1286</v>
      </c>
      <c r="R600" s="2" t="s">
        <v>206</v>
      </c>
      <c r="S600" s="2" t="s">
        <v>1287</v>
      </c>
      <c r="T600" s="2" t="s">
        <v>34</v>
      </c>
      <c r="U600" s="2" t="s">
        <v>1288</v>
      </c>
      <c r="V600" s="2" t="s">
        <v>3054</v>
      </c>
      <c r="W600" t="s">
        <v>3055</v>
      </c>
    </row>
    <row r="601" spans="1:23" x14ac:dyDescent="0.25">
      <c r="A601" t="s">
        <v>3056</v>
      </c>
      <c r="B601" s="4">
        <f t="shared" si="9"/>
        <v>73688</v>
      </c>
      <c r="C601" t="s">
        <v>3057</v>
      </c>
      <c r="D601" t="s">
        <v>42</v>
      </c>
      <c r="E601" t="s">
        <v>67</v>
      </c>
      <c r="F601">
        <v>2</v>
      </c>
      <c r="G601" t="s">
        <v>352</v>
      </c>
      <c r="H601" s="2" t="s">
        <v>27</v>
      </c>
      <c r="I601" t="s">
        <v>379</v>
      </c>
      <c r="J601" s="2" t="s">
        <v>3058</v>
      </c>
      <c r="L601" s="2" t="s">
        <v>30</v>
      </c>
      <c r="M601" s="2" t="s">
        <v>31</v>
      </c>
      <c r="N601" s="2" t="s">
        <v>32</v>
      </c>
      <c r="O601" s="2" t="s">
        <v>2833</v>
      </c>
      <c r="P601" s="2" t="s">
        <v>34</v>
      </c>
      <c r="Q601" t="s">
        <v>3059</v>
      </c>
      <c r="R601" s="2" t="s">
        <v>206</v>
      </c>
      <c r="S601" s="2" t="s">
        <v>3060</v>
      </c>
      <c r="T601" s="2" t="s">
        <v>60</v>
      </c>
    </row>
    <row r="602" spans="1:23" x14ac:dyDescent="0.25">
      <c r="A602" t="s">
        <v>3061</v>
      </c>
      <c r="B602" s="4">
        <f t="shared" si="9"/>
        <v>73694</v>
      </c>
      <c r="C602" t="s">
        <v>3062</v>
      </c>
      <c r="D602" t="s">
        <v>365</v>
      </c>
      <c r="E602" t="s">
        <v>1805</v>
      </c>
      <c r="F602" t="s">
        <v>367</v>
      </c>
      <c r="G602" t="s">
        <v>26</v>
      </c>
      <c r="H602" s="2" t="s">
        <v>27</v>
      </c>
      <c r="I602" t="s">
        <v>368</v>
      </c>
      <c r="J602" s="2" t="s">
        <v>3063</v>
      </c>
      <c r="L602" s="2" t="s">
        <v>30</v>
      </c>
      <c r="M602" s="2" t="s">
        <v>31</v>
      </c>
      <c r="N602" s="2" t="s">
        <v>32</v>
      </c>
      <c r="O602" s="2" t="s">
        <v>3064</v>
      </c>
      <c r="P602" s="2" t="s">
        <v>34</v>
      </c>
      <c r="Q602" t="s">
        <v>3065</v>
      </c>
      <c r="R602" s="2" t="s">
        <v>3066</v>
      </c>
      <c r="T602" s="2" t="s">
        <v>60</v>
      </c>
    </row>
    <row r="603" spans="1:23" x14ac:dyDescent="0.25">
      <c r="A603" t="s">
        <v>3067</v>
      </c>
      <c r="B603" s="4">
        <f t="shared" si="9"/>
        <v>73696</v>
      </c>
      <c r="C603" t="s">
        <v>3068</v>
      </c>
      <c r="D603" t="s">
        <v>1149</v>
      </c>
      <c r="E603" t="s">
        <v>1150</v>
      </c>
      <c r="F603" t="s">
        <v>680</v>
      </c>
      <c r="G603" t="s">
        <v>352</v>
      </c>
      <c r="H603" s="2" t="s">
        <v>373</v>
      </c>
      <c r="I603" t="s">
        <v>379</v>
      </c>
      <c r="K603" s="2" t="s">
        <v>1328</v>
      </c>
      <c r="L603" s="2" t="s">
        <v>30</v>
      </c>
      <c r="M603" s="2" t="s">
        <v>31</v>
      </c>
      <c r="N603" s="2" t="s">
        <v>32</v>
      </c>
      <c r="O603" s="2" t="s">
        <v>2949</v>
      </c>
      <c r="P603" s="2" t="s">
        <v>34</v>
      </c>
      <c r="Q603" t="s">
        <v>3069</v>
      </c>
      <c r="R603" s="2" t="s">
        <v>206</v>
      </c>
      <c r="S603" s="2" t="s">
        <v>3070</v>
      </c>
      <c r="T603" s="2" t="s">
        <v>60</v>
      </c>
    </row>
    <row r="604" spans="1:23" x14ac:dyDescent="0.25">
      <c r="A604" t="s">
        <v>3071</v>
      </c>
      <c r="B604" s="4">
        <f t="shared" si="9"/>
        <v>73697</v>
      </c>
      <c r="C604" t="s">
        <v>3072</v>
      </c>
      <c r="D604" t="s">
        <v>365</v>
      </c>
      <c r="E604" t="s">
        <v>1194</v>
      </c>
      <c r="F604" t="s">
        <v>187</v>
      </c>
      <c r="G604" t="s">
        <v>352</v>
      </c>
      <c r="H604" s="2" t="s">
        <v>373</v>
      </c>
      <c r="I604" t="s">
        <v>379</v>
      </c>
      <c r="K604" s="2" t="s">
        <v>2660</v>
      </c>
      <c r="L604" s="2" t="s">
        <v>30</v>
      </c>
      <c r="M604" s="2" t="s">
        <v>31</v>
      </c>
      <c r="N604" s="2" t="s">
        <v>32</v>
      </c>
      <c r="O604" s="2" t="s">
        <v>2661</v>
      </c>
      <c r="P604" s="2" t="s">
        <v>34</v>
      </c>
      <c r="Q604" t="s">
        <v>3073</v>
      </c>
      <c r="R604" s="2" t="s">
        <v>206</v>
      </c>
      <c r="S604" s="2" t="s">
        <v>3074</v>
      </c>
      <c r="T604" s="2" t="s">
        <v>60</v>
      </c>
    </row>
    <row r="605" spans="1:23" x14ac:dyDescent="0.25">
      <c r="A605" t="s">
        <v>3075</v>
      </c>
      <c r="B605" s="4">
        <f t="shared" si="9"/>
        <v>73698</v>
      </c>
      <c r="C605" t="s">
        <v>3076</v>
      </c>
      <c r="D605" t="s">
        <v>185</v>
      </c>
      <c r="E605" t="s">
        <v>969</v>
      </c>
      <c r="F605" t="s">
        <v>543</v>
      </c>
      <c r="G605" t="s">
        <v>352</v>
      </c>
      <c r="H605" s="2" t="s">
        <v>27</v>
      </c>
      <c r="I605" t="s">
        <v>28</v>
      </c>
      <c r="J605" s="2" t="s">
        <v>3077</v>
      </c>
      <c r="L605" s="2" t="s">
        <v>30</v>
      </c>
      <c r="M605" s="2" t="s">
        <v>31</v>
      </c>
      <c r="N605" s="2" t="s">
        <v>32</v>
      </c>
      <c r="O605" s="2" t="s">
        <v>2769</v>
      </c>
      <c r="P605" s="2" t="s">
        <v>34</v>
      </c>
      <c r="Q605" t="s">
        <v>1374</v>
      </c>
      <c r="R605" s="2" t="s">
        <v>206</v>
      </c>
      <c r="S605" s="2" t="s">
        <v>1375</v>
      </c>
      <c r="T605" s="2" t="s">
        <v>34</v>
      </c>
      <c r="U605" s="2" t="s">
        <v>1376</v>
      </c>
      <c r="V605" s="2" t="s">
        <v>3078</v>
      </c>
      <c r="W605" t="s">
        <v>2920</v>
      </c>
    </row>
    <row r="606" spans="1:23" x14ac:dyDescent="0.25">
      <c r="A606" t="s">
        <v>3079</v>
      </c>
      <c r="B606" s="4">
        <f t="shared" si="9"/>
        <v>73699</v>
      </c>
      <c r="C606" t="s">
        <v>3080</v>
      </c>
      <c r="D606" t="s">
        <v>42</v>
      </c>
      <c r="E606" t="s">
        <v>517</v>
      </c>
      <c r="F606">
        <v>2</v>
      </c>
      <c r="G606" t="s">
        <v>352</v>
      </c>
      <c r="H606" s="2" t="s">
        <v>27</v>
      </c>
      <c r="I606" t="s">
        <v>28</v>
      </c>
      <c r="J606" s="2" t="s">
        <v>3081</v>
      </c>
      <c r="L606" s="2" t="s">
        <v>30</v>
      </c>
      <c r="M606" s="2" t="s">
        <v>31</v>
      </c>
      <c r="N606" s="2" t="s">
        <v>32</v>
      </c>
      <c r="O606" s="2" t="s">
        <v>1171</v>
      </c>
      <c r="P606" s="2" t="s">
        <v>34</v>
      </c>
      <c r="Q606" t="s">
        <v>35</v>
      </c>
      <c r="R606" s="2" t="s">
        <v>36</v>
      </c>
      <c r="T606" s="2" t="s">
        <v>34</v>
      </c>
      <c r="U606" s="2" t="s">
        <v>37</v>
      </c>
      <c r="V606" s="2" t="s">
        <v>3082</v>
      </c>
      <c r="W606" t="s">
        <v>3083</v>
      </c>
    </row>
    <row r="607" spans="1:23" x14ac:dyDescent="0.25">
      <c r="A607" t="s">
        <v>3084</v>
      </c>
      <c r="B607" s="4">
        <f t="shared" si="9"/>
        <v>73702</v>
      </c>
      <c r="C607" t="s">
        <v>3085</v>
      </c>
      <c r="D607" t="s">
        <v>1149</v>
      </c>
      <c r="E607" t="s">
        <v>2922</v>
      </c>
      <c r="F607" t="s">
        <v>680</v>
      </c>
      <c r="G607" t="s">
        <v>26</v>
      </c>
      <c r="H607" s="2" t="s">
        <v>373</v>
      </c>
      <c r="I607" t="s">
        <v>368</v>
      </c>
      <c r="K607" s="2" t="s">
        <v>1151</v>
      </c>
      <c r="L607" s="2" t="s">
        <v>30</v>
      </c>
      <c r="M607" s="2" t="s">
        <v>31</v>
      </c>
      <c r="N607" s="2" t="s">
        <v>32</v>
      </c>
      <c r="O607" s="2" t="s">
        <v>1152</v>
      </c>
      <c r="P607" s="2" t="s">
        <v>34</v>
      </c>
      <c r="Q607" t="s">
        <v>2950</v>
      </c>
      <c r="R607" s="2" t="s">
        <v>2951</v>
      </c>
      <c r="T607" s="2" t="s">
        <v>60</v>
      </c>
    </row>
    <row r="608" spans="1:23" x14ac:dyDescent="0.25">
      <c r="A608" t="s">
        <v>3086</v>
      </c>
      <c r="B608" s="4">
        <f t="shared" si="9"/>
        <v>73703</v>
      </c>
      <c r="C608" t="s">
        <v>3087</v>
      </c>
      <c r="D608" t="s">
        <v>42</v>
      </c>
      <c r="E608" t="s">
        <v>933</v>
      </c>
      <c r="F608">
        <v>3</v>
      </c>
      <c r="G608" t="s">
        <v>26</v>
      </c>
      <c r="H608" s="2" t="s">
        <v>27</v>
      </c>
      <c r="I608" t="s">
        <v>28</v>
      </c>
      <c r="J608" s="2" t="s">
        <v>3088</v>
      </c>
      <c r="L608" s="2" t="s">
        <v>30</v>
      </c>
      <c r="M608" s="2" t="s">
        <v>31</v>
      </c>
      <c r="N608" s="2" t="s">
        <v>32</v>
      </c>
      <c r="O608" s="2" t="s">
        <v>652</v>
      </c>
      <c r="P608" s="2" t="s">
        <v>34</v>
      </c>
      <c r="Q608" t="s">
        <v>421</v>
      </c>
      <c r="R608" s="2" t="s">
        <v>422</v>
      </c>
      <c r="T608" s="2" t="s">
        <v>34</v>
      </c>
      <c r="U608" s="2" t="s">
        <v>423</v>
      </c>
      <c r="V608" s="2" t="s">
        <v>3089</v>
      </c>
      <c r="W608" t="s">
        <v>3090</v>
      </c>
    </row>
    <row r="609" spans="1:23" x14ac:dyDescent="0.25">
      <c r="A609" t="s">
        <v>3091</v>
      </c>
      <c r="B609" s="4">
        <f t="shared" si="9"/>
        <v>73704</v>
      </c>
      <c r="C609" t="s">
        <v>3092</v>
      </c>
      <c r="D609" t="s">
        <v>42</v>
      </c>
      <c r="E609" t="s">
        <v>67</v>
      </c>
      <c r="F609">
        <v>2</v>
      </c>
      <c r="G609" t="s">
        <v>352</v>
      </c>
      <c r="H609" s="2" t="s">
        <v>27</v>
      </c>
      <c r="I609" t="s">
        <v>379</v>
      </c>
      <c r="J609" s="2" t="s">
        <v>3093</v>
      </c>
      <c r="L609" s="2" t="s">
        <v>30</v>
      </c>
      <c r="M609" s="2" t="s">
        <v>31</v>
      </c>
      <c r="N609" s="2" t="s">
        <v>32</v>
      </c>
      <c r="O609" s="2" t="s">
        <v>2604</v>
      </c>
      <c r="P609" s="2" t="s">
        <v>34</v>
      </c>
      <c r="Q609" t="s">
        <v>2605</v>
      </c>
      <c r="R609" s="2" t="s">
        <v>206</v>
      </c>
      <c r="S609" s="2" t="s">
        <v>2606</v>
      </c>
      <c r="T609" s="2" t="s">
        <v>60</v>
      </c>
    </row>
    <row r="610" spans="1:23" x14ac:dyDescent="0.25">
      <c r="A610" t="s">
        <v>3094</v>
      </c>
      <c r="B610" s="4">
        <f t="shared" si="9"/>
        <v>73705</v>
      </c>
      <c r="C610" t="s">
        <v>3095</v>
      </c>
      <c r="D610" t="s">
        <v>42</v>
      </c>
      <c r="E610" t="s">
        <v>67</v>
      </c>
      <c r="F610">
        <v>2</v>
      </c>
      <c r="G610" t="s">
        <v>352</v>
      </c>
      <c r="H610" s="2" t="s">
        <v>27</v>
      </c>
      <c r="I610" t="s">
        <v>379</v>
      </c>
      <c r="J610" s="2" t="s">
        <v>3096</v>
      </c>
      <c r="L610" s="2" t="s">
        <v>30</v>
      </c>
      <c r="M610" s="2" t="s">
        <v>31</v>
      </c>
      <c r="N610" s="2" t="s">
        <v>32</v>
      </c>
      <c r="O610" s="2" t="s">
        <v>69</v>
      </c>
      <c r="P610" s="2" t="s">
        <v>34</v>
      </c>
      <c r="Q610" t="s">
        <v>70</v>
      </c>
      <c r="R610" s="2" t="s">
        <v>71</v>
      </c>
      <c r="T610" s="2" t="s">
        <v>34</v>
      </c>
      <c r="U610" s="2" t="s">
        <v>72</v>
      </c>
      <c r="V610" s="2" t="s">
        <v>3094</v>
      </c>
      <c r="W610" t="s">
        <v>3097</v>
      </c>
    </row>
    <row r="611" spans="1:23" x14ac:dyDescent="0.25">
      <c r="A611" t="s">
        <v>3098</v>
      </c>
      <c r="B611" s="4">
        <f t="shared" si="9"/>
        <v>73706</v>
      </c>
      <c r="C611" t="s">
        <v>3099</v>
      </c>
      <c r="D611" t="s">
        <v>42</v>
      </c>
      <c r="E611" t="s">
        <v>67</v>
      </c>
      <c r="F611">
        <v>2</v>
      </c>
      <c r="G611" t="s">
        <v>352</v>
      </c>
      <c r="H611" s="2" t="s">
        <v>27</v>
      </c>
      <c r="I611" t="s">
        <v>379</v>
      </c>
      <c r="J611" s="2" t="s">
        <v>3100</v>
      </c>
      <c r="L611" s="2" t="s">
        <v>30</v>
      </c>
      <c r="M611" s="2" t="s">
        <v>31</v>
      </c>
      <c r="N611" s="2" t="s">
        <v>32</v>
      </c>
      <c r="O611" s="2" t="s">
        <v>3101</v>
      </c>
      <c r="P611" s="2" t="s">
        <v>34</v>
      </c>
      <c r="Q611" t="s">
        <v>70</v>
      </c>
      <c r="R611" s="2" t="s">
        <v>71</v>
      </c>
      <c r="T611" s="2" t="s">
        <v>34</v>
      </c>
      <c r="U611" s="2" t="s">
        <v>72</v>
      </c>
      <c r="V611" s="2" t="s">
        <v>3102</v>
      </c>
      <c r="W611" t="s">
        <v>3103</v>
      </c>
    </row>
    <row r="612" spans="1:23" x14ac:dyDescent="0.25">
      <c r="A612" t="s">
        <v>3104</v>
      </c>
      <c r="B612" s="4">
        <f t="shared" si="9"/>
        <v>73710</v>
      </c>
      <c r="C612" t="s">
        <v>3105</v>
      </c>
      <c r="D612" t="s">
        <v>279</v>
      </c>
      <c r="E612" t="s">
        <v>2069</v>
      </c>
      <c r="F612" t="s">
        <v>543</v>
      </c>
      <c r="G612" t="s">
        <v>352</v>
      </c>
      <c r="H612" s="2" t="s">
        <v>27</v>
      </c>
      <c r="I612" t="s">
        <v>379</v>
      </c>
      <c r="J612" s="2" t="s">
        <v>3106</v>
      </c>
      <c r="L612" s="2" t="s">
        <v>30</v>
      </c>
      <c r="M612" s="2" t="s">
        <v>31</v>
      </c>
      <c r="N612" s="2" t="s">
        <v>32</v>
      </c>
      <c r="O612" s="2" t="s">
        <v>2769</v>
      </c>
      <c r="P612" s="2" t="s">
        <v>34</v>
      </c>
      <c r="Q612" t="s">
        <v>3107</v>
      </c>
      <c r="R612" s="2" t="s">
        <v>206</v>
      </c>
      <c r="S612" s="2" t="s">
        <v>3108</v>
      </c>
      <c r="T612" s="2" t="s">
        <v>60</v>
      </c>
    </row>
    <row r="613" spans="1:23" x14ac:dyDescent="0.25">
      <c r="A613" t="s">
        <v>3109</v>
      </c>
      <c r="B613" s="4">
        <f t="shared" si="9"/>
        <v>73711</v>
      </c>
      <c r="C613" t="s">
        <v>3110</v>
      </c>
      <c r="D613" t="s">
        <v>24</v>
      </c>
      <c r="E613" t="s">
        <v>655</v>
      </c>
      <c r="F613">
        <v>2</v>
      </c>
      <c r="G613" t="s">
        <v>26</v>
      </c>
      <c r="H613" s="2" t="s">
        <v>27</v>
      </c>
      <c r="I613" t="s">
        <v>368</v>
      </c>
      <c r="J613" s="2" t="s">
        <v>3111</v>
      </c>
      <c r="L613" s="2" t="s">
        <v>30</v>
      </c>
      <c r="M613" s="2" t="s">
        <v>31</v>
      </c>
      <c r="N613" s="2" t="s">
        <v>32</v>
      </c>
      <c r="O613" s="2" t="s">
        <v>3112</v>
      </c>
      <c r="P613" s="2" t="s">
        <v>34</v>
      </c>
      <c r="Q613" t="s">
        <v>3113</v>
      </c>
      <c r="R613" s="2" t="s">
        <v>206</v>
      </c>
      <c r="S613" s="2" t="s">
        <v>3114</v>
      </c>
      <c r="T613" s="2" t="s">
        <v>60</v>
      </c>
    </row>
    <row r="614" spans="1:23" x14ac:dyDescent="0.25">
      <c r="A614" t="s">
        <v>3115</v>
      </c>
      <c r="B614" s="4">
        <f t="shared" si="9"/>
        <v>73712</v>
      </c>
      <c r="C614" t="s">
        <v>3116</v>
      </c>
      <c r="D614" t="s">
        <v>42</v>
      </c>
      <c r="E614" t="s">
        <v>67</v>
      </c>
      <c r="F614">
        <v>2</v>
      </c>
      <c r="G614" t="s">
        <v>352</v>
      </c>
      <c r="H614" s="2" t="s">
        <v>27</v>
      </c>
      <c r="I614" t="s">
        <v>379</v>
      </c>
      <c r="J614" s="2" t="s">
        <v>3117</v>
      </c>
      <c r="L614" s="2" t="s">
        <v>30</v>
      </c>
      <c r="M614" s="2" t="s">
        <v>31</v>
      </c>
      <c r="N614" s="2" t="s">
        <v>32</v>
      </c>
      <c r="O614" s="2" t="s">
        <v>2479</v>
      </c>
      <c r="P614" s="2" t="s">
        <v>34</v>
      </c>
      <c r="Q614" t="s">
        <v>35</v>
      </c>
      <c r="R614" s="2" t="s">
        <v>36</v>
      </c>
      <c r="T614" s="2" t="s">
        <v>34</v>
      </c>
      <c r="U614" s="2" t="s">
        <v>37</v>
      </c>
      <c r="V614" s="2" t="s">
        <v>3118</v>
      </c>
      <c r="W614" t="s">
        <v>3119</v>
      </c>
    </row>
    <row r="615" spans="1:23" x14ac:dyDescent="0.25">
      <c r="A615" t="s">
        <v>3120</v>
      </c>
      <c r="B615" s="4">
        <f t="shared" si="9"/>
        <v>73713</v>
      </c>
      <c r="C615" t="s">
        <v>3121</v>
      </c>
      <c r="D615" t="s">
        <v>42</v>
      </c>
      <c r="E615" t="s">
        <v>67</v>
      </c>
      <c r="F615">
        <v>2</v>
      </c>
      <c r="G615" t="s">
        <v>352</v>
      </c>
      <c r="H615" s="2" t="s">
        <v>27</v>
      </c>
      <c r="I615" t="s">
        <v>379</v>
      </c>
      <c r="J615" s="2" t="s">
        <v>3122</v>
      </c>
      <c r="L615" s="2" t="s">
        <v>30</v>
      </c>
      <c r="M615" s="2" t="s">
        <v>31</v>
      </c>
      <c r="N615" s="2" t="s">
        <v>32</v>
      </c>
      <c r="O615" s="2" t="s">
        <v>69</v>
      </c>
      <c r="P615" s="2" t="s">
        <v>34</v>
      </c>
      <c r="Q615" t="s">
        <v>70</v>
      </c>
      <c r="R615" s="2" t="s">
        <v>71</v>
      </c>
      <c r="T615" s="2" t="s">
        <v>34</v>
      </c>
      <c r="U615" s="2" t="s">
        <v>72</v>
      </c>
      <c r="V615" s="2" t="s">
        <v>3120</v>
      </c>
      <c r="W615" t="s">
        <v>2971</v>
      </c>
    </row>
    <row r="616" spans="1:23" x14ac:dyDescent="0.25">
      <c r="A616" t="s">
        <v>3123</v>
      </c>
      <c r="B616" s="4">
        <f t="shared" si="9"/>
        <v>73714</v>
      </c>
      <c r="C616" t="s">
        <v>3124</v>
      </c>
      <c r="D616" t="s">
        <v>42</v>
      </c>
      <c r="E616" t="s">
        <v>67</v>
      </c>
      <c r="F616">
        <v>2</v>
      </c>
      <c r="G616" t="s">
        <v>352</v>
      </c>
      <c r="H616" s="2" t="s">
        <v>27</v>
      </c>
      <c r="I616" t="s">
        <v>379</v>
      </c>
      <c r="J616" s="2" t="s">
        <v>3125</v>
      </c>
      <c r="L616" s="2" t="s">
        <v>30</v>
      </c>
      <c r="M616" s="2" t="s">
        <v>31</v>
      </c>
      <c r="N616" s="2" t="s">
        <v>32</v>
      </c>
      <c r="O616" s="2" t="s">
        <v>2983</v>
      </c>
      <c r="P616" s="2" t="s">
        <v>34</v>
      </c>
      <c r="Q616" t="s">
        <v>3126</v>
      </c>
      <c r="R616" s="2" t="s">
        <v>3127</v>
      </c>
      <c r="T616" s="2" t="s">
        <v>60</v>
      </c>
    </row>
    <row r="617" spans="1:23" x14ac:dyDescent="0.25">
      <c r="A617" t="s">
        <v>3128</v>
      </c>
      <c r="B617" s="4">
        <f t="shared" si="9"/>
        <v>73715</v>
      </c>
      <c r="C617" t="s">
        <v>3129</v>
      </c>
      <c r="D617" t="s">
        <v>24</v>
      </c>
      <c r="E617" t="s">
        <v>212</v>
      </c>
      <c r="F617">
        <v>2</v>
      </c>
      <c r="G617" t="s">
        <v>26</v>
      </c>
      <c r="H617" s="2" t="s">
        <v>27</v>
      </c>
      <c r="I617" t="s">
        <v>55</v>
      </c>
      <c r="J617" s="2" t="s">
        <v>3130</v>
      </c>
      <c r="L617" s="2" t="s">
        <v>30</v>
      </c>
      <c r="M617" s="2" t="s">
        <v>31</v>
      </c>
      <c r="N617" s="2" t="s">
        <v>32</v>
      </c>
      <c r="O617" s="2" t="s">
        <v>3131</v>
      </c>
      <c r="P617" s="2" t="s">
        <v>34</v>
      </c>
      <c r="Q617" t="s">
        <v>3132</v>
      </c>
      <c r="R617" s="2" t="s">
        <v>206</v>
      </c>
      <c r="S617" s="2" t="s">
        <v>3133</v>
      </c>
      <c r="T617" s="2" t="s">
        <v>60</v>
      </c>
    </row>
    <row r="618" spans="1:23" x14ac:dyDescent="0.25">
      <c r="A618" t="s">
        <v>3134</v>
      </c>
      <c r="B618" s="4">
        <f t="shared" si="9"/>
        <v>73716</v>
      </c>
      <c r="C618" t="s">
        <v>3135</v>
      </c>
      <c r="D618" t="s">
        <v>42</v>
      </c>
      <c r="E618" t="s">
        <v>133</v>
      </c>
      <c r="F618">
        <v>2</v>
      </c>
      <c r="G618" t="s">
        <v>352</v>
      </c>
      <c r="H618" s="2" t="s">
        <v>27</v>
      </c>
      <c r="I618" t="s">
        <v>379</v>
      </c>
      <c r="J618" s="2" t="s">
        <v>3136</v>
      </c>
      <c r="L618" s="2" t="s">
        <v>30</v>
      </c>
      <c r="M618" s="2" t="s">
        <v>31</v>
      </c>
      <c r="N618" s="2" t="s">
        <v>32</v>
      </c>
      <c r="O618" s="2" t="s">
        <v>3137</v>
      </c>
      <c r="P618" s="2" t="s">
        <v>34</v>
      </c>
      <c r="Q618" t="s">
        <v>3138</v>
      </c>
      <c r="R618" s="2" t="s">
        <v>206</v>
      </c>
      <c r="S618" s="2" t="s">
        <v>3139</v>
      </c>
      <c r="T618" s="2" t="s">
        <v>60</v>
      </c>
    </row>
    <row r="619" spans="1:23" x14ac:dyDescent="0.25">
      <c r="A619" t="s">
        <v>3140</v>
      </c>
      <c r="B619" s="4">
        <f t="shared" si="9"/>
        <v>73717</v>
      </c>
      <c r="C619" t="s">
        <v>3141</v>
      </c>
      <c r="D619" t="s">
        <v>365</v>
      </c>
      <c r="E619" t="s">
        <v>1396</v>
      </c>
      <c r="F619" t="s">
        <v>367</v>
      </c>
      <c r="G619" t="s">
        <v>352</v>
      </c>
      <c r="H619" s="2" t="s">
        <v>373</v>
      </c>
      <c r="I619" t="s">
        <v>379</v>
      </c>
      <c r="K619" s="2" t="s">
        <v>3142</v>
      </c>
      <c r="L619" s="2" t="s">
        <v>30</v>
      </c>
      <c r="M619" s="2" t="s">
        <v>31</v>
      </c>
      <c r="N619" s="2" t="s">
        <v>32</v>
      </c>
      <c r="O619" s="2" t="s">
        <v>1471</v>
      </c>
      <c r="P619" s="2" t="s">
        <v>34</v>
      </c>
      <c r="Q619" t="s">
        <v>3143</v>
      </c>
      <c r="R619" s="2" t="s">
        <v>3144</v>
      </c>
      <c r="T619" s="2" t="s">
        <v>60</v>
      </c>
    </row>
    <row r="620" spans="1:23" x14ac:dyDescent="0.25">
      <c r="A620" t="s">
        <v>3145</v>
      </c>
      <c r="B620" s="4">
        <f t="shared" si="9"/>
        <v>73718</v>
      </c>
      <c r="C620" t="s">
        <v>3146</v>
      </c>
      <c r="D620" t="s">
        <v>42</v>
      </c>
      <c r="E620" t="s">
        <v>201</v>
      </c>
      <c r="F620">
        <v>3</v>
      </c>
      <c r="G620" t="s">
        <v>26</v>
      </c>
      <c r="H620" s="2" t="s">
        <v>27</v>
      </c>
      <c r="I620" t="s">
        <v>28</v>
      </c>
      <c r="J620" s="2" t="s">
        <v>3147</v>
      </c>
      <c r="L620" s="2" t="s">
        <v>30</v>
      </c>
      <c r="M620" s="2" t="s">
        <v>31</v>
      </c>
      <c r="N620" s="2" t="s">
        <v>32</v>
      </c>
      <c r="O620" s="2" t="s">
        <v>652</v>
      </c>
      <c r="P620" s="2" t="s">
        <v>34</v>
      </c>
      <c r="Q620" t="s">
        <v>46</v>
      </c>
      <c r="R620" s="2" t="s">
        <v>47</v>
      </c>
      <c r="T620" s="2" t="s">
        <v>34</v>
      </c>
      <c r="U620" s="2" t="s">
        <v>48</v>
      </c>
      <c r="V620" s="2" t="s">
        <v>3148</v>
      </c>
      <c r="W620" t="s">
        <v>3149</v>
      </c>
    </row>
    <row r="621" spans="1:23" x14ac:dyDescent="0.25">
      <c r="A621" t="s">
        <v>3150</v>
      </c>
      <c r="B621" s="4">
        <f t="shared" si="9"/>
        <v>73719</v>
      </c>
      <c r="C621" t="s">
        <v>3151</v>
      </c>
      <c r="D621" t="s">
        <v>365</v>
      </c>
      <c r="E621" t="s">
        <v>3152</v>
      </c>
      <c r="F621" t="s">
        <v>367</v>
      </c>
      <c r="G621" t="s">
        <v>352</v>
      </c>
      <c r="H621" s="2" t="s">
        <v>27</v>
      </c>
      <c r="I621" t="s">
        <v>379</v>
      </c>
      <c r="J621" s="2" t="s">
        <v>3153</v>
      </c>
      <c r="L621" s="2" t="s">
        <v>30</v>
      </c>
      <c r="M621" s="2" t="s">
        <v>31</v>
      </c>
      <c r="N621" s="2" t="s">
        <v>32</v>
      </c>
      <c r="O621" s="2" t="s">
        <v>2769</v>
      </c>
      <c r="P621" s="2" t="s">
        <v>34</v>
      </c>
      <c r="Q621" t="s">
        <v>3154</v>
      </c>
      <c r="R621" s="2" t="s">
        <v>206</v>
      </c>
      <c r="S621" s="2" t="s">
        <v>3155</v>
      </c>
      <c r="T621" s="2" t="s">
        <v>60</v>
      </c>
    </row>
    <row r="622" spans="1:23" x14ac:dyDescent="0.25">
      <c r="A622" t="s">
        <v>3156</v>
      </c>
      <c r="B622" s="4">
        <f t="shared" si="9"/>
        <v>73721</v>
      </c>
      <c r="C622" t="s">
        <v>3157</v>
      </c>
      <c r="D622" t="s">
        <v>149</v>
      </c>
      <c r="E622" t="s">
        <v>3158</v>
      </c>
      <c r="F622">
        <v>3</v>
      </c>
      <c r="G622" t="s">
        <v>26</v>
      </c>
      <c r="H622" s="2" t="s">
        <v>27</v>
      </c>
      <c r="I622" t="s">
        <v>55</v>
      </c>
      <c r="J622" s="2" t="s">
        <v>3159</v>
      </c>
      <c r="L622" s="2" t="s">
        <v>30</v>
      </c>
      <c r="M622" s="2" t="s">
        <v>31</v>
      </c>
      <c r="N622" s="2" t="s">
        <v>32</v>
      </c>
      <c r="O622" s="2" t="s">
        <v>198</v>
      </c>
      <c r="P622" s="2" t="s">
        <v>34</v>
      </c>
      <c r="Q622" t="s">
        <v>153</v>
      </c>
      <c r="R622" s="2" t="s">
        <v>154</v>
      </c>
      <c r="T622" s="2" t="s">
        <v>60</v>
      </c>
    </row>
    <row r="623" spans="1:23" x14ac:dyDescent="0.25">
      <c r="A623" t="s">
        <v>3160</v>
      </c>
      <c r="B623" s="4">
        <f t="shared" si="9"/>
        <v>73722</v>
      </c>
      <c r="C623" t="s">
        <v>3161</v>
      </c>
      <c r="D623" t="s">
        <v>149</v>
      </c>
      <c r="E623" t="s">
        <v>3158</v>
      </c>
      <c r="F623">
        <v>3</v>
      </c>
      <c r="G623" t="s">
        <v>26</v>
      </c>
      <c r="H623" s="2" t="s">
        <v>27</v>
      </c>
      <c r="I623" t="s">
        <v>55</v>
      </c>
      <c r="J623" s="2" t="s">
        <v>3162</v>
      </c>
      <c r="L623" s="2" t="s">
        <v>30</v>
      </c>
      <c r="M623" s="2" t="s">
        <v>31</v>
      </c>
      <c r="N623" s="2" t="s">
        <v>32</v>
      </c>
      <c r="O623" s="2" t="s">
        <v>152</v>
      </c>
      <c r="P623" s="2" t="s">
        <v>34</v>
      </c>
      <c r="Q623" t="s">
        <v>744</v>
      </c>
      <c r="R623" s="2" t="s">
        <v>745</v>
      </c>
      <c r="T623" s="2" t="s">
        <v>60</v>
      </c>
    </row>
    <row r="624" spans="1:23" x14ac:dyDescent="0.25">
      <c r="A624" t="s">
        <v>3163</v>
      </c>
      <c r="B624" s="4">
        <f t="shared" si="9"/>
        <v>73727</v>
      </c>
      <c r="C624" t="s">
        <v>3164</v>
      </c>
      <c r="D624" t="s">
        <v>42</v>
      </c>
      <c r="E624" t="s">
        <v>517</v>
      </c>
      <c r="F624">
        <v>3</v>
      </c>
      <c r="G624" t="s">
        <v>352</v>
      </c>
      <c r="H624" s="2" t="s">
        <v>27</v>
      </c>
      <c r="I624" t="s">
        <v>379</v>
      </c>
      <c r="J624" s="2" t="s">
        <v>3165</v>
      </c>
      <c r="L624" s="2" t="s">
        <v>30</v>
      </c>
      <c r="M624" s="2" t="s">
        <v>31</v>
      </c>
      <c r="N624" s="2" t="s">
        <v>32</v>
      </c>
      <c r="O624" s="2" t="s">
        <v>3166</v>
      </c>
      <c r="P624" s="2" t="s">
        <v>34</v>
      </c>
      <c r="Q624" t="s">
        <v>3167</v>
      </c>
      <c r="R624" s="2" t="s">
        <v>3168</v>
      </c>
      <c r="T624" s="2" t="s">
        <v>60</v>
      </c>
    </row>
    <row r="625" spans="1:23" x14ac:dyDescent="0.25">
      <c r="A625" t="s">
        <v>3169</v>
      </c>
      <c r="B625" s="4">
        <f t="shared" si="9"/>
        <v>73728</v>
      </c>
      <c r="C625" t="s">
        <v>3170</v>
      </c>
      <c r="D625" t="s">
        <v>42</v>
      </c>
      <c r="E625" t="s">
        <v>67</v>
      </c>
      <c r="F625">
        <v>2</v>
      </c>
      <c r="G625" t="s">
        <v>352</v>
      </c>
      <c r="H625" s="2" t="s">
        <v>27</v>
      </c>
      <c r="I625" t="s">
        <v>379</v>
      </c>
      <c r="J625" s="2" t="s">
        <v>3171</v>
      </c>
      <c r="L625" s="2" t="s">
        <v>30</v>
      </c>
      <c r="M625" s="2" t="s">
        <v>31</v>
      </c>
      <c r="N625" s="2" t="s">
        <v>32</v>
      </c>
      <c r="O625" s="2" t="s">
        <v>69</v>
      </c>
      <c r="P625" s="2" t="s">
        <v>34</v>
      </c>
      <c r="Q625" t="s">
        <v>70</v>
      </c>
      <c r="R625" s="2" t="s">
        <v>71</v>
      </c>
      <c r="T625" s="2" t="s">
        <v>34</v>
      </c>
      <c r="U625" s="2" t="s">
        <v>72</v>
      </c>
      <c r="V625" s="2" t="s">
        <v>3169</v>
      </c>
      <c r="W625" t="s">
        <v>3172</v>
      </c>
    </row>
    <row r="626" spans="1:23" x14ac:dyDescent="0.25">
      <c r="A626" t="s">
        <v>3173</v>
      </c>
      <c r="B626" s="4">
        <f t="shared" si="9"/>
        <v>73729</v>
      </c>
      <c r="C626" t="s">
        <v>3174</v>
      </c>
      <c r="D626" t="s">
        <v>320</v>
      </c>
      <c r="E626" t="s">
        <v>2101</v>
      </c>
      <c r="F626" t="s">
        <v>187</v>
      </c>
      <c r="G626" t="s">
        <v>26</v>
      </c>
      <c r="H626" s="2" t="s">
        <v>27</v>
      </c>
      <c r="I626" t="s">
        <v>368</v>
      </c>
      <c r="J626" s="2" t="s">
        <v>3175</v>
      </c>
      <c r="L626" s="2" t="s">
        <v>30</v>
      </c>
      <c r="M626" s="2" t="s">
        <v>31</v>
      </c>
      <c r="N626" s="2" t="s">
        <v>32</v>
      </c>
      <c r="O626" s="2" t="s">
        <v>2103</v>
      </c>
      <c r="P626" s="2" t="s">
        <v>34</v>
      </c>
      <c r="Q626" t="s">
        <v>1562</v>
      </c>
      <c r="R626" s="2" t="s">
        <v>1563</v>
      </c>
      <c r="T626" s="2" t="s">
        <v>60</v>
      </c>
    </row>
    <row r="627" spans="1:23" x14ac:dyDescent="0.25">
      <c r="A627" t="s">
        <v>3176</v>
      </c>
      <c r="B627" s="4">
        <f t="shared" si="9"/>
        <v>73730</v>
      </c>
      <c r="C627" t="s">
        <v>3177</v>
      </c>
      <c r="D627" t="s">
        <v>24</v>
      </c>
      <c r="E627" t="s">
        <v>2489</v>
      </c>
      <c r="F627">
        <v>2</v>
      </c>
      <c r="G627" t="s">
        <v>26</v>
      </c>
      <c r="H627" s="2" t="s">
        <v>27</v>
      </c>
      <c r="I627" t="s">
        <v>28</v>
      </c>
      <c r="J627" s="2" t="s">
        <v>3178</v>
      </c>
      <c r="L627" s="2" t="s">
        <v>30</v>
      </c>
      <c r="M627" s="2" t="s">
        <v>31</v>
      </c>
      <c r="N627" s="2" t="s">
        <v>32</v>
      </c>
      <c r="O627" s="2" t="s">
        <v>214</v>
      </c>
      <c r="P627" s="2" t="s">
        <v>34</v>
      </c>
      <c r="Q627" t="s">
        <v>2181</v>
      </c>
      <c r="R627" s="2" t="s">
        <v>2182</v>
      </c>
      <c r="T627" s="2" t="s">
        <v>34</v>
      </c>
      <c r="U627" s="2" t="s">
        <v>2183</v>
      </c>
      <c r="V627" s="2" t="s">
        <v>3179</v>
      </c>
      <c r="W627" t="s">
        <v>3180</v>
      </c>
    </row>
    <row r="628" spans="1:23" x14ac:dyDescent="0.25">
      <c r="A628" t="s">
        <v>3181</v>
      </c>
      <c r="B628" s="4">
        <f t="shared" si="9"/>
        <v>73731</v>
      </c>
      <c r="C628" t="s">
        <v>3182</v>
      </c>
      <c r="D628" t="s">
        <v>42</v>
      </c>
      <c r="E628" t="s">
        <v>509</v>
      </c>
      <c r="F628">
        <v>3</v>
      </c>
      <c r="G628" t="s">
        <v>352</v>
      </c>
      <c r="H628" s="2" t="s">
        <v>27</v>
      </c>
      <c r="I628" t="s">
        <v>379</v>
      </c>
      <c r="J628" s="2" t="s">
        <v>3183</v>
      </c>
      <c r="L628" s="2" t="s">
        <v>30</v>
      </c>
      <c r="M628" s="2" t="s">
        <v>31</v>
      </c>
      <c r="N628" s="2" t="s">
        <v>32</v>
      </c>
      <c r="O628" s="2" t="s">
        <v>3184</v>
      </c>
      <c r="P628" s="2" t="s">
        <v>34</v>
      </c>
      <c r="Q628" t="s">
        <v>3185</v>
      </c>
      <c r="R628" s="2" t="s">
        <v>206</v>
      </c>
      <c r="S628" s="2" t="s">
        <v>3186</v>
      </c>
      <c r="T628" s="2" t="s">
        <v>60</v>
      </c>
    </row>
    <row r="629" spans="1:23" x14ac:dyDescent="0.25">
      <c r="A629" t="s">
        <v>3187</v>
      </c>
      <c r="B629" s="4">
        <f t="shared" si="9"/>
        <v>73732</v>
      </c>
      <c r="C629" t="s">
        <v>3188</v>
      </c>
      <c r="D629" t="s">
        <v>24</v>
      </c>
      <c r="E629" t="s">
        <v>25</v>
      </c>
      <c r="F629">
        <v>2</v>
      </c>
      <c r="G629" t="s">
        <v>352</v>
      </c>
      <c r="H629" s="2" t="s">
        <v>27</v>
      </c>
      <c r="I629" t="s">
        <v>379</v>
      </c>
      <c r="J629" s="2" t="s">
        <v>3189</v>
      </c>
      <c r="L629" s="2" t="s">
        <v>30</v>
      </c>
      <c r="M629" s="2" t="s">
        <v>31</v>
      </c>
      <c r="N629" s="2" t="s">
        <v>32</v>
      </c>
      <c r="O629" s="2" t="s">
        <v>2983</v>
      </c>
      <c r="P629" s="2" t="s">
        <v>34</v>
      </c>
      <c r="Q629" t="s">
        <v>3190</v>
      </c>
      <c r="R629" s="2" t="s">
        <v>206</v>
      </c>
      <c r="S629" s="2" t="s">
        <v>3191</v>
      </c>
      <c r="T629" s="2" t="s">
        <v>60</v>
      </c>
    </row>
    <row r="630" spans="1:23" x14ac:dyDescent="0.25">
      <c r="A630" t="s">
        <v>3192</v>
      </c>
      <c r="B630" s="4">
        <f t="shared" si="9"/>
        <v>73733</v>
      </c>
      <c r="C630" t="s">
        <v>3193</v>
      </c>
      <c r="D630" t="s">
        <v>42</v>
      </c>
      <c r="E630" t="s">
        <v>67</v>
      </c>
      <c r="F630">
        <v>2</v>
      </c>
      <c r="G630" t="s">
        <v>352</v>
      </c>
      <c r="H630" s="2" t="s">
        <v>27</v>
      </c>
      <c r="I630" t="s">
        <v>379</v>
      </c>
      <c r="J630" s="2" t="s">
        <v>3194</v>
      </c>
      <c r="L630" s="2" t="s">
        <v>30</v>
      </c>
      <c r="M630" s="2" t="s">
        <v>31</v>
      </c>
      <c r="N630" s="2" t="s">
        <v>32</v>
      </c>
      <c r="O630" s="2" t="s">
        <v>2983</v>
      </c>
      <c r="P630" s="2" t="s">
        <v>34</v>
      </c>
      <c r="Q630" t="s">
        <v>2712</v>
      </c>
      <c r="R630" s="2" t="s">
        <v>2713</v>
      </c>
      <c r="T630" s="2" t="s">
        <v>60</v>
      </c>
    </row>
    <row r="631" spans="1:23" x14ac:dyDescent="0.25">
      <c r="A631" t="s">
        <v>3195</v>
      </c>
      <c r="B631" s="4">
        <f t="shared" si="9"/>
        <v>73734</v>
      </c>
      <c r="C631" t="s">
        <v>3196</v>
      </c>
      <c r="D631" t="s">
        <v>2423</v>
      </c>
      <c r="E631" t="s">
        <v>2424</v>
      </c>
      <c r="F631">
        <v>2</v>
      </c>
      <c r="G631" t="s">
        <v>352</v>
      </c>
      <c r="H631" s="2" t="s">
        <v>27</v>
      </c>
      <c r="I631" t="s">
        <v>379</v>
      </c>
      <c r="J631" s="2" t="s">
        <v>3197</v>
      </c>
      <c r="L631" s="2" t="s">
        <v>30</v>
      </c>
      <c r="M631" s="2" t="s">
        <v>31</v>
      </c>
      <c r="N631" s="2" t="s">
        <v>32</v>
      </c>
      <c r="O631" s="2" t="s">
        <v>3198</v>
      </c>
      <c r="P631" s="2" t="s">
        <v>34</v>
      </c>
      <c r="Q631" t="s">
        <v>3199</v>
      </c>
      <c r="R631" s="2" t="s">
        <v>206</v>
      </c>
      <c r="S631" s="2" t="s">
        <v>3200</v>
      </c>
      <c r="T631" s="2" t="s">
        <v>60</v>
      </c>
    </row>
    <row r="632" spans="1:23" x14ac:dyDescent="0.25">
      <c r="A632" t="s">
        <v>3201</v>
      </c>
      <c r="B632" s="4">
        <f t="shared" si="9"/>
        <v>73735</v>
      </c>
      <c r="C632" t="s">
        <v>3202</v>
      </c>
      <c r="D632" t="s">
        <v>24</v>
      </c>
      <c r="E632" t="s">
        <v>25</v>
      </c>
      <c r="F632">
        <v>2</v>
      </c>
      <c r="G632" t="s">
        <v>352</v>
      </c>
      <c r="H632" s="2" t="s">
        <v>27</v>
      </c>
      <c r="I632" t="s">
        <v>379</v>
      </c>
      <c r="J632" s="2" t="s">
        <v>3203</v>
      </c>
      <c r="L632" s="2" t="s">
        <v>30</v>
      </c>
      <c r="M632" s="2" t="s">
        <v>31</v>
      </c>
      <c r="N632" s="2" t="s">
        <v>32</v>
      </c>
      <c r="O632" s="2" t="s">
        <v>33</v>
      </c>
      <c r="P632" s="2" t="s">
        <v>34</v>
      </c>
      <c r="Q632" t="s">
        <v>3204</v>
      </c>
      <c r="R632" s="2" t="s">
        <v>206</v>
      </c>
      <c r="S632" s="2" t="s">
        <v>3205</v>
      </c>
      <c r="T632" s="2" t="s">
        <v>60</v>
      </c>
    </row>
    <row r="633" spans="1:23" x14ac:dyDescent="0.25">
      <c r="A633" t="s">
        <v>3206</v>
      </c>
      <c r="B633" s="4">
        <f t="shared" si="9"/>
        <v>73736</v>
      </c>
      <c r="C633" t="s">
        <v>3207</v>
      </c>
      <c r="D633" t="s">
        <v>2423</v>
      </c>
      <c r="E633" t="s">
        <v>2424</v>
      </c>
      <c r="F633">
        <v>2</v>
      </c>
      <c r="G633" t="s">
        <v>352</v>
      </c>
      <c r="H633" s="2" t="s">
        <v>27</v>
      </c>
      <c r="I633" t="s">
        <v>379</v>
      </c>
      <c r="J633" s="2" t="s">
        <v>3208</v>
      </c>
      <c r="L633" s="2" t="s">
        <v>30</v>
      </c>
      <c r="M633" s="2" t="s">
        <v>31</v>
      </c>
      <c r="N633" s="2" t="s">
        <v>32</v>
      </c>
      <c r="O633" s="2" t="s">
        <v>3209</v>
      </c>
      <c r="P633" s="2" t="s">
        <v>34</v>
      </c>
      <c r="Q633" t="s">
        <v>2984</v>
      </c>
      <c r="R633" s="2" t="s">
        <v>2985</v>
      </c>
      <c r="T633" s="2" t="s">
        <v>60</v>
      </c>
    </row>
    <row r="634" spans="1:23" x14ac:dyDescent="0.25">
      <c r="A634" t="s">
        <v>3210</v>
      </c>
      <c r="B634" s="4">
        <f t="shared" si="9"/>
        <v>73807</v>
      </c>
      <c r="C634" t="s">
        <v>3211</v>
      </c>
      <c r="D634" t="s">
        <v>1149</v>
      </c>
      <c r="E634" t="s">
        <v>1427</v>
      </c>
      <c r="F634" t="s">
        <v>543</v>
      </c>
      <c r="G634" t="s">
        <v>26</v>
      </c>
      <c r="H634" s="2" t="s">
        <v>373</v>
      </c>
      <c r="I634" t="s">
        <v>368</v>
      </c>
      <c r="K634" s="2" t="s">
        <v>1859</v>
      </c>
      <c r="L634" s="2" t="s">
        <v>30</v>
      </c>
      <c r="M634" s="2" t="s">
        <v>31</v>
      </c>
      <c r="N634" s="2" t="s">
        <v>32</v>
      </c>
      <c r="O634" s="2" t="s">
        <v>3212</v>
      </c>
      <c r="P634" s="2" t="s">
        <v>34</v>
      </c>
      <c r="Q634" t="s">
        <v>1732</v>
      </c>
      <c r="R634" s="2" t="s">
        <v>206</v>
      </c>
      <c r="S634" s="2" t="s">
        <v>1733</v>
      </c>
      <c r="T634" s="2" t="s">
        <v>60</v>
      </c>
    </row>
    <row r="635" spans="1:23" x14ac:dyDescent="0.25">
      <c r="A635" t="s">
        <v>3213</v>
      </c>
      <c r="B635" s="4">
        <f t="shared" si="9"/>
        <v>73808</v>
      </c>
      <c r="C635" t="s">
        <v>3214</v>
      </c>
      <c r="D635" t="s">
        <v>42</v>
      </c>
      <c r="E635" t="s">
        <v>517</v>
      </c>
      <c r="F635">
        <v>2</v>
      </c>
      <c r="G635" t="s">
        <v>352</v>
      </c>
      <c r="H635" s="2" t="s">
        <v>27</v>
      </c>
      <c r="I635" t="s">
        <v>28</v>
      </c>
      <c r="J635" s="2" t="s">
        <v>3215</v>
      </c>
      <c r="L635" s="2" t="s">
        <v>30</v>
      </c>
      <c r="M635" s="2" t="s">
        <v>31</v>
      </c>
      <c r="N635" s="2" t="s">
        <v>32</v>
      </c>
      <c r="O635" s="2" t="s">
        <v>85</v>
      </c>
      <c r="P635" s="2" t="s">
        <v>34</v>
      </c>
      <c r="Q635" t="s">
        <v>35</v>
      </c>
      <c r="R635" s="2" t="s">
        <v>36</v>
      </c>
      <c r="T635" s="2" t="s">
        <v>34</v>
      </c>
      <c r="U635" s="2" t="s">
        <v>37</v>
      </c>
      <c r="V635" s="2" t="s">
        <v>3216</v>
      </c>
      <c r="W635" t="s">
        <v>3217</v>
      </c>
    </row>
    <row r="636" spans="1:23" x14ac:dyDescent="0.25">
      <c r="A636" t="s">
        <v>3218</v>
      </c>
      <c r="B636" s="4">
        <f t="shared" si="9"/>
        <v>73809</v>
      </c>
      <c r="C636" t="s">
        <v>3219</v>
      </c>
      <c r="D636" t="s">
        <v>24</v>
      </c>
      <c r="E636" t="s">
        <v>25</v>
      </c>
      <c r="F636">
        <v>2</v>
      </c>
      <c r="G636" t="s">
        <v>352</v>
      </c>
      <c r="H636" s="2" t="s">
        <v>27</v>
      </c>
      <c r="I636" t="s">
        <v>379</v>
      </c>
      <c r="J636" s="2" t="s">
        <v>3220</v>
      </c>
      <c r="L636" s="2" t="s">
        <v>30</v>
      </c>
      <c r="M636" s="2" t="s">
        <v>31</v>
      </c>
      <c r="N636" s="2" t="s">
        <v>32</v>
      </c>
      <c r="O636" s="2" t="s">
        <v>3221</v>
      </c>
      <c r="P636" s="2" t="s">
        <v>34</v>
      </c>
      <c r="Q636" t="s">
        <v>3222</v>
      </c>
      <c r="R636" s="2" t="s">
        <v>206</v>
      </c>
      <c r="S636" s="2" t="s">
        <v>3223</v>
      </c>
      <c r="T636" s="2" t="s">
        <v>60</v>
      </c>
    </row>
    <row r="637" spans="1:23" x14ac:dyDescent="0.25">
      <c r="A637" t="s">
        <v>3224</v>
      </c>
      <c r="B637" s="4">
        <f t="shared" si="9"/>
        <v>73810</v>
      </c>
      <c r="C637" t="s">
        <v>3225</v>
      </c>
      <c r="D637" t="s">
        <v>365</v>
      </c>
      <c r="E637" t="s">
        <v>1396</v>
      </c>
      <c r="F637" t="s">
        <v>367</v>
      </c>
      <c r="G637" t="s">
        <v>352</v>
      </c>
      <c r="H637" s="2" t="s">
        <v>27</v>
      </c>
      <c r="I637" t="s">
        <v>379</v>
      </c>
      <c r="J637" s="2" t="s">
        <v>3226</v>
      </c>
      <c r="L637" s="2" t="s">
        <v>30</v>
      </c>
      <c r="M637" s="2" t="s">
        <v>31</v>
      </c>
      <c r="N637" s="2" t="s">
        <v>32</v>
      </c>
      <c r="O637" s="2" t="s">
        <v>2769</v>
      </c>
      <c r="P637" s="2" t="s">
        <v>34</v>
      </c>
      <c r="Q637" t="s">
        <v>3227</v>
      </c>
      <c r="R637" s="2" t="s">
        <v>206</v>
      </c>
      <c r="S637" s="2" t="s">
        <v>3228</v>
      </c>
      <c r="T637" s="2" t="s">
        <v>60</v>
      </c>
    </row>
    <row r="638" spans="1:23" x14ac:dyDescent="0.25">
      <c r="A638" t="s">
        <v>3229</v>
      </c>
      <c r="B638" s="4">
        <f t="shared" si="9"/>
        <v>73811</v>
      </c>
      <c r="C638" t="s">
        <v>3230</v>
      </c>
      <c r="D638" t="s">
        <v>365</v>
      </c>
      <c r="E638" t="s">
        <v>2849</v>
      </c>
      <c r="F638" t="s">
        <v>367</v>
      </c>
      <c r="G638" t="s">
        <v>26</v>
      </c>
      <c r="H638" s="2" t="s">
        <v>27</v>
      </c>
      <c r="I638" t="s">
        <v>28</v>
      </c>
      <c r="J638" s="2" t="s">
        <v>3231</v>
      </c>
      <c r="L638" s="2" t="s">
        <v>30</v>
      </c>
      <c r="M638" s="2" t="s">
        <v>31</v>
      </c>
      <c r="N638" s="2" t="s">
        <v>32</v>
      </c>
      <c r="O638" s="2" t="s">
        <v>2769</v>
      </c>
      <c r="P638" s="2" t="s">
        <v>34</v>
      </c>
      <c r="Q638" t="s">
        <v>1389</v>
      </c>
      <c r="R638" s="2" t="s">
        <v>206</v>
      </c>
      <c r="S638" s="2" t="s">
        <v>1390</v>
      </c>
      <c r="T638" s="2" t="s">
        <v>34</v>
      </c>
      <c r="U638" s="2" t="s">
        <v>1391</v>
      </c>
      <c r="V638" s="2" t="s">
        <v>3232</v>
      </c>
      <c r="W638" t="s">
        <v>3233</v>
      </c>
    </row>
    <row r="639" spans="1:23" x14ac:dyDescent="0.25">
      <c r="A639" t="s">
        <v>3234</v>
      </c>
      <c r="B639" s="4">
        <f t="shared" si="9"/>
        <v>73812</v>
      </c>
      <c r="C639" t="s">
        <v>3235</v>
      </c>
      <c r="D639" t="s">
        <v>24</v>
      </c>
      <c r="E639" t="s">
        <v>25</v>
      </c>
      <c r="F639">
        <v>2</v>
      </c>
      <c r="G639" t="s">
        <v>352</v>
      </c>
      <c r="H639" s="2" t="s">
        <v>27</v>
      </c>
      <c r="I639" t="s">
        <v>379</v>
      </c>
      <c r="J639" s="2" t="s">
        <v>3236</v>
      </c>
      <c r="L639" s="2" t="s">
        <v>30</v>
      </c>
      <c r="M639" s="2" t="s">
        <v>31</v>
      </c>
      <c r="N639" s="2" t="s">
        <v>32</v>
      </c>
      <c r="O639" s="2" t="s">
        <v>2983</v>
      </c>
      <c r="P639" s="2" t="s">
        <v>34</v>
      </c>
      <c r="Q639" t="s">
        <v>3237</v>
      </c>
      <c r="R639" s="2" t="s">
        <v>206</v>
      </c>
      <c r="S639" s="2" t="s">
        <v>3238</v>
      </c>
      <c r="T639" s="2" t="s">
        <v>60</v>
      </c>
    </row>
    <row r="640" spans="1:23" x14ac:dyDescent="0.25">
      <c r="A640" t="s">
        <v>3239</v>
      </c>
      <c r="B640" s="4">
        <f t="shared" si="9"/>
        <v>73813</v>
      </c>
      <c r="C640" t="s">
        <v>3240</v>
      </c>
      <c r="D640" t="s">
        <v>42</v>
      </c>
      <c r="E640" t="s">
        <v>67</v>
      </c>
      <c r="F640">
        <v>2</v>
      </c>
      <c r="G640" t="s">
        <v>352</v>
      </c>
      <c r="H640" s="2" t="s">
        <v>27</v>
      </c>
      <c r="I640" t="s">
        <v>379</v>
      </c>
      <c r="J640" s="2" t="s">
        <v>3241</v>
      </c>
      <c r="L640" s="2" t="s">
        <v>30</v>
      </c>
      <c r="M640" s="2" t="s">
        <v>31</v>
      </c>
      <c r="N640" s="2" t="s">
        <v>32</v>
      </c>
      <c r="O640" s="2" t="s">
        <v>3242</v>
      </c>
      <c r="P640" s="2" t="s">
        <v>34</v>
      </c>
      <c r="Q640" t="s">
        <v>3059</v>
      </c>
      <c r="R640" s="2" t="s">
        <v>206</v>
      </c>
      <c r="S640" s="2" t="s">
        <v>3060</v>
      </c>
      <c r="T640" s="2" t="s">
        <v>60</v>
      </c>
    </row>
    <row r="641" spans="1:23" x14ac:dyDescent="0.25">
      <c r="A641" t="s">
        <v>3243</v>
      </c>
      <c r="B641" s="4">
        <f t="shared" si="9"/>
        <v>73814</v>
      </c>
      <c r="C641" t="s">
        <v>3244</v>
      </c>
      <c r="D641" t="s">
        <v>42</v>
      </c>
      <c r="E641" t="s">
        <v>1024</v>
      </c>
      <c r="F641">
        <v>3</v>
      </c>
      <c r="G641" t="s">
        <v>26</v>
      </c>
      <c r="H641" s="2" t="s">
        <v>27</v>
      </c>
      <c r="I641" t="s">
        <v>368</v>
      </c>
      <c r="J641" s="2" t="s">
        <v>3245</v>
      </c>
      <c r="L641" s="2" t="s">
        <v>30</v>
      </c>
      <c r="M641" s="2" t="s">
        <v>31</v>
      </c>
      <c r="N641" s="2" t="s">
        <v>32</v>
      </c>
      <c r="O641" s="2" t="s">
        <v>3246</v>
      </c>
      <c r="P641" s="2" t="s">
        <v>34</v>
      </c>
      <c r="Q641" t="s">
        <v>3247</v>
      </c>
      <c r="R641" s="2" t="s">
        <v>206</v>
      </c>
      <c r="S641" s="2" t="s">
        <v>3248</v>
      </c>
      <c r="T641" s="2" t="s">
        <v>60</v>
      </c>
    </row>
    <row r="642" spans="1:23" x14ac:dyDescent="0.25">
      <c r="A642" t="s">
        <v>3249</v>
      </c>
      <c r="B642" s="4">
        <f t="shared" si="9"/>
        <v>73815</v>
      </c>
      <c r="C642" t="s">
        <v>3250</v>
      </c>
      <c r="D642" t="s">
        <v>42</v>
      </c>
      <c r="E642" t="s">
        <v>67</v>
      </c>
      <c r="F642">
        <v>2</v>
      </c>
      <c r="G642" t="s">
        <v>352</v>
      </c>
      <c r="H642" s="2" t="s">
        <v>27</v>
      </c>
      <c r="I642" t="s">
        <v>379</v>
      </c>
      <c r="J642" s="2" t="s">
        <v>3251</v>
      </c>
      <c r="L642" s="2" t="s">
        <v>30</v>
      </c>
      <c r="M642" s="2" t="s">
        <v>31</v>
      </c>
      <c r="N642" s="2" t="s">
        <v>32</v>
      </c>
      <c r="O642" s="2" t="s">
        <v>3242</v>
      </c>
      <c r="P642" s="2" t="s">
        <v>34</v>
      </c>
      <c r="Q642" t="s">
        <v>3059</v>
      </c>
      <c r="R642" s="2" t="s">
        <v>206</v>
      </c>
      <c r="S642" s="2" t="s">
        <v>3060</v>
      </c>
      <c r="T642" s="2" t="s">
        <v>60</v>
      </c>
    </row>
    <row r="643" spans="1:23" x14ac:dyDescent="0.25">
      <c r="A643" t="s">
        <v>3252</v>
      </c>
      <c r="B643" s="4">
        <f t="shared" ref="B643:B706" si="10">REPLACE(A643, 1, 1, "")+0</f>
        <v>73816</v>
      </c>
      <c r="C643" t="s">
        <v>3253</v>
      </c>
      <c r="D643" t="s">
        <v>24</v>
      </c>
      <c r="E643" t="s">
        <v>25</v>
      </c>
      <c r="F643">
        <v>2</v>
      </c>
      <c r="G643" t="s">
        <v>352</v>
      </c>
      <c r="H643" s="2" t="s">
        <v>27</v>
      </c>
      <c r="I643" t="s">
        <v>379</v>
      </c>
      <c r="J643" s="2" t="s">
        <v>3254</v>
      </c>
      <c r="L643" s="2" t="s">
        <v>30</v>
      </c>
      <c r="M643" s="2" t="s">
        <v>31</v>
      </c>
      <c r="N643" s="2" t="s">
        <v>32</v>
      </c>
      <c r="O643" s="2" t="s">
        <v>2983</v>
      </c>
      <c r="P643" s="2" t="s">
        <v>34</v>
      </c>
      <c r="Q643" t="s">
        <v>3255</v>
      </c>
      <c r="R643" s="2" t="s">
        <v>206</v>
      </c>
      <c r="S643" s="2" t="s">
        <v>3256</v>
      </c>
      <c r="T643" s="2" t="s">
        <v>60</v>
      </c>
    </row>
    <row r="644" spans="1:23" x14ac:dyDescent="0.25">
      <c r="A644" t="s">
        <v>3257</v>
      </c>
      <c r="B644" s="4">
        <f t="shared" si="10"/>
        <v>73817</v>
      </c>
      <c r="C644" t="s">
        <v>3258</v>
      </c>
      <c r="D644" t="s">
        <v>365</v>
      </c>
      <c r="E644" t="s">
        <v>1194</v>
      </c>
      <c r="F644" t="s">
        <v>187</v>
      </c>
      <c r="G644" t="s">
        <v>352</v>
      </c>
      <c r="H644" s="2" t="s">
        <v>27</v>
      </c>
      <c r="I644" t="s">
        <v>379</v>
      </c>
      <c r="J644" s="2" t="s">
        <v>3259</v>
      </c>
      <c r="L644" s="2" t="s">
        <v>30</v>
      </c>
      <c r="M644" s="2" t="s">
        <v>31</v>
      </c>
      <c r="N644" s="2" t="s">
        <v>32</v>
      </c>
      <c r="O644" s="2" t="s">
        <v>2769</v>
      </c>
      <c r="P644" s="2" t="s">
        <v>34</v>
      </c>
      <c r="Q644" t="s">
        <v>3260</v>
      </c>
      <c r="R644" s="2" t="s">
        <v>206</v>
      </c>
      <c r="S644" s="2" t="s">
        <v>3261</v>
      </c>
      <c r="T644" s="2" t="s">
        <v>60</v>
      </c>
    </row>
    <row r="645" spans="1:23" x14ac:dyDescent="0.25">
      <c r="A645" t="s">
        <v>3262</v>
      </c>
      <c r="B645" s="4">
        <f t="shared" si="10"/>
        <v>73818</v>
      </c>
      <c r="C645" t="s">
        <v>3263</v>
      </c>
      <c r="D645" t="s">
        <v>365</v>
      </c>
      <c r="E645" t="s">
        <v>1412</v>
      </c>
      <c r="F645" t="s">
        <v>367</v>
      </c>
      <c r="G645" t="s">
        <v>352</v>
      </c>
      <c r="H645" s="2" t="s">
        <v>27</v>
      </c>
      <c r="I645" t="s">
        <v>379</v>
      </c>
      <c r="J645" s="2" t="s">
        <v>3264</v>
      </c>
      <c r="L645" s="2" t="s">
        <v>30</v>
      </c>
      <c r="M645" s="2" t="s">
        <v>31</v>
      </c>
      <c r="N645" s="2" t="s">
        <v>32</v>
      </c>
      <c r="O645" s="2" t="s">
        <v>2769</v>
      </c>
      <c r="P645" s="2" t="s">
        <v>34</v>
      </c>
      <c r="Q645" t="s">
        <v>1357</v>
      </c>
      <c r="R645" s="2" t="s">
        <v>206</v>
      </c>
      <c r="S645" s="2" t="s">
        <v>1358</v>
      </c>
      <c r="T645" s="2" t="s">
        <v>60</v>
      </c>
    </row>
    <row r="646" spans="1:23" x14ac:dyDescent="0.25">
      <c r="A646" t="s">
        <v>3265</v>
      </c>
      <c r="B646" s="4">
        <f t="shared" si="10"/>
        <v>73819</v>
      </c>
      <c r="C646" t="s">
        <v>3266</v>
      </c>
      <c r="D646" t="s">
        <v>1149</v>
      </c>
      <c r="E646" t="s">
        <v>1102</v>
      </c>
      <c r="F646" t="s">
        <v>543</v>
      </c>
      <c r="G646" t="s">
        <v>352</v>
      </c>
      <c r="H646" s="2" t="s">
        <v>27</v>
      </c>
      <c r="I646" t="s">
        <v>379</v>
      </c>
      <c r="J646" s="2" t="s">
        <v>3267</v>
      </c>
      <c r="L646" s="2" t="s">
        <v>30</v>
      </c>
      <c r="M646" s="2" t="s">
        <v>31</v>
      </c>
      <c r="N646" s="2" t="s">
        <v>32</v>
      </c>
      <c r="O646" s="2" t="s">
        <v>3268</v>
      </c>
      <c r="P646" s="2" t="s">
        <v>34</v>
      </c>
      <c r="Q646" t="s">
        <v>1789</v>
      </c>
      <c r="R646" s="2" t="s">
        <v>1790</v>
      </c>
      <c r="T646" s="2" t="s">
        <v>60</v>
      </c>
    </row>
    <row r="647" spans="1:23" x14ac:dyDescent="0.25">
      <c r="A647" t="s">
        <v>3269</v>
      </c>
      <c r="B647" s="4">
        <f t="shared" si="10"/>
        <v>73820</v>
      </c>
      <c r="C647" t="s">
        <v>3270</v>
      </c>
      <c r="D647" t="s">
        <v>185</v>
      </c>
      <c r="E647" t="s">
        <v>969</v>
      </c>
      <c r="F647" t="s">
        <v>543</v>
      </c>
      <c r="G647" t="s">
        <v>26</v>
      </c>
      <c r="H647" s="2" t="s">
        <v>27</v>
      </c>
      <c r="I647" t="s">
        <v>368</v>
      </c>
      <c r="J647" s="2" t="s">
        <v>3271</v>
      </c>
      <c r="L647" s="2" t="s">
        <v>30</v>
      </c>
      <c r="M647" s="2" t="s">
        <v>31</v>
      </c>
      <c r="N647" s="2" t="s">
        <v>32</v>
      </c>
      <c r="O647" s="2" t="s">
        <v>2769</v>
      </c>
      <c r="P647" s="2" t="s">
        <v>34</v>
      </c>
      <c r="Q647" t="s">
        <v>1552</v>
      </c>
      <c r="R647" s="2" t="s">
        <v>1553</v>
      </c>
      <c r="T647" s="2" t="s">
        <v>60</v>
      </c>
    </row>
    <row r="648" spans="1:23" x14ac:dyDescent="0.25">
      <c r="A648" t="s">
        <v>3272</v>
      </c>
      <c r="B648" s="4">
        <f t="shared" si="10"/>
        <v>73867</v>
      </c>
      <c r="C648" t="s">
        <v>3273</v>
      </c>
      <c r="D648" t="s">
        <v>42</v>
      </c>
      <c r="E648" t="s">
        <v>67</v>
      </c>
      <c r="F648">
        <v>2</v>
      </c>
      <c r="G648" t="s">
        <v>352</v>
      </c>
      <c r="H648" s="2" t="s">
        <v>27</v>
      </c>
      <c r="I648" t="s">
        <v>379</v>
      </c>
      <c r="J648" s="2" t="s">
        <v>3274</v>
      </c>
      <c r="L648" s="2" t="s">
        <v>30</v>
      </c>
      <c r="M648" s="2" t="s">
        <v>31</v>
      </c>
      <c r="N648" s="2" t="s">
        <v>32</v>
      </c>
      <c r="O648" s="2" t="s">
        <v>3242</v>
      </c>
      <c r="P648" s="2" t="s">
        <v>34</v>
      </c>
      <c r="Q648" t="s">
        <v>3059</v>
      </c>
      <c r="R648" s="2" t="s">
        <v>206</v>
      </c>
      <c r="S648" s="2" t="s">
        <v>3060</v>
      </c>
      <c r="T648" s="2" t="s">
        <v>60</v>
      </c>
    </row>
    <row r="649" spans="1:23" x14ac:dyDescent="0.25">
      <c r="A649" t="s">
        <v>3275</v>
      </c>
      <c r="B649" s="4">
        <f t="shared" si="10"/>
        <v>73868</v>
      </c>
      <c r="C649" t="s">
        <v>3276</v>
      </c>
      <c r="D649" t="s">
        <v>24</v>
      </c>
      <c r="E649" t="s">
        <v>25</v>
      </c>
      <c r="F649">
        <v>2</v>
      </c>
      <c r="G649" t="s">
        <v>352</v>
      </c>
      <c r="H649" s="2" t="s">
        <v>27</v>
      </c>
      <c r="I649" t="s">
        <v>379</v>
      </c>
      <c r="J649" s="2" t="s">
        <v>3277</v>
      </c>
      <c r="L649" s="2" t="s">
        <v>30</v>
      </c>
      <c r="M649" s="2" t="s">
        <v>31</v>
      </c>
      <c r="N649" s="2" t="s">
        <v>32</v>
      </c>
      <c r="O649" s="2" t="s">
        <v>2983</v>
      </c>
      <c r="P649" s="2" t="s">
        <v>34</v>
      </c>
      <c r="Q649" t="s">
        <v>3278</v>
      </c>
      <c r="R649" s="2" t="s">
        <v>206</v>
      </c>
      <c r="S649" s="2" t="s">
        <v>3279</v>
      </c>
      <c r="T649" s="2" t="s">
        <v>60</v>
      </c>
    </row>
    <row r="650" spans="1:23" x14ac:dyDescent="0.25">
      <c r="A650" t="s">
        <v>3280</v>
      </c>
      <c r="B650" s="4">
        <f t="shared" si="10"/>
        <v>73869</v>
      </c>
      <c r="C650" t="s">
        <v>3281</v>
      </c>
      <c r="D650" t="s">
        <v>42</v>
      </c>
      <c r="E650" t="s">
        <v>67</v>
      </c>
      <c r="F650">
        <v>2</v>
      </c>
      <c r="G650" t="s">
        <v>352</v>
      </c>
      <c r="H650" s="2" t="s">
        <v>27</v>
      </c>
      <c r="I650" t="s">
        <v>379</v>
      </c>
      <c r="J650" s="2" t="s">
        <v>3282</v>
      </c>
      <c r="L650" s="2" t="s">
        <v>30</v>
      </c>
      <c r="M650" s="2" t="s">
        <v>31</v>
      </c>
      <c r="N650" s="2" t="s">
        <v>32</v>
      </c>
      <c r="O650" s="2" t="s">
        <v>3242</v>
      </c>
      <c r="P650" s="2" t="s">
        <v>34</v>
      </c>
      <c r="Q650" t="s">
        <v>3059</v>
      </c>
      <c r="R650" s="2" t="s">
        <v>206</v>
      </c>
      <c r="S650" s="2" t="s">
        <v>3060</v>
      </c>
      <c r="T650" s="2" t="s">
        <v>60</v>
      </c>
    </row>
    <row r="651" spans="1:23" x14ac:dyDescent="0.25">
      <c r="A651" t="s">
        <v>3283</v>
      </c>
      <c r="B651" s="4">
        <f t="shared" si="10"/>
        <v>73870</v>
      </c>
      <c r="C651" t="s">
        <v>3284</v>
      </c>
      <c r="D651" t="s">
        <v>24</v>
      </c>
      <c r="E651" t="s">
        <v>25</v>
      </c>
      <c r="F651">
        <v>2</v>
      </c>
      <c r="G651" t="s">
        <v>352</v>
      </c>
      <c r="H651" s="2" t="s">
        <v>27</v>
      </c>
      <c r="I651" t="s">
        <v>28</v>
      </c>
      <c r="J651" s="2" t="s">
        <v>3285</v>
      </c>
      <c r="L651" s="2" t="s">
        <v>30</v>
      </c>
      <c r="M651" s="2" t="s">
        <v>31</v>
      </c>
      <c r="N651" s="2" t="s">
        <v>32</v>
      </c>
      <c r="O651" s="2" t="s">
        <v>614</v>
      </c>
      <c r="P651" s="2" t="s">
        <v>34</v>
      </c>
      <c r="Q651" t="s">
        <v>615</v>
      </c>
      <c r="R651" s="2" t="s">
        <v>616</v>
      </c>
      <c r="T651" s="2" t="s">
        <v>60</v>
      </c>
    </row>
    <row r="652" spans="1:23" x14ac:dyDescent="0.25">
      <c r="A652" t="s">
        <v>3286</v>
      </c>
      <c r="B652" s="4">
        <f t="shared" si="10"/>
        <v>73871</v>
      </c>
      <c r="C652" t="s">
        <v>3287</v>
      </c>
      <c r="D652" t="s">
        <v>2423</v>
      </c>
      <c r="E652" t="s">
        <v>2424</v>
      </c>
      <c r="F652">
        <v>2</v>
      </c>
      <c r="G652" t="s">
        <v>26</v>
      </c>
      <c r="H652" s="2" t="s">
        <v>27</v>
      </c>
      <c r="I652" t="s">
        <v>28</v>
      </c>
      <c r="J652" s="2" t="s">
        <v>3288</v>
      </c>
      <c r="L652" s="2" t="s">
        <v>30</v>
      </c>
      <c r="M652" s="2" t="s">
        <v>31</v>
      </c>
      <c r="N652" s="2" t="s">
        <v>32</v>
      </c>
      <c r="O652" s="2" t="s">
        <v>3289</v>
      </c>
      <c r="P652" s="2" t="s">
        <v>34</v>
      </c>
      <c r="Q652" t="s">
        <v>35</v>
      </c>
      <c r="R652" s="2" t="s">
        <v>36</v>
      </c>
      <c r="T652" s="2" t="s">
        <v>34</v>
      </c>
      <c r="U652" s="2" t="s">
        <v>37</v>
      </c>
      <c r="V652" s="2" t="s">
        <v>3290</v>
      </c>
      <c r="W652" t="s">
        <v>3291</v>
      </c>
    </row>
    <row r="653" spans="1:23" x14ac:dyDescent="0.25">
      <c r="A653" t="s">
        <v>3292</v>
      </c>
      <c r="B653" s="4">
        <f t="shared" si="10"/>
        <v>73874</v>
      </c>
      <c r="C653" t="s">
        <v>3293</v>
      </c>
      <c r="D653" t="s">
        <v>24</v>
      </c>
      <c r="E653" t="s">
        <v>25</v>
      </c>
      <c r="F653">
        <v>2</v>
      </c>
      <c r="G653" t="s">
        <v>352</v>
      </c>
      <c r="H653" s="2" t="s">
        <v>27</v>
      </c>
      <c r="I653" t="s">
        <v>379</v>
      </c>
      <c r="J653" s="2" t="s">
        <v>3294</v>
      </c>
      <c r="L653" s="2" t="s">
        <v>30</v>
      </c>
      <c r="M653" s="2" t="s">
        <v>31</v>
      </c>
      <c r="N653" s="2" t="s">
        <v>32</v>
      </c>
      <c r="O653" s="2" t="s">
        <v>2983</v>
      </c>
      <c r="P653" s="2" t="s">
        <v>34</v>
      </c>
      <c r="Q653" t="s">
        <v>3295</v>
      </c>
      <c r="R653" s="2" t="s">
        <v>206</v>
      </c>
      <c r="S653" s="2" t="s">
        <v>3296</v>
      </c>
      <c r="T653" s="2" t="s">
        <v>60</v>
      </c>
    </row>
    <row r="654" spans="1:23" x14ac:dyDescent="0.25">
      <c r="A654" t="s">
        <v>3297</v>
      </c>
      <c r="B654" s="4">
        <f t="shared" si="10"/>
        <v>73875</v>
      </c>
      <c r="C654" t="s">
        <v>3298</v>
      </c>
      <c r="D654" t="s">
        <v>24</v>
      </c>
      <c r="E654" t="s">
        <v>25</v>
      </c>
      <c r="F654">
        <v>2</v>
      </c>
      <c r="G654" t="s">
        <v>352</v>
      </c>
      <c r="H654" s="2" t="s">
        <v>27</v>
      </c>
      <c r="I654" t="s">
        <v>379</v>
      </c>
      <c r="J654" s="2" t="s">
        <v>3299</v>
      </c>
      <c r="L654" s="2" t="s">
        <v>30</v>
      </c>
      <c r="M654" s="2" t="s">
        <v>31</v>
      </c>
      <c r="N654" s="2" t="s">
        <v>32</v>
      </c>
      <c r="O654" s="2" t="s">
        <v>33</v>
      </c>
      <c r="P654" s="2" t="s">
        <v>34</v>
      </c>
      <c r="Q654" t="s">
        <v>3300</v>
      </c>
      <c r="R654" s="2" t="s">
        <v>3301</v>
      </c>
      <c r="T654" s="2" t="s">
        <v>60</v>
      </c>
    </row>
    <row r="655" spans="1:23" x14ac:dyDescent="0.25">
      <c r="A655" t="s">
        <v>3302</v>
      </c>
      <c r="B655" s="4">
        <f t="shared" si="10"/>
        <v>73876</v>
      </c>
      <c r="C655" t="s">
        <v>3303</v>
      </c>
      <c r="D655" t="s">
        <v>365</v>
      </c>
      <c r="E655" t="s">
        <v>714</v>
      </c>
      <c r="F655" t="s">
        <v>367</v>
      </c>
      <c r="G655" t="s">
        <v>352</v>
      </c>
      <c r="H655" s="2" t="s">
        <v>373</v>
      </c>
      <c r="I655" t="s">
        <v>379</v>
      </c>
      <c r="K655" s="2" t="s">
        <v>2660</v>
      </c>
      <c r="L655" s="2" t="s">
        <v>30</v>
      </c>
      <c r="M655" s="2" t="s">
        <v>31</v>
      </c>
      <c r="N655" s="2" t="s">
        <v>32</v>
      </c>
      <c r="O655" s="2" t="s">
        <v>3304</v>
      </c>
      <c r="P655" s="2" t="s">
        <v>34</v>
      </c>
      <c r="Q655" t="s">
        <v>1909</v>
      </c>
      <c r="R655" s="2" t="s">
        <v>1910</v>
      </c>
      <c r="T655" s="2" t="s">
        <v>60</v>
      </c>
    </row>
    <row r="656" spans="1:23" x14ac:dyDescent="0.25">
      <c r="A656" t="s">
        <v>3305</v>
      </c>
      <c r="B656" s="4">
        <f t="shared" si="10"/>
        <v>73877</v>
      </c>
      <c r="C656" t="s">
        <v>3306</v>
      </c>
      <c r="D656" t="s">
        <v>185</v>
      </c>
      <c r="E656" t="s">
        <v>969</v>
      </c>
      <c r="F656" t="s">
        <v>543</v>
      </c>
      <c r="G656" t="s">
        <v>352</v>
      </c>
      <c r="H656" s="2" t="s">
        <v>27</v>
      </c>
      <c r="I656" t="s">
        <v>379</v>
      </c>
      <c r="J656" s="2" t="s">
        <v>3307</v>
      </c>
      <c r="L656" s="2" t="s">
        <v>30</v>
      </c>
      <c r="M656" s="2" t="s">
        <v>31</v>
      </c>
      <c r="N656" s="2" t="s">
        <v>32</v>
      </c>
      <c r="O656" s="2" t="s">
        <v>2769</v>
      </c>
      <c r="P656" s="2" t="s">
        <v>34</v>
      </c>
      <c r="Q656" t="s">
        <v>3308</v>
      </c>
      <c r="R656" s="2" t="s">
        <v>206</v>
      </c>
      <c r="S656" s="2" t="s">
        <v>3309</v>
      </c>
      <c r="T656" s="2" t="s">
        <v>60</v>
      </c>
    </row>
    <row r="657" spans="1:23" x14ac:dyDescent="0.25">
      <c r="A657" t="s">
        <v>3310</v>
      </c>
      <c r="B657" s="4">
        <f t="shared" si="10"/>
        <v>73878</v>
      </c>
      <c r="C657" t="s">
        <v>3311</v>
      </c>
      <c r="D657" t="s">
        <v>365</v>
      </c>
      <c r="E657" t="s">
        <v>90</v>
      </c>
      <c r="F657" t="s">
        <v>367</v>
      </c>
      <c r="G657" t="s">
        <v>26</v>
      </c>
      <c r="H657" s="2" t="s">
        <v>27</v>
      </c>
      <c r="I657" t="s">
        <v>368</v>
      </c>
      <c r="J657" s="2" t="s">
        <v>3312</v>
      </c>
      <c r="L657" s="2" t="s">
        <v>30</v>
      </c>
      <c r="M657" s="2" t="s">
        <v>31</v>
      </c>
      <c r="N657" s="2" t="s">
        <v>32</v>
      </c>
      <c r="O657" s="2" t="s">
        <v>2769</v>
      </c>
      <c r="P657" s="2" t="s">
        <v>34</v>
      </c>
      <c r="Q657" t="s">
        <v>3313</v>
      </c>
      <c r="R657" s="2" t="s">
        <v>3314</v>
      </c>
      <c r="T657" s="2" t="s">
        <v>60</v>
      </c>
    </row>
    <row r="658" spans="1:23" x14ac:dyDescent="0.25">
      <c r="A658" t="s">
        <v>3315</v>
      </c>
      <c r="B658" s="4">
        <f t="shared" si="10"/>
        <v>73880</v>
      </c>
      <c r="C658" t="s">
        <v>3316</v>
      </c>
      <c r="D658" t="s">
        <v>42</v>
      </c>
      <c r="E658" t="s">
        <v>67</v>
      </c>
      <c r="F658">
        <v>2</v>
      </c>
      <c r="G658" t="s">
        <v>352</v>
      </c>
      <c r="H658" s="2" t="s">
        <v>27</v>
      </c>
      <c r="I658" t="s">
        <v>379</v>
      </c>
      <c r="J658" s="2" t="s">
        <v>3317</v>
      </c>
      <c r="L658" s="2" t="s">
        <v>30</v>
      </c>
      <c r="M658" s="2" t="s">
        <v>31</v>
      </c>
      <c r="N658" s="2" t="s">
        <v>32</v>
      </c>
      <c r="O658" s="2" t="s">
        <v>3318</v>
      </c>
      <c r="P658" s="2" t="s">
        <v>34</v>
      </c>
      <c r="Q658" t="s">
        <v>2634</v>
      </c>
      <c r="R658" s="2" t="s">
        <v>206</v>
      </c>
      <c r="S658" s="2" t="s">
        <v>2635</v>
      </c>
      <c r="T658" s="2" t="s">
        <v>34</v>
      </c>
      <c r="U658" s="2" t="s">
        <v>2636</v>
      </c>
      <c r="V658" s="2" t="s">
        <v>3315</v>
      </c>
      <c r="W658" t="s">
        <v>3319</v>
      </c>
    </row>
    <row r="659" spans="1:23" x14ac:dyDescent="0.25">
      <c r="A659" t="s">
        <v>3320</v>
      </c>
      <c r="B659" s="4">
        <f t="shared" si="10"/>
        <v>73881</v>
      </c>
      <c r="C659" t="s">
        <v>3321</v>
      </c>
      <c r="D659" t="s">
        <v>24</v>
      </c>
      <c r="E659" t="s">
        <v>113</v>
      </c>
      <c r="F659">
        <v>2</v>
      </c>
      <c r="G659" t="s">
        <v>26</v>
      </c>
      <c r="H659" s="2" t="s">
        <v>27</v>
      </c>
      <c r="I659" t="s">
        <v>28</v>
      </c>
      <c r="J659" s="2" t="s">
        <v>3322</v>
      </c>
      <c r="L659" s="2" t="s">
        <v>30</v>
      </c>
      <c r="M659" s="2" t="s">
        <v>31</v>
      </c>
      <c r="N659" s="2" t="s">
        <v>32</v>
      </c>
      <c r="O659" s="2" t="s">
        <v>2827</v>
      </c>
      <c r="P659" s="2" t="s">
        <v>34</v>
      </c>
      <c r="Q659" t="s">
        <v>190</v>
      </c>
      <c r="R659" s="2" t="s">
        <v>191</v>
      </c>
      <c r="T659" s="2" t="s">
        <v>34</v>
      </c>
      <c r="U659" s="2" t="s">
        <v>192</v>
      </c>
      <c r="V659" s="2" t="s">
        <v>3323</v>
      </c>
      <c r="W659" t="s">
        <v>3324</v>
      </c>
    </row>
    <row r="660" spans="1:23" x14ac:dyDescent="0.25">
      <c r="A660" t="s">
        <v>3325</v>
      </c>
      <c r="B660" s="4">
        <f t="shared" si="10"/>
        <v>73882</v>
      </c>
      <c r="C660" t="s">
        <v>3326</v>
      </c>
      <c r="D660" t="s">
        <v>185</v>
      </c>
      <c r="E660" t="s">
        <v>1118</v>
      </c>
      <c r="F660" t="s">
        <v>680</v>
      </c>
      <c r="G660" t="s">
        <v>26</v>
      </c>
      <c r="H660" s="2" t="s">
        <v>27</v>
      </c>
      <c r="I660" t="s">
        <v>28</v>
      </c>
      <c r="J660" s="2" t="s">
        <v>3327</v>
      </c>
      <c r="L660" s="2" t="s">
        <v>30</v>
      </c>
      <c r="M660" s="2" t="s">
        <v>31</v>
      </c>
      <c r="N660" s="2" t="s">
        <v>32</v>
      </c>
      <c r="O660" s="2" t="s">
        <v>2769</v>
      </c>
      <c r="P660" s="2" t="s">
        <v>34</v>
      </c>
      <c r="Q660" t="s">
        <v>3328</v>
      </c>
      <c r="R660" s="2" t="s">
        <v>3329</v>
      </c>
      <c r="T660" s="2" t="s">
        <v>34</v>
      </c>
      <c r="U660" s="2" t="s">
        <v>3330</v>
      </c>
      <c r="V660" s="2" t="s">
        <v>3331</v>
      </c>
      <c r="W660" t="s">
        <v>3332</v>
      </c>
    </row>
    <row r="661" spans="1:23" x14ac:dyDescent="0.25">
      <c r="A661" t="s">
        <v>3333</v>
      </c>
      <c r="B661" s="4">
        <f t="shared" si="10"/>
        <v>73883</v>
      </c>
      <c r="C661" t="s">
        <v>3334</v>
      </c>
      <c r="D661" t="s">
        <v>365</v>
      </c>
      <c r="E661" t="s">
        <v>774</v>
      </c>
      <c r="F661" t="s">
        <v>680</v>
      </c>
      <c r="G661" t="s">
        <v>26</v>
      </c>
      <c r="H661" s="2" t="s">
        <v>27</v>
      </c>
      <c r="I661" t="s">
        <v>28</v>
      </c>
      <c r="J661" s="2" t="s">
        <v>3335</v>
      </c>
      <c r="L661" s="2" t="s">
        <v>30</v>
      </c>
      <c r="M661" s="2" t="s">
        <v>31</v>
      </c>
      <c r="N661" s="2" t="s">
        <v>32</v>
      </c>
      <c r="O661" s="2" t="s">
        <v>2769</v>
      </c>
      <c r="P661" s="2" t="s">
        <v>34</v>
      </c>
      <c r="Q661" t="s">
        <v>3336</v>
      </c>
      <c r="R661" s="2" t="s">
        <v>206</v>
      </c>
      <c r="S661" s="2" t="s">
        <v>3337</v>
      </c>
      <c r="T661" s="2" t="s">
        <v>60</v>
      </c>
    </row>
    <row r="662" spans="1:23" x14ac:dyDescent="0.25">
      <c r="A662" t="s">
        <v>3338</v>
      </c>
      <c r="B662" s="4">
        <f t="shared" si="10"/>
        <v>73887</v>
      </c>
      <c r="C662" t="s">
        <v>3339</v>
      </c>
      <c r="D662" t="s">
        <v>365</v>
      </c>
      <c r="E662" t="s">
        <v>3340</v>
      </c>
      <c r="F662" t="s">
        <v>367</v>
      </c>
      <c r="G662" t="s">
        <v>26</v>
      </c>
      <c r="H662" s="2" t="s">
        <v>27</v>
      </c>
      <c r="I662" t="s">
        <v>368</v>
      </c>
      <c r="J662" s="2" t="s">
        <v>3341</v>
      </c>
      <c r="L662" s="2" t="s">
        <v>30</v>
      </c>
      <c r="M662" s="2" t="s">
        <v>31</v>
      </c>
      <c r="N662" s="2" t="s">
        <v>32</v>
      </c>
      <c r="O662" s="2" t="s">
        <v>2769</v>
      </c>
      <c r="P662" s="2" t="s">
        <v>34</v>
      </c>
      <c r="Q662" t="s">
        <v>3342</v>
      </c>
      <c r="R662" s="2" t="s">
        <v>3343</v>
      </c>
      <c r="T662" s="2" t="s">
        <v>60</v>
      </c>
    </row>
    <row r="663" spans="1:23" x14ac:dyDescent="0.25">
      <c r="A663" t="s">
        <v>3344</v>
      </c>
      <c r="B663" s="4">
        <f t="shared" si="10"/>
        <v>73889</v>
      </c>
      <c r="C663" t="s">
        <v>3345</v>
      </c>
      <c r="D663" t="s">
        <v>185</v>
      </c>
      <c r="E663" t="s">
        <v>1692</v>
      </c>
      <c r="F663" t="s">
        <v>680</v>
      </c>
      <c r="G663" t="s">
        <v>352</v>
      </c>
      <c r="H663" s="2" t="s">
        <v>373</v>
      </c>
      <c r="I663" t="s">
        <v>379</v>
      </c>
      <c r="K663" s="2" t="s">
        <v>2047</v>
      </c>
      <c r="L663" s="2" t="s">
        <v>30</v>
      </c>
      <c r="M663" s="2" t="s">
        <v>31</v>
      </c>
      <c r="N663" s="2" t="s">
        <v>32</v>
      </c>
      <c r="O663" s="2" t="s">
        <v>2459</v>
      </c>
      <c r="P663" s="2" t="s">
        <v>34</v>
      </c>
      <c r="Q663" t="s">
        <v>3346</v>
      </c>
      <c r="R663" s="2" t="s">
        <v>206</v>
      </c>
      <c r="S663" s="2" t="s">
        <v>3347</v>
      </c>
      <c r="T663" s="2" t="s">
        <v>60</v>
      </c>
    </row>
    <row r="664" spans="1:23" x14ac:dyDescent="0.25">
      <c r="A664" t="s">
        <v>3348</v>
      </c>
      <c r="B664" s="4">
        <f t="shared" si="10"/>
        <v>73890</v>
      </c>
      <c r="C664" t="s">
        <v>3349</v>
      </c>
      <c r="D664" t="s">
        <v>365</v>
      </c>
      <c r="E664" t="s">
        <v>1805</v>
      </c>
      <c r="F664" t="s">
        <v>367</v>
      </c>
      <c r="G664" t="s">
        <v>352</v>
      </c>
      <c r="H664" s="2" t="s">
        <v>373</v>
      </c>
      <c r="I664" t="s">
        <v>379</v>
      </c>
      <c r="K664" s="2" t="s">
        <v>3350</v>
      </c>
      <c r="L664" s="2" t="s">
        <v>30</v>
      </c>
      <c r="M664" s="2" t="s">
        <v>31</v>
      </c>
      <c r="N664" s="2" t="s">
        <v>32</v>
      </c>
      <c r="O664" s="2" t="s">
        <v>2743</v>
      </c>
      <c r="P664" s="2" t="s">
        <v>34</v>
      </c>
      <c r="Q664" t="s">
        <v>3351</v>
      </c>
      <c r="R664" s="2" t="s">
        <v>206</v>
      </c>
      <c r="S664" s="2" t="s">
        <v>3352</v>
      </c>
      <c r="T664" s="2" t="s">
        <v>60</v>
      </c>
    </row>
    <row r="665" spans="1:23" x14ac:dyDescent="0.25">
      <c r="A665" t="s">
        <v>3353</v>
      </c>
      <c r="B665" s="4">
        <f t="shared" si="10"/>
        <v>73892</v>
      </c>
      <c r="C665" t="s">
        <v>3354</v>
      </c>
      <c r="D665" t="s">
        <v>365</v>
      </c>
      <c r="E665" t="s">
        <v>3152</v>
      </c>
      <c r="F665" t="s">
        <v>367</v>
      </c>
      <c r="G665" t="s">
        <v>352</v>
      </c>
      <c r="H665" s="2" t="s">
        <v>27</v>
      </c>
      <c r="I665" t="s">
        <v>379</v>
      </c>
      <c r="J665" s="2" t="s">
        <v>3355</v>
      </c>
      <c r="L665" s="2" t="s">
        <v>30</v>
      </c>
      <c r="M665" s="2" t="s">
        <v>31</v>
      </c>
      <c r="N665" s="2" t="s">
        <v>32</v>
      </c>
      <c r="O665" s="2" t="s">
        <v>2769</v>
      </c>
      <c r="P665" s="2" t="s">
        <v>34</v>
      </c>
      <c r="Q665" t="s">
        <v>2542</v>
      </c>
      <c r="R665" s="2" t="s">
        <v>206</v>
      </c>
      <c r="S665" s="2" t="s">
        <v>2543</v>
      </c>
      <c r="T665" s="2" t="s">
        <v>60</v>
      </c>
    </row>
    <row r="666" spans="1:23" x14ac:dyDescent="0.25">
      <c r="A666" t="s">
        <v>3356</v>
      </c>
      <c r="B666" s="4">
        <f t="shared" si="10"/>
        <v>73893</v>
      </c>
      <c r="C666" t="s">
        <v>3357</v>
      </c>
      <c r="D666" t="s">
        <v>42</v>
      </c>
      <c r="E666" t="s">
        <v>933</v>
      </c>
      <c r="F666">
        <v>3</v>
      </c>
      <c r="G666" t="s">
        <v>26</v>
      </c>
      <c r="H666" s="2" t="s">
        <v>27</v>
      </c>
      <c r="I666" t="s">
        <v>368</v>
      </c>
      <c r="J666" s="2" t="s">
        <v>3358</v>
      </c>
      <c r="L666" s="2" t="s">
        <v>30</v>
      </c>
      <c r="M666" s="2" t="s">
        <v>31</v>
      </c>
      <c r="N666" s="2" t="s">
        <v>32</v>
      </c>
      <c r="O666" s="2" t="s">
        <v>45</v>
      </c>
      <c r="P666" s="2" t="s">
        <v>34</v>
      </c>
      <c r="Q666" t="s">
        <v>3359</v>
      </c>
      <c r="R666" s="2" t="s">
        <v>3360</v>
      </c>
      <c r="T666" s="2" t="s">
        <v>60</v>
      </c>
    </row>
    <row r="667" spans="1:23" x14ac:dyDescent="0.25">
      <c r="A667" t="s">
        <v>3361</v>
      </c>
      <c r="B667" s="4">
        <f t="shared" si="10"/>
        <v>73894</v>
      </c>
      <c r="C667" t="s">
        <v>3362</v>
      </c>
      <c r="D667" t="s">
        <v>2423</v>
      </c>
      <c r="E667" t="s">
        <v>2424</v>
      </c>
      <c r="F667">
        <v>2</v>
      </c>
      <c r="G667" t="s">
        <v>26</v>
      </c>
      <c r="H667" s="2" t="s">
        <v>27</v>
      </c>
      <c r="I667" t="s">
        <v>28</v>
      </c>
      <c r="J667" s="2" t="s">
        <v>3363</v>
      </c>
      <c r="L667" s="2" t="s">
        <v>30</v>
      </c>
      <c r="M667" s="2" t="s">
        <v>31</v>
      </c>
      <c r="N667" s="2" t="s">
        <v>32</v>
      </c>
      <c r="O667" s="2" t="s">
        <v>3289</v>
      </c>
      <c r="P667" s="2" t="s">
        <v>34</v>
      </c>
      <c r="Q667" t="s">
        <v>35</v>
      </c>
      <c r="R667" s="2" t="s">
        <v>36</v>
      </c>
      <c r="T667" s="2" t="s">
        <v>34</v>
      </c>
      <c r="U667" s="2" t="s">
        <v>37</v>
      </c>
      <c r="V667" s="2" t="s">
        <v>3364</v>
      </c>
      <c r="W667" t="s">
        <v>3365</v>
      </c>
    </row>
    <row r="668" spans="1:23" x14ac:dyDescent="0.25">
      <c r="A668" t="s">
        <v>3366</v>
      </c>
      <c r="B668" s="4">
        <f t="shared" si="10"/>
        <v>73895</v>
      </c>
      <c r="C668" t="s">
        <v>3367</v>
      </c>
      <c r="D668" t="s">
        <v>24</v>
      </c>
      <c r="E668" t="s">
        <v>25</v>
      </c>
      <c r="F668">
        <v>2</v>
      </c>
      <c r="G668" t="s">
        <v>352</v>
      </c>
      <c r="H668" s="2" t="s">
        <v>27</v>
      </c>
      <c r="I668" t="s">
        <v>28</v>
      </c>
      <c r="J668" s="2" t="s">
        <v>3368</v>
      </c>
      <c r="L668" s="2" t="s">
        <v>30</v>
      </c>
      <c r="M668" s="2" t="s">
        <v>31</v>
      </c>
      <c r="N668" s="2" t="s">
        <v>32</v>
      </c>
      <c r="O668" s="2" t="s">
        <v>2833</v>
      </c>
      <c r="P668" s="2" t="s">
        <v>34</v>
      </c>
      <c r="Q668" t="s">
        <v>35</v>
      </c>
      <c r="R668" s="2" t="s">
        <v>36</v>
      </c>
      <c r="T668" s="2" t="s">
        <v>34</v>
      </c>
      <c r="U668" s="2" t="s">
        <v>37</v>
      </c>
      <c r="V668" s="2" t="s">
        <v>3369</v>
      </c>
      <c r="W668" t="s">
        <v>3370</v>
      </c>
    </row>
    <row r="669" spans="1:23" x14ac:dyDescent="0.25">
      <c r="A669" t="s">
        <v>3371</v>
      </c>
      <c r="B669" s="4">
        <f t="shared" si="10"/>
        <v>73896</v>
      </c>
      <c r="C669" t="s">
        <v>3372</v>
      </c>
      <c r="D669" t="s">
        <v>365</v>
      </c>
      <c r="E669" t="s">
        <v>378</v>
      </c>
      <c r="F669" t="s">
        <v>187</v>
      </c>
      <c r="G669" t="s">
        <v>26</v>
      </c>
      <c r="H669" s="2" t="s">
        <v>27</v>
      </c>
      <c r="I669" t="s">
        <v>368</v>
      </c>
      <c r="J669" s="2" t="s">
        <v>2237</v>
      </c>
      <c r="L669" s="2" t="s">
        <v>30</v>
      </c>
      <c r="M669" s="2" t="s">
        <v>31</v>
      </c>
      <c r="N669" s="2" t="s">
        <v>32</v>
      </c>
      <c r="O669" s="2" t="s">
        <v>3373</v>
      </c>
      <c r="P669" s="2" t="s">
        <v>34</v>
      </c>
      <c r="Q669" t="s">
        <v>3374</v>
      </c>
      <c r="R669" s="2" t="s">
        <v>3375</v>
      </c>
      <c r="T669" s="2" t="s">
        <v>60</v>
      </c>
    </row>
    <row r="670" spans="1:23" x14ac:dyDescent="0.25">
      <c r="A670" t="s">
        <v>3376</v>
      </c>
      <c r="B670" s="4">
        <f t="shared" si="10"/>
        <v>73899</v>
      </c>
      <c r="C670" t="s">
        <v>3377</v>
      </c>
      <c r="D670" t="s">
        <v>149</v>
      </c>
      <c r="E670" t="s">
        <v>3158</v>
      </c>
      <c r="F670">
        <v>3</v>
      </c>
      <c r="G670" t="s">
        <v>26</v>
      </c>
      <c r="H670" s="2" t="s">
        <v>27</v>
      </c>
      <c r="I670" t="s">
        <v>368</v>
      </c>
      <c r="J670" s="2" t="s">
        <v>865</v>
      </c>
      <c r="L670" s="2" t="s">
        <v>30</v>
      </c>
      <c r="M670" s="2" t="s">
        <v>31</v>
      </c>
      <c r="N670" s="2" t="s">
        <v>32</v>
      </c>
      <c r="O670" s="2" t="s">
        <v>3378</v>
      </c>
      <c r="P670" s="2" t="s">
        <v>34</v>
      </c>
      <c r="Q670" t="s">
        <v>3379</v>
      </c>
      <c r="R670" s="2" t="s">
        <v>206</v>
      </c>
      <c r="S670" s="2" t="s">
        <v>3380</v>
      </c>
      <c r="T670" s="2" t="s">
        <v>34</v>
      </c>
      <c r="U670" s="2" t="s">
        <v>3381</v>
      </c>
      <c r="V670" s="2" t="s">
        <v>3376</v>
      </c>
      <c r="W670" t="s">
        <v>3382</v>
      </c>
    </row>
    <row r="671" spans="1:23" x14ac:dyDescent="0.25">
      <c r="A671" t="s">
        <v>3383</v>
      </c>
      <c r="B671" s="4">
        <f t="shared" si="10"/>
        <v>73900</v>
      </c>
      <c r="C671" t="s">
        <v>3384</v>
      </c>
      <c r="D671" t="s">
        <v>279</v>
      </c>
      <c r="E671" t="s">
        <v>1660</v>
      </c>
      <c r="F671" t="s">
        <v>543</v>
      </c>
      <c r="G671" t="s">
        <v>26</v>
      </c>
      <c r="H671" s="2" t="s">
        <v>27</v>
      </c>
      <c r="I671" t="s">
        <v>55</v>
      </c>
      <c r="J671" s="2" t="s">
        <v>3385</v>
      </c>
      <c r="L671" s="2" t="s">
        <v>30</v>
      </c>
      <c r="M671" s="2" t="s">
        <v>31</v>
      </c>
      <c r="N671" s="2" t="s">
        <v>32</v>
      </c>
      <c r="O671" s="2" t="s">
        <v>2769</v>
      </c>
      <c r="P671" s="2" t="s">
        <v>34</v>
      </c>
      <c r="Q671" t="s">
        <v>3386</v>
      </c>
      <c r="R671" s="2" t="s">
        <v>206</v>
      </c>
      <c r="S671" s="2" t="s">
        <v>3387</v>
      </c>
      <c r="T671" s="2" t="s">
        <v>34</v>
      </c>
      <c r="U671" s="2" t="s">
        <v>3388</v>
      </c>
      <c r="V671" s="2" t="s">
        <v>3389</v>
      </c>
      <c r="W671" t="s">
        <v>3390</v>
      </c>
    </row>
    <row r="672" spans="1:23" x14ac:dyDescent="0.25">
      <c r="A672" t="s">
        <v>3391</v>
      </c>
      <c r="B672" s="4">
        <f t="shared" si="10"/>
        <v>73901</v>
      </c>
      <c r="C672" t="s">
        <v>3392</v>
      </c>
      <c r="D672" t="s">
        <v>185</v>
      </c>
      <c r="E672" t="s">
        <v>1717</v>
      </c>
      <c r="F672" t="s">
        <v>543</v>
      </c>
      <c r="G672" t="s">
        <v>26</v>
      </c>
      <c r="H672" s="2" t="s">
        <v>27</v>
      </c>
      <c r="I672" t="s">
        <v>55</v>
      </c>
      <c r="J672" s="2" t="s">
        <v>3393</v>
      </c>
      <c r="L672" s="2" t="s">
        <v>30</v>
      </c>
      <c r="M672" s="2" t="s">
        <v>31</v>
      </c>
      <c r="N672" s="2" t="s">
        <v>32</v>
      </c>
      <c r="O672" s="2" t="s">
        <v>2769</v>
      </c>
      <c r="P672" s="2" t="s">
        <v>34</v>
      </c>
      <c r="Q672" t="s">
        <v>3394</v>
      </c>
      <c r="R672" s="2" t="s">
        <v>206</v>
      </c>
      <c r="S672" s="2" t="s">
        <v>3395</v>
      </c>
      <c r="T672" s="2" t="s">
        <v>60</v>
      </c>
    </row>
    <row r="673" spans="1:23" x14ac:dyDescent="0.25">
      <c r="A673" t="s">
        <v>3396</v>
      </c>
      <c r="B673" s="4">
        <f t="shared" si="10"/>
        <v>73902</v>
      </c>
      <c r="C673" t="s">
        <v>3397</v>
      </c>
      <c r="D673" t="s">
        <v>185</v>
      </c>
      <c r="E673" t="s">
        <v>1717</v>
      </c>
      <c r="F673" t="s">
        <v>543</v>
      </c>
      <c r="G673" t="s">
        <v>26</v>
      </c>
      <c r="H673" s="2" t="s">
        <v>27</v>
      </c>
      <c r="I673" t="s">
        <v>55</v>
      </c>
      <c r="J673" s="2" t="s">
        <v>3398</v>
      </c>
      <c r="L673" s="2" t="s">
        <v>30</v>
      </c>
      <c r="M673" s="2" t="s">
        <v>31</v>
      </c>
      <c r="N673" s="2" t="s">
        <v>32</v>
      </c>
      <c r="O673" s="2" t="s">
        <v>2769</v>
      </c>
      <c r="P673" s="2" t="s">
        <v>34</v>
      </c>
      <c r="Q673" t="s">
        <v>3394</v>
      </c>
      <c r="R673" s="2" t="s">
        <v>206</v>
      </c>
      <c r="S673" s="2" t="s">
        <v>3395</v>
      </c>
      <c r="T673" s="2" t="s">
        <v>60</v>
      </c>
    </row>
    <row r="674" spans="1:23" x14ac:dyDescent="0.25">
      <c r="A674" t="s">
        <v>3399</v>
      </c>
      <c r="B674" s="4">
        <f t="shared" si="10"/>
        <v>73904</v>
      </c>
      <c r="C674" t="s">
        <v>3400</v>
      </c>
      <c r="D674" t="s">
        <v>279</v>
      </c>
      <c r="E674" t="s">
        <v>405</v>
      </c>
      <c r="F674">
        <v>1</v>
      </c>
      <c r="G674" t="s">
        <v>26</v>
      </c>
      <c r="H674" s="2" t="s">
        <v>27</v>
      </c>
      <c r="I674" t="s">
        <v>28</v>
      </c>
      <c r="J674" s="2" t="s">
        <v>3401</v>
      </c>
      <c r="L674" s="2" t="s">
        <v>30</v>
      </c>
      <c r="M674" s="2" t="s">
        <v>31</v>
      </c>
      <c r="N674" s="2" t="s">
        <v>32</v>
      </c>
      <c r="O674" s="2" t="s">
        <v>2769</v>
      </c>
      <c r="P674" s="2" t="s">
        <v>34</v>
      </c>
      <c r="Q674" t="s">
        <v>867</v>
      </c>
      <c r="R674" s="2" t="s">
        <v>868</v>
      </c>
      <c r="T674" s="2" t="s">
        <v>34</v>
      </c>
      <c r="U674" s="2" t="s">
        <v>869</v>
      </c>
      <c r="V674" s="2" t="s">
        <v>3402</v>
      </c>
      <c r="W674" t="s">
        <v>3403</v>
      </c>
    </row>
    <row r="675" spans="1:23" x14ac:dyDescent="0.25">
      <c r="A675" t="s">
        <v>3404</v>
      </c>
      <c r="B675" s="4">
        <f t="shared" si="10"/>
        <v>73905</v>
      </c>
      <c r="C675" t="s">
        <v>3405</v>
      </c>
      <c r="D675" t="s">
        <v>185</v>
      </c>
      <c r="E675" t="s">
        <v>3406</v>
      </c>
      <c r="F675" t="s">
        <v>680</v>
      </c>
      <c r="G675" t="s">
        <v>352</v>
      </c>
      <c r="H675" s="2" t="s">
        <v>373</v>
      </c>
      <c r="I675" t="s">
        <v>379</v>
      </c>
      <c r="K675" s="2" t="s">
        <v>3407</v>
      </c>
      <c r="L675" s="2" t="s">
        <v>30</v>
      </c>
      <c r="M675" s="2" t="s">
        <v>31</v>
      </c>
      <c r="N675" s="2" t="s">
        <v>32</v>
      </c>
      <c r="O675" s="2" t="s">
        <v>2979</v>
      </c>
      <c r="P675" s="2" t="s">
        <v>34</v>
      </c>
      <c r="Q675" t="s">
        <v>1153</v>
      </c>
      <c r="R675" s="2" t="s">
        <v>1154</v>
      </c>
      <c r="T675" s="2" t="s">
        <v>60</v>
      </c>
    </row>
    <row r="676" spans="1:23" x14ac:dyDescent="0.25">
      <c r="A676" t="s">
        <v>3408</v>
      </c>
      <c r="B676" s="4">
        <f t="shared" si="10"/>
        <v>73907</v>
      </c>
      <c r="C676" t="s">
        <v>3409</v>
      </c>
      <c r="D676" t="s">
        <v>42</v>
      </c>
      <c r="E676" t="s">
        <v>67</v>
      </c>
      <c r="F676">
        <v>2</v>
      </c>
      <c r="G676" t="s">
        <v>352</v>
      </c>
      <c r="H676" s="2" t="s">
        <v>27</v>
      </c>
      <c r="I676" t="s">
        <v>379</v>
      </c>
      <c r="J676" s="2" t="s">
        <v>3410</v>
      </c>
      <c r="L676" s="2" t="s">
        <v>30</v>
      </c>
      <c r="M676" s="2" t="s">
        <v>31</v>
      </c>
      <c r="N676" s="2" t="s">
        <v>32</v>
      </c>
      <c r="O676" s="2" t="s">
        <v>69</v>
      </c>
      <c r="P676" s="2" t="s">
        <v>34</v>
      </c>
      <c r="Q676" t="s">
        <v>70</v>
      </c>
      <c r="R676" s="2" t="s">
        <v>71</v>
      </c>
      <c r="T676" s="2" t="s">
        <v>34</v>
      </c>
      <c r="U676" s="2" t="s">
        <v>72</v>
      </c>
      <c r="V676" s="2" t="s">
        <v>3408</v>
      </c>
      <c r="W676" t="s">
        <v>3411</v>
      </c>
    </row>
    <row r="677" spans="1:23" x14ac:dyDescent="0.25">
      <c r="A677" t="s">
        <v>3412</v>
      </c>
      <c r="B677" s="4">
        <f t="shared" si="10"/>
        <v>73909</v>
      </c>
      <c r="C677" t="s">
        <v>3413</v>
      </c>
      <c r="D677" t="s">
        <v>149</v>
      </c>
      <c r="E677" t="s">
        <v>347</v>
      </c>
      <c r="F677">
        <v>3</v>
      </c>
      <c r="G677" t="s">
        <v>26</v>
      </c>
      <c r="H677" s="2" t="s">
        <v>27</v>
      </c>
      <c r="I677" t="s">
        <v>368</v>
      </c>
      <c r="J677" s="2" t="s">
        <v>3414</v>
      </c>
      <c r="L677" s="2" t="s">
        <v>30</v>
      </c>
      <c r="M677" s="2" t="s">
        <v>31</v>
      </c>
      <c r="N677" s="2" t="s">
        <v>32</v>
      </c>
      <c r="O677" s="2" t="s">
        <v>198</v>
      </c>
      <c r="P677" s="2" t="s">
        <v>34</v>
      </c>
      <c r="Q677" t="s">
        <v>3415</v>
      </c>
      <c r="R677" s="2" t="s">
        <v>206</v>
      </c>
      <c r="S677" s="2" t="s">
        <v>3416</v>
      </c>
      <c r="T677" s="2" t="s">
        <v>60</v>
      </c>
    </row>
    <row r="678" spans="1:23" x14ac:dyDescent="0.25">
      <c r="A678" t="s">
        <v>3417</v>
      </c>
      <c r="B678" s="4">
        <f t="shared" si="10"/>
        <v>73910</v>
      </c>
      <c r="C678" t="s">
        <v>3418</v>
      </c>
      <c r="D678" t="s">
        <v>149</v>
      </c>
      <c r="E678" t="s">
        <v>347</v>
      </c>
      <c r="F678">
        <v>3</v>
      </c>
      <c r="G678" t="s">
        <v>26</v>
      </c>
      <c r="H678" s="2" t="s">
        <v>27</v>
      </c>
      <c r="I678" t="s">
        <v>368</v>
      </c>
      <c r="J678" s="2" t="s">
        <v>3414</v>
      </c>
      <c r="L678" s="2" t="s">
        <v>30</v>
      </c>
      <c r="M678" s="2" t="s">
        <v>31</v>
      </c>
      <c r="N678" s="2" t="s">
        <v>32</v>
      </c>
      <c r="O678" s="2" t="s">
        <v>3419</v>
      </c>
      <c r="P678" s="2" t="s">
        <v>34</v>
      </c>
      <c r="Q678" t="s">
        <v>3420</v>
      </c>
      <c r="R678" s="2" t="s">
        <v>3421</v>
      </c>
      <c r="T678" s="2" t="s">
        <v>60</v>
      </c>
    </row>
    <row r="679" spans="1:23" x14ac:dyDescent="0.25">
      <c r="A679" t="s">
        <v>3422</v>
      </c>
      <c r="B679" s="4">
        <f t="shared" si="10"/>
        <v>73911</v>
      </c>
      <c r="C679" t="s">
        <v>3423</v>
      </c>
      <c r="D679" t="s">
        <v>42</v>
      </c>
      <c r="E679" t="s">
        <v>598</v>
      </c>
      <c r="F679">
        <v>3</v>
      </c>
      <c r="G679" t="s">
        <v>26</v>
      </c>
      <c r="H679" s="2" t="s">
        <v>27</v>
      </c>
      <c r="I679" t="s">
        <v>368</v>
      </c>
      <c r="J679" s="2" t="s">
        <v>3424</v>
      </c>
      <c r="L679" s="2" t="s">
        <v>30</v>
      </c>
      <c r="M679" s="2" t="s">
        <v>31</v>
      </c>
      <c r="N679" s="2" t="s">
        <v>32</v>
      </c>
      <c r="O679" s="2" t="s">
        <v>3425</v>
      </c>
      <c r="P679" s="2" t="s">
        <v>34</v>
      </c>
      <c r="Q679" t="s">
        <v>3426</v>
      </c>
      <c r="R679" s="2" t="s">
        <v>206</v>
      </c>
      <c r="S679" s="2" t="s">
        <v>3427</v>
      </c>
      <c r="T679" s="2" t="s">
        <v>60</v>
      </c>
    </row>
    <row r="680" spans="1:23" x14ac:dyDescent="0.25">
      <c r="A680" t="s">
        <v>3428</v>
      </c>
      <c r="B680" s="4">
        <f t="shared" si="10"/>
        <v>73912</v>
      </c>
      <c r="C680" t="s">
        <v>3429</v>
      </c>
      <c r="D680" t="s">
        <v>365</v>
      </c>
      <c r="E680" t="s">
        <v>1805</v>
      </c>
      <c r="F680" t="s">
        <v>367</v>
      </c>
      <c r="G680" t="s">
        <v>26</v>
      </c>
      <c r="H680" s="2" t="s">
        <v>27</v>
      </c>
      <c r="I680" t="s">
        <v>28</v>
      </c>
      <c r="J680" s="2" t="s">
        <v>3430</v>
      </c>
      <c r="L680" s="2" t="s">
        <v>30</v>
      </c>
      <c r="M680" s="2" t="s">
        <v>31</v>
      </c>
      <c r="N680" s="2" t="s">
        <v>32</v>
      </c>
      <c r="O680" s="2" t="s">
        <v>2769</v>
      </c>
      <c r="P680" s="2" t="s">
        <v>34</v>
      </c>
      <c r="Q680" t="s">
        <v>3431</v>
      </c>
      <c r="R680" s="2" t="s">
        <v>3432</v>
      </c>
      <c r="T680" s="2" t="s">
        <v>60</v>
      </c>
    </row>
    <row r="681" spans="1:23" x14ac:dyDescent="0.25">
      <c r="A681" t="s">
        <v>3433</v>
      </c>
      <c r="B681" s="4">
        <f t="shared" si="10"/>
        <v>73913</v>
      </c>
      <c r="C681" t="s">
        <v>3434</v>
      </c>
      <c r="D681" t="s">
        <v>42</v>
      </c>
      <c r="E681" t="s">
        <v>517</v>
      </c>
      <c r="F681">
        <v>2</v>
      </c>
      <c r="G681" t="s">
        <v>26</v>
      </c>
      <c r="H681" s="2" t="s">
        <v>27</v>
      </c>
      <c r="I681" t="s">
        <v>368</v>
      </c>
      <c r="J681" s="2" t="s">
        <v>3435</v>
      </c>
      <c r="L681" s="2" t="s">
        <v>30</v>
      </c>
      <c r="M681" s="2" t="s">
        <v>31</v>
      </c>
      <c r="N681" s="2" t="s">
        <v>32</v>
      </c>
      <c r="O681" s="2" t="s">
        <v>3436</v>
      </c>
      <c r="P681" s="2" t="s">
        <v>34</v>
      </c>
      <c r="Q681" t="s">
        <v>3437</v>
      </c>
      <c r="R681" s="2" t="s">
        <v>3438</v>
      </c>
      <c r="T681" s="2" t="s">
        <v>60</v>
      </c>
    </row>
    <row r="682" spans="1:23" x14ac:dyDescent="0.25">
      <c r="A682" t="s">
        <v>3439</v>
      </c>
      <c r="B682" s="4">
        <f t="shared" si="10"/>
        <v>73914</v>
      </c>
      <c r="C682" t="s">
        <v>3440</v>
      </c>
      <c r="D682" t="s">
        <v>42</v>
      </c>
      <c r="E682" t="s">
        <v>479</v>
      </c>
      <c r="F682">
        <v>3</v>
      </c>
      <c r="G682" t="s">
        <v>26</v>
      </c>
      <c r="H682" s="2" t="s">
        <v>27</v>
      </c>
      <c r="I682" t="s">
        <v>28</v>
      </c>
      <c r="J682" s="2" t="s">
        <v>3441</v>
      </c>
      <c r="L682" s="2" t="s">
        <v>30</v>
      </c>
      <c r="M682" s="2" t="s">
        <v>31</v>
      </c>
      <c r="N682" s="2" t="s">
        <v>32</v>
      </c>
      <c r="O682" s="2" t="s">
        <v>100</v>
      </c>
      <c r="P682" s="2" t="s">
        <v>34</v>
      </c>
      <c r="Q682" t="s">
        <v>3442</v>
      </c>
      <c r="R682" s="2" t="s">
        <v>3443</v>
      </c>
      <c r="T682" s="2" t="s">
        <v>34</v>
      </c>
      <c r="U682" s="2" t="s">
        <v>3444</v>
      </c>
      <c r="V682" s="2" t="s">
        <v>3445</v>
      </c>
      <c r="W682" t="s">
        <v>3446</v>
      </c>
    </row>
    <row r="683" spans="1:23" x14ac:dyDescent="0.25">
      <c r="A683" t="s">
        <v>3447</v>
      </c>
      <c r="B683" s="4">
        <f t="shared" si="10"/>
        <v>73915</v>
      </c>
      <c r="C683" t="s">
        <v>3448</v>
      </c>
      <c r="D683" t="s">
        <v>42</v>
      </c>
      <c r="E683" t="s">
        <v>67</v>
      </c>
      <c r="F683">
        <v>2</v>
      </c>
      <c r="G683" t="s">
        <v>352</v>
      </c>
      <c r="H683" s="2" t="s">
        <v>27</v>
      </c>
      <c r="I683" t="s">
        <v>379</v>
      </c>
      <c r="J683" s="2" t="s">
        <v>3449</v>
      </c>
      <c r="L683" s="2" t="s">
        <v>30</v>
      </c>
      <c r="M683" s="2" t="s">
        <v>31</v>
      </c>
      <c r="N683" s="2" t="s">
        <v>32</v>
      </c>
      <c r="O683" s="2" t="s">
        <v>3450</v>
      </c>
      <c r="P683" s="2" t="s">
        <v>34</v>
      </c>
      <c r="Q683" t="s">
        <v>3059</v>
      </c>
      <c r="R683" s="2" t="s">
        <v>206</v>
      </c>
      <c r="S683" s="2" t="s">
        <v>3060</v>
      </c>
      <c r="T683" s="2" t="s">
        <v>60</v>
      </c>
    </row>
    <row r="684" spans="1:23" x14ac:dyDescent="0.25">
      <c r="A684" t="s">
        <v>3451</v>
      </c>
      <c r="B684" s="4">
        <f t="shared" si="10"/>
        <v>73918</v>
      </c>
      <c r="C684" t="s">
        <v>3452</v>
      </c>
      <c r="D684" t="s">
        <v>42</v>
      </c>
      <c r="E684" t="s">
        <v>933</v>
      </c>
      <c r="F684">
        <v>3</v>
      </c>
      <c r="G684" t="s">
        <v>26</v>
      </c>
      <c r="H684" s="2" t="s">
        <v>27</v>
      </c>
      <c r="I684" t="s">
        <v>28</v>
      </c>
      <c r="J684" s="2" t="s">
        <v>3453</v>
      </c>
      <c r="L684" s="2" t="s">
        <v>30</v>
      </c>
      <c r="M684" s="2" t="s">
        <v>31</v>
      </c>
      <c r="N684" s="2" t="s">
        <v>32</v>
      </c>
      <c r="O684" s="2" t="s">
        <v>3454</v>
      </c>
      <c r="P684" s="2" t="s">
        <v>34</v>
      </c>
      <c r="Q684" t="s">
        <v>145</v>
      </c>
      <c r="R684" s="2" t="s">
        <v>146</v>
      </c>
      <c r="T684" s="2" t="s">
        <v>60</v>
      </c>
    </row>
    <row r="685" spans="1:23" x14ac:dyDescent="0.25">
      <c r="A685" t="s">
        <v>3455</v>
      </c>
      <c r="B685" s="4">
        <f t="shared" si="10"/>
        <v>73919</v>
      </c>
      <c r="C685" t="s">
        <v>3456</v>
      </c>
      <c r="D685" t="s">
        <v>42</v>
      </c>
      <c r="E685" t="s">
        <v>67</v>
      </c>
      <c r="F685">
        <v>2</v>
      </c>
      <c r="G685" t="s">
        <v>352</v>
      </c>
      <c r="H685" s="2" t="s">
        <v>27</v>
      </c>
      <c r="I685" t="s">
        <v>379</v>
      </c>
      <c r="J685" s="2" t="s">
        <v>3457</v>
      </c>
      <c r="L685" s="2" t="s">
        <v>30</v>
      </c>
      <c r="M685" s="2" t="s">
        <v>31</v>
      </c>
      <c r="N685" s="2" t="s">
        <v>32</v>
      </c>
      <c r="O685" s="2" t="s">
        <v>3458</v>
      </c>
      <c r="P685" s="2" t="s">
        <v>34</v>
      </c>
      <c r="Q685" t="s">
        <v>3459</v>
      </c>
      <c r="R685" s="2" t="s">
        <v>3460</v>
      </c>
      <c r="T685" s="2" t="s">
        <v>60</v>
      </c>
    </row>
    <row r="686" spans="1:23" x14ac:dyDescent="0.25">
      <c r="A686" t="s">
        <v>3461</v>
      </c>
      <c r="B686" s="4">
        <f t="shared" si="10"/>
        <v>73920</v>
      </c>
      <c r="C686" t="s">
        <v>3462</v>
      </c>
      <c r="D686" t="s">
        <v>185</v>
      </c>
      <c r="E686" t="s">
        <v>969</v>
      </c>
      <c r="F686" t="s">
        <v>543</v>
      </c>
      <c r="G686" t="s">
        <v>26</v>
      </c>
      <c r="H686" s="2" t="s">
        <v>27</v>
      </c>
      <c r="I686" t="s">
        <v>28</v>
      </c>
      <c r="J686" s="2" t="s">
        <v>3463</v>
      </c>
      <c r="L686" s="2" t="s">
        <v>30</v>
      </c>
      <c r="M686" s="2" t="s">
        <v>31</v>
      </c>
      <c r="N686" s="2" t="s">
        <v>32</v>
      </c>
      <c r="O686" s="2" t="s">
        <v>2769</v>
      </c>
      <c r="P686" s="2" t="s">
        <v>34</v>
      </c>
      <c r="Q686" t="s">
        <v>421</v>
      </c>
      <c r="R686" s="2" t="s">
        <v>422</v>
      </c>
      <c r="T686" s="2" t="s">
        <v>34</v>
      </c>
      <c r="U686" s="2" t="s">
        <v>423</v>
      </c>
      <c r="V686" s="2" t="s">
        <v>3464</v>
      </c>
      <c r="W686" t="s">
        <v>3465</v>
      </c>
    </row>
    <row r="687" spans="1:23" x14ac:dyDescent="0.25">
      <c r="A687" t="s">
        <v>3466</v>
      </c>
      <c r="B687" s="4">
        <f t="shared" si="10"/>
        <v>73921</v>
      </c>
      <c r="C687" t="s">
        <v>3467</v>
      </c>
      <c r="D687" t="s">
        <v>365</v>
      </c>
      <c r="E687" t="s">
        <v>774</v>
      </c>
      <c r="F687" t="s">
        <v>367</v>
      </c>
      <c r="G687" t="s">
        <v>352</v>
      </c>
      <c r="H687" s="2" t="s">
        <v>27</v>
      </c>
      <c r="I687" t="s">
        <v>28</v>
      </c>
      <c r="J687" s="2" t="s">
        <v>3468</v>
      </c>
      <c r="L687" s="2" t="s">
        <v>30</v>
      </c>
      <c r="M687" s="2" t="s">
        <v>31</v>
      </c>
      <c r="N687" s="2" t="s">
        <v>32</v>
      </c>
      <c r="O687" s="2" t="s">
        <v>2769</v>
      </c>
      <c r="P687" s="2" t="s">
        <v>34</v>
      </c>
      <c r="Q687" t="s">
        <v>1286</v>
      </c>
      <c r="R687" s="2" t="s">
        <v>206</v>
      </c>
      <c r="S687" s="2" t="s">
        <v>1287</v>
      </c>
      <c r="T687" s="2" t="s">
        <v>34</v>
      </c>
      <c r="U687" s="2" t="s">
        <v>1288</v>
      </c>
      <c r="V687" s="2" t="s">
        <v>3469</v>
      </c>
      <c r="W687" t="s">
        <v>3470</v>
      </c>
    </row>
    <row r="688" spans="1:23" x14ac:dyDescent="0.25">
      <c r="A688" t="s">
        <v>3471</v>
      </c>
      <c r="B688" s="4">
        <f t="shared" si="10"/>
        <v>73923</v>
      </c>
      <c r="C688" t="s">
        <v>3472</v>
      </c>
      <c r="D688" t="s">
        <v>279</v>
      </c>
      <c r="E688" t="s">
        <v>557</v>
      </c>
      <c r="F688" t="s">
        <v>543</v>
      </c>
      <c r="G688" t="s">
        <v>26</v>
      </c>
      <c r="H688" s="2" t="s">
        <v>27</v>
      </c>
      <c r="I688" t="s">
        <v>368</v>
      </c>
      <c r="J688" s="2" t="s">
        <v>3473</v>
      </c>
      <c r="L688" s="2" t="s">
        <v>30</v>
      </c>
      <c r="M688" s="2" t="s">
        <v>31</v>
      </c>
      <c r="N688" s="2" t="s">
        <v>32</v>
      </c>
      <c r="O688" s="2" t="s">
        <v>2769</v>
      </c>
      <c r="P688" s="2" t="s">
        <v>34</v>
      </c>
      <c r="Q688" t="s">
        <v>2285</v>
      </c>
      <c r="R688" s="2" t="s">
        <v>2286</v>
      </c>
      <c r="T688" s="2" t="s">
        <v>60</v>
      </c>
    </row>
    <row r="689" spans="1:23" x14ac:dyDescent="0.25">
      <c r="A689" t="s">
        <v>3474</v>
      </c>
      <c r="B689" s="4">
        <f t="shared" si="10"/>
        <v>73924</v>
      </c>
      <c r="C689" t="s">
        <v>3475</v>
      </c>
      <c r="D689" t="s">
        <v>2423</v>
      </c>
      <c r="E689" t="s">
        <v>2424</v>
      </c>
      <c r="F689">
        <v>2</v>
      </c>
      <c r="G689" t="s">
        <v>352</v>
      </c>
      <c r="H689" s="2" t="s">
        <v>27</v>
      </c>
      <c r="I689" t="s">
        <v>379</v>
      </c>
      <c r="J689" s="2" t="s">
        <v>3476</v>
      </c>
      <c r="L689" s="2" t="s">
        <v>30</v>
      </c>
      <c r="M689" s="2" t="s">
        <v>31</v>
      </c>
      <c r="N689" s="2" t="s">
        <v>32</v>
      </c>
      <c r="O689" s="2" t="s">
        <v>3477</v>
      </c>
      <c r="P689" s="2" t="s">
        <v>34</v>
      </c>
      <c r="Q689" t="s">
        <v>3478</v>
      </c>
      <c r="R689" s="2" t="s">
        <v>3479</v>
      </c>
      <c r="T689" s="2" t="s">
        <v>60</v>
      </c>
    </row>
    <row r="690" spans="1:23" x14ac:dyDescent="0.25">
      <c r="A690" t="s">
        <v>3480</v>
      </c>
      <c r="B690" s="4">
        <f t="shared" si="10"/>
        <v>73925</v>
      </c>
      <c r="C690" t="s">
        <v>3481</v>
      </c>
      <c r="D690" t="s">
        <v>42</v>
      </c>
      <c r="E690" t="s">
        <v>67</v>
      </c>
      <c r="F690">
        <v>2</v>
      </c>
      <c r="G690" t="s">
        <v>352</v>
      </c>
      <c r="H690" s="2" t="s">
        <v>27</v>
      </c>
      <c r="I690" t="s">
        <v>379</v>
      </c>
      <c r="J690" s="2" t="s">
        <v>3482</v>
      </c>
      <c r="L690" s="2" t="s">
        <v>30</v>
      </c>
      <c r="M690" s="2" t="s">
        <v>31</v>
      </c>
      <c r="N690" s="2" t="s">
        <v>32</v>
      </c>
      <c r="O690" s="2" t="s">
        <v>3483</v>
      </c>
      <c r="P690" s="2" t="s">
        <v>34</v>
      </c>
      <c r="Q690" t="s">
        <v>3484</v>
      </c>
      <c r="R690" s="2" t="s">
        <v>206</v>
      </c>
      <c r="S690" s="2" t="s">
        <v>3485</v>
      </c>
      <c r="T690" s="2" t="s">
        <v>60</v>
      </c>
    </row>
    <row r="691" spans="1:23" x14ac:dyDescent="0.25">
      <c r="A691" t="s">
        <v>3486</v>
      </c>
      <c r="B691" s="4">
        <f t="shared" si="10"/>
        <v>73927</v>
      </c>
      <c r="C691" t="s">
        <v>3487</v>
      </c>
      <c r="D691" t="s">
        <v>365</v>
      </c>
      <c r="E691" t="s">
        <v>1069</v>
      </c>
      <c r="F691" t="s">
        <v>187</v>
      </c>
      <c r="G691" t="s">
        <v>352</v>
      </c>
      <c r="H691" s="2" t="s">
        <v>27</v>
      </c>
      <c r="I691" t="s">
        <v>379</v>
      </c>
      <c r="J691" s="2" t="s">
        <v>3488</v>
      </c>
      <c r="L691" s="2" t="s">
        <v>30</v>
      </c>
      <c r="M691" s="2" t="s">
        <v>31</v>
      </c>
      <c r="N691" s="2" t="s">
        <v>32</v>
      </c>
      <c r="O691" s="2" t="s">
        <v>2769</v>
      </c>
      <c r="P691" s="2" t="s">
        <v>34</v>
      </c>
      <c r="Q691" t="s">
        <v>3489</v>
      </c>
      <c r="R691" s="2" t="s">
        <v>206</v>
      </c>
      <c r="S691" s="2" t="s">
        <v>3490</v>
      </c>
      <c r="T691" s="2" t="s">
        <v>60</v>
      </c>
    </row>
    <row r="692" spans="1:23" x14ac:dyDescent="0.25">
      <c r="A692" t="s">
        <v>3491</v>
      </c>
      <c r="B692" s="4">
        <f t="shared" si="10"/>
        <v>73930</v>
      </c>
      <c r="C692" t="s">
        <v>3492</v>
      </c>
      <c r="D692" t="s">
        <v>185</v>
      </c>
      <c r="E692" t="s">
        <v>1124</v>
      </c>
      <c r="F692" t="s">
        <v>680</v>
      </c>
      <c r="G692" t="s">
        <v>352</v>
      </c>
      <c r="H692" s="2" t="s">
        <v>27</v>
      </c>
      <c r="I692" t="s">
        <v>379</v>
      </c>
      <c r="J692" s="2" t="s">
        <v>3493</v>
      </c>
      <c r="L692" s="2" t="s">
        <v>30</v>
      </c>
      <c r="M692" s="2" t="s">
        <v>31</v>
      </c>
      <c r="N692" s="2" t="s">
        <v>32</v>
      </c>
      <c r="O692" s="2" t="s">
        <v>3494</v>
      </c>
      <c r="P692" s="2" t="s">
        <v>34</v>
      </c>
      <c r="Q692" t="s">
        <v>3495</v>
      </c>
      <c r="R692" s="2" t="s">
        <v>206</v>
      </c>
      <c r="S692" s="2" t="s">
        <v>3496</v>
      </c>
      <c r="T692" s="2" t="s">
        <v>60</v>
      </c>
    </row>
    <row r="693" spans="1:23" x14ac:dyDescent="0.25">
      <c r="A693" t="s">
        <v>3497</v>
      </c>
      <c r="B693" s="4">
        <f t="shared" si="10"/>
        <v>74040</v>
      </c>
      <c r="C693" t="s">
        <v>3498</v>
      </c>
      <c r="D693" t="s">
        <v>24</v>
      </c>
      <c r="E693" t="s">
        <v>25</v>
      </c>
      <c r="F693">
        <v>2</v>
      </c>
      <c r="G693" t="s">
        <v>26</v>
      </c>
      <c r="H693" s="2" t="s">
        <v>27</v>
      </c>
      <c r="I693" t="s">
        <v>55</v>
      </c>
      <c r="J693" s="2" t="s">
        <v>3499</v>
      </c>
      <c r="L693" s="2" t="s">
        <v>30</v>
      </c>
      <c r="M693" s="2" t="s">
        <v>31</v>
      </c>
      <c r="N693" s="2" t="s">
        <v>32</v>
      </c>
      <c r="O693" s="2" t="s">
        <v>614</v>
      </c>
      <c r="P693" s="2" t="s">
        <v>34</v>
      </c>
      <c r="Q693" t="s">
        <v>615</v>
      </c>
      <c r="R693" s="2" t="s">
        <v>616</v>
      </c>
      <c r="T693" s="2" t="s">
        <v>60</v>
      </c>
    </row>
    <row r="694" spans="1:23" x14ac:dyDescent="0.25">
      <c r="A694" t="s">
        <v>3500</v>
      </c>
      <c r="B694" s="4">
        <f t="shared" si="10"/>
        <v>74058</v>
      </c>
      <c r="C694" t="s">
        <v>156</v>
      </c>
      <c r="D694" t="s">
        <v>157</v>
      </c>
      <c r="E694" t="s">
        <v>158</v>
      </c>
      <c r="F694">
        <v>3</v>
      </c>
      <c r="G694" t="s">
        <v>26</v>
      </c>
      <c r="H694" s="2" t="s">
        <v>27</v>
      </c>
      <c r="I694" t="s">
        <v>55</v>
      </c>
      <c r="J694" s="2" t="s">
        <v>3501</v>
      </c>
      <c r="L694" s="2" t="s">
        <v>30</v>
      </c>
      <c r="M694" s="2" t="s">
        <v>31</v>
      </c>
      <c r="N694" s="2" t="s">
        <v>32</v>
      </c>
      <c r="O694" s="2" t="s">
        <v>160</v>
      </c>
      <c r="P694" s="2" t="s">
        <v>34</v>
      </c>
      <c r="Q694" t="s">
        <v>161</v>
      </c>
      <c r="R694" s="2" t="s">
        <v>162</v>
      </c>
      <c r="T694" s="2" t="s">
        <v>34</v>
      </c>
      <c r="U694" s="2" t="s">
        <v>163</v>
      </c>
      <c r="V694" s="2" t="s">
        <v>3500</v>
      </c>
      <c r="W694" t="s">
        <v>164</v>
      </c>
    </row>
    <row r="695" spans="1:23" x14ac:dyDescent="0.25">
      <c r="A695" t="s">
        <v>3502</v>
      </c>
      <c r="B695" s="4">
        <f t="shared" si="10"/>
        <v>74128</v>
      </c>
      <c r="C695" t="s">
        <v>3503</v>
      </c>
      <c r="D695" t="s">
        <v>149</v>
      </c>
      <c r="E695" t="s">
        <v>347</v>
      </c>
      <c r="F695">
        <v>3</v>
      </c>
      <c r="G695" t="s">
        <v>26</v>
      </c>
      <c r="H695" s="2" t="s">
        <v>27</v>
      </c>
      <c r="I695" t="s">
        <v>55</v>
      </c>
      <c r="J695" s="2" t="s">
        <v>3504</v>
      </c>
      <c r="L695" s="2" t="s">
        <v>30</v>
      </c>
      <c r="M695" s="2" t="s">
        <v>31</v>
      </c>
      <c r="N695" s="2" t="s">
        <v>32</v>
      </c>
      <c r="O695" s="2" t="s">
        <v>198</v>
      </c>
      <c r="P695" s="2" t="s">
        <v>34</v>
      </c>
      <c r="Q695" t="s">
        <v>153</v>
      </c>
      <c r="R695" s="2" t="s">
        <v>154</v>
      </c>
      <c r="T695" s="2" t="s">
        <v>60</v>
      </c>
    </row>
    <row r="696" spans="1:23" x14ac:dyDescent="0.25">
      <c r="A696" t="s">
        <v>3505</v>
      </c>
      <c r="B696" s="4">
        <f t="shared" si="10"/>
        <v>74187</v>
      </c>
      <c r="C696" t="s">
        <v>3506</v>
      </c>
      <c r="D696" t="s">
        <v>365</v>
      </c>
      <c r="E696" t="s">
        <v>1387</v>
      </c>
      <c r="F696" t="s">
        <v>367</v>
      </c>
      <c r="G696" t="s">
        <v>26</v>
      </c>
      <c r="H696" s="2" t="s">
        <v>27</v>
      </c>
      <c r="I696" t="s">
        <v>55</v>
      </c>
      <c r="J696" s="2" t="s">
        <v>3507</v>
      </c>
      <c r="L696" s="2" t="s">
        <v>30</v>
      </c>
      <c r="M696" s="2" t="s">
        <v>31</v>
      </c>
      <c r="N696" s="2" t="s">
        <v>32</v>
      </c>
      <c r="O696" s="2" t="s">
        <v>1204</v>
      </c>
      <c r="P696" s="2" t="s">
        <v>34</v>
      </c>
      <c r="Q696" t="s">
        <v>2079</v>
      </c>
      <c r="R696" s="2" t="s">
        <v>206</v>
      </c>
      <c r="S696" s="2" t="s">
        <v>2080</v>
      </c>
      <c r="T696" s="2" t="s">
        <v>60</v>
      </c>
    </row>
    <row r="697" spans="1:23" x14ac:dyDescent="0.25">
      <c r="A697" t="s">
        <v>3508</v>
      </c>
      <c r="B697" s="4">
        <f t="shared" si="10"/>
        <v>74200</v>
      </c>
      <c r="C697" t="s">
        <v>3509</v>
      </c>
      <c r="D697" t="s">
        <v>24</v>
      </c>
      <c r="E697" t="s">
        <v>3510</v>
      </c>
      <c r="F697">
        <v>2</v>
      </c>
      <c r="G697" t="s">
        <v>352</v>
      </c>
      <c r="H697" s="2" t="s">
        <v>27</v>
      </c>
      <c r="I697" t="s">
        <v>379</v>
      </c>
      <c r="J697" s="2" t="s">
        <v>3511</v>
      </c>
      <c r="L697" s="2" t="s">
        <v>30</v>
      </c>
      <c r="M697" s="2" t="s">
        <v>31</v>
      </c>
      <c r="N697" s="2" t="s">
        <v>32</v>
      </c>
      <c r="O697" s="2" t="s">
        <v>214</v>
      </c>
      <c r="P697" s="2" t="s">
        <v>34</v>
      </c>
      <c r="Q697" t="s">
        <v>3512</v>
      </c>
      <c r="R697" s="2" t="s">
        <v>3513</v>
      </c>
      <c r="T697" s="2" t="s">
        <v>60</v>
      </c>
    </row>
    <row r="698" spans="1:23" x14ac:dyDescent="0.25">
      <c r="A698" t="s">
        <v>3514</v>
      </c>
      <c r="B698" s="4">
        <f t="shared" si="10"/>
        <v>74201</v>
      </c>
      <c r="C698" t="s">
        <v>3515</v>
      </c>
      <c r="D698" t="s">
        <v>24</v>
      </c>
      <c r="E698" t="s">
        <v>2971</v>
      </c>
      <c r="F698">
        <v>2</v>
      </c>
      <c r="G698" t="s">
        <v>352</v>
      </c>
      <c r="H698" s="2" t="s">
        <v>27</v>
      </c>
      <c r="I698" t="s">
        <v>379</v>
      </c>
      <c r="J698" s="2" t="s">
        <v>3516</v>
      </c>
      <c r="L698" s="2" t="s">
        <v>30</v>
      </c>
      <c r="M698" s="2" t="s">
        <v>31</v>
      </c>
      <c r="N698" s="2" t="s">
        <v>32</v>
      </c>
      <c r="O698" s="2" t="s">
        <v>2769</v>
      </c>
      <c r="P698" s="2" t="s">
        <v>34</v>
      </c>
      <c r="Q698" t="s">
        <v>3517</v>
      </c>
      <c r="R698" s="2" t="s">
        <v>3518</v>
      </c>
      <c r="T698" s="2" t="s">
        <v>60</v>
      </c>
    </row>
    <row r="699" spans="1:23" x14ac:dyDescent="0.25">
      <c r="A699" t="s">
        <v>3519</v>
      </c>
      <c r="B699" s="4">
        <f t="shared" si="10"/>
        <v>74202</v>
      </c>
      <c r="C699" t="s">
        <v>3520</v>
      </c>
      <c r="D699" t="s">
        <v>24</v>
      </c>
      <c r="E699" t="s">
        <v>2971</v>
      </c>
      <c r="F699">
        <v>2</v>
      </c>
      <c r="G699" t="s">
        <v>352</v>
      </c>
      <c r="H699" s="2" t="s">
        <v>27</v>
      </c>
      <c r="I699" t="s">
        <v>379</v>
      </c>
      <c r="J699" s="2" t="s">
        <v>3521</v>
      </c>
      <c r="L699" s="2" t="s">
        <v>30</v>
      </c>
      <c r="M699" s="2" t="s">
        <v>31</v>
      </c>
      <c r="N699" s="2" t="s">
        <v>32</v>
      </c>
      <c r="O699" s="2" t="s">
        <v>2374</v>
      </c>
      <c r="P699" s="2" t="s">
        <v>34</v>
      </c>
      <c r="Q699" t="s">
        <v>3517</v>
      </c>
      <c r="R699" s="2" t="s">
        <v>3518</v>
      </c>
      <c r="T699" s="2" t="s">
        <v>60</v>
      </c>
    </row>
    <row r="700" spans="1:23" x14ac:dyDescent="0.25">
      <c r="A700" t="s">
        <v>3522</v>
      </c>
      <c r="B700" s="4">
        <f t="shared" si="10"/>
        <v>74203</v>
      </c>
      <c r="C700" t="s">
        <v>3523</v>
      </c>
      <c r="D700" t="s">
        <v>24</v>
      </c>
      <c r="E700" t="s">
        <v>2971</v>
      </c>
      <c r="F700">
        <v>2</v>
      </c>
      <c r="G700" t="s">
        <v>26</v>
      </c>
      <c r="H700" s="2" t="s">
        <v>27</v>
      </c>
      <c r="I700" t="s">
        <v>28</v>
      </c>
      <c r="J700" s="2" t="s">
        <v>3524</v>
      </c>
      <c r="L700" s="2" t="s">
        <v>30</v>
      </c>
      <c r="M700" s="2" t="s">
        <v>31</v>
      </c>
      <c r="N700" s="2" t="s">
        <v>32</v>
      </c>
      <c r="O700" s="2" t="s">
        <v>2374</v>
      </c>
      <c r="P700" s="2" t="s">
        <v>34</v>
      </c>
      <c r="Q700" t="s">
        <v>35</v>
      </c>
      <c r="R700" s="2" t="s">
        <v>36</v>
      </c>
      <c r="T700" s="2" t="s">
        <v>34</v>
      </c>
      <c r="U700" s="2" t="s">
        <v>37</v>
      </c>
      <c r="V700" s="2" t="s">
        <v>3525</v>
      </c>
      <c r="W700" t="s">
        <v>3526</v>
      </c>
    </row>
    <row r="701" spans="1:23" x14ac:dyDescent="0.25">
      <c r="A701" t="s">
        <v>3527</v>
      </c>
      <c r="B701" s="4">
        <f t="shared" si="10"/>
        <v>74215</v>
      </c>
      <c r="C701" t="s">
        <v>398</v>
      </c>
      <c r="D701" t="s">
        <v>24</v>
      </c>
      <c r="E701" t="s">
        <v>113</v>
      </c>
      <c r="F701">
        <v>2</v>
      </c>
      <c r="G701" t="s">
        <v>26</v>
      </c>
      <c r="H701" s="2" t="s">
        <v>27</v>
      </c>
      <c r="I701" t="s">
        <v>28</v>
      </c>
      <c r="J701" s="2" t="s">
        <v>3528</v>
      </c>
      <c r="L701" s="2" t="s">
        <v>30</v>
      </c>
      <c r="M701" s="2" t="s">
        <v>31</v>
      </c>
      <c r="N701" s="2" t="s">
        <v>32</v>
      </c>
      <c r="O701" s="2" t="s">
        <v>3529</v>
      </c>
      <c r="P701" s="2" t="s">
        <v>34</v>
      </c>
      <c r="Q701" t="s">
        <v>190</v>
      </c>
      <c r="R701" s="2" t="s">
        <v>191</v>
      </c>
      <c r="T701" s="2" t="s">
        <v>34</v>
      </c>
      <c r="U701" s="2" t="s">
        <v>192</v>
      </c>
      <c r="V701" s="2" t="s">
        <v>401</v>
      </c>
      <c r="W701" t="s">
        <v>402</v>
      </c>
    </row>
    <row r="702" spans="1:23" x14ac:dyDescent="0.25">
      <c r="A702" t="s">
        <v>3530</v>
      </c>
      <c r="B702" s="4">
        <f t="shared" si="10"/>
        <v>74217</v>
      </c>
      <c r="C702" t="s">
        <v>3531</v>
      </c>
      <c r="D702" t="s">
        <v>279</v>
      </c>
      <c r="E702" t="s">
        <v>405</v>
      </c>
      <c r="F702">
        <v>1</v>
      </c>
      <c r="G702" t="s">
        <v>26</v>
      </c>
      <c r="H702" s="2" t="s">
        <v>27</v>
      </c>
      <c r="I702" t="s">
        <v>28</v>
      </c>
      <c r="J702" s="2" t="s">
        <v>3532</v>
      </c>
      <c r="L702" s="2" t="s">
        <v>30</v>
      </c>
      <c r="M702" s="2" t="s">
        <v>31</v>
      </c>
      <c r="N702" s="2" t="s">
        <v>32</v>
      </c>
      <c r="O702" s="2" t="s">
        <v>1204</v>
      </c>
      <c r="P702" s="2" t="s">
        <v>34</v>
      </c>
      <c r="Q702" t="s">
        <v>407</v>
      </c>
      <c r="R702" s="2" t="s">
        <v>408</v>
      </c>
      <c r="T702" s="2" t="s">
        <v>34</v>
      </c>
      <c r="U702" s="2" t="s">
        <v>409</v>
      </c>
      <c r="V702" s="2" t="s">
        <v>3533</v>
      </c>
      <c r="W702" t="s">
        <v>3534</v>
      </c>
    </row>
    <row r="703" spans="1:23" x14ac:dyDescent="0.25">
      <c r="A703" t="s">
        <v>3535</v>
      </c>
      <c r="B703" s="4">
        <f t="shared" si="10"/>
        <v>74502</v>
      </c>
      <c r="C703" t="s">
        <v>3536</v>
      </c>
      <c r="D703" t="s">
        <v>185</v>
      </c>
      <c r="E703" t="s">
        <v>1692</v>
      </c>
      <c r="F703" t="s">
        <v>680</v>
      </c>
      <c r="G703" t="s">
        <v>352</v>
      </c>
      <c r="H703" s="2" t="s">
        <v>373</v>
      </c>
      <c r="I703" t="s">
        <v>379</v>
      </c>
      <c r="K703" s="2" t="s">
        <v>3537</v>
      </c>
      <c r="L703" s="2" t="s">
        <v>30</v>
      </c>
      <c r="M703" s="2" t="s">
        <v>31</v>
      </c>
      <c r="N703" s="2" t="s">
        <v>32</v>
      </c>
      <c r="O703" s="2" t="s">
        <v>3538</v>
      </c>
      <c r="P703" s="2" t="s">
        <v>34</v>
      </c>
      <c r="Q703" t="s">
        <v>3539</v>
      </c>
      <c r="R703" s="2" t="s">
        <v>3540</v>
      </c>
      <c r="T703" s="2" t="s">
        <v>60</v>
      </c>
    </row>
    <row r="704" spans="1:23" x14ac:dyDescent="0.25">
      <c r="A704" t="s">
        <v>3541</v>
      </c>
      <c r="B704" s="4">
        <f t="shared" si="10"/>
        <v>74509</v>
      </c>
      <c r="C704" t="s">
        <v>3542</v>
      </c>
      <c r="D704" t="s">
        <v>149</v>
      </c>
      <c r="E704" t="s">
        <v>922</v>
      </c>
      <c r="F704">
        <v>3</v>
      </c>
      <c r="G704" t="s">
        <v>352</v>
      </c>
      <c r="H704" s="2" t="s">
        <v>27</v>
      </c>
      <c r="I704" t="s">
        <v>28</v>
      </c>
      <c r="J704" s="2" t="s">
        <v>3543</v>
      </c>
      <c r="L704" s="2" t="s">
        <v>30</v>
      </c>
      <c r="M704" s="2" t="s">
        <v>31</v>
      </c>
      <c r="N704" s="2" t="s">
        <v>32</v>
      </c>
      <c r="O704" s="2" t="s">
        <v>711</v>
      </c>
      <c r="P704" s="2" t="s">
        <v>34</v>
      </c>
      <c r="Q704" t="s">
        <v>232</v>
      </c>
      <c r="R704" s="2" t="s">
        <v>233</v>
      </c>
      <c r="T704" s="2" t="s">
        <v>34</v>
      </c>
      <c r="U704" s="2" t="s">
        <v>234</v>
      </c>
      <c r="V704" s="2" t="s">
        <v>3544</v>
      </c>
      <c r="W704" t="s">
        <v>3545</v>
      </c>
    </row>
    <row r="705" spans="1:23" x14ac:dyDescent="0.25">
      <c r="A705" t="s">
        <v>3546</v>
      </c>
      <c r="B705" s="4">
        <f t="shared" si="10"/>
        <v>74696</v>
      </c>
      <c r="C705" t="s">
        <v>3547</v>
      </c>
      <c r="D705" t="s">
        <v>1149</v>
      </c>
      <c r="E705" t="s">
        <v>1150</v>
      </c>
      <c r="F705" t="s">
        <v>680</v>
      </c>
      <c r="G705" t="s">
        <v>26</v>
      </c>
      <c r="H705" s="2" t="s">
        <v>373</v>
      </c>
      <c r="I705" t="s">
        <v>2251</v>
      </c>
      <c r="K705" s="2" t="s">
        <v>1151</v>
      </c>
      <c r="L705" s="2" t="s">
        <v>30</v>
      </c>
      <c r="M705" s="2" t="s">
        <v>31</v>
      </c>
      <c r="N705" s="2" t="s">
        <v>32</v>
      </c>
      <c r="O705" s="2" t="s">
        <v>1152</v>
      </c>
      <c r="P705" s="2" t="s">
        <v>34</v>
      </c>
      <c r="Q705" t="s">
        <v>3069</v>
      </c>
      <c r="R705" s="2" t="s">
        <v>206</v>
      </c>
      <c r="S705" s="2" t="s">
        <v>3070</v>
      </c>
      <c r="T705" s="2" t="s">
        <v>60</v>
      </c>
    </row>
    <row r="706" spans="1:23" x14ac:dyDescent="0.25">
      <c r="A706" t="s">
        <v>3548</v>
      </c>
      <c r="B706" s="4">
        <f t="shared" si="10"/>
        <v>74902</v>
      </c>
      <c r="C706" t="s">
        <v>3549</v>
      </c>
      <c r="D706" t="s">
        <v>53</v>
      </c>
      <c r="E706" t="s">
        <v>3550</v>
      </c>
      <c r="F706">
        <v>2</v>
      </c>
      <c r="G706" t="s">
        <v>352</v>
      </c>
      <c r="H706" s="2" t="s">
        <v>27</v>
      </c>
      <c r="I706" t="s">
        <v>28</v>
      </c>
      <c r="J706" s="2" t="s">
        <v>2271</v>
      </c>
      <c r="L706" s="2" t="s">
        <v>30</v>
      </c>
      <c r="M706" s="2" t="s">
        <v>31</v>
      </c>
      <c r="N706" s="2" t="s">
        <v>32</v>
      </c>
      <c r="O706" s="2" t="s">
        <v>375</v>
      </c>
      <c r="P706" s="2" t="s">
        <v>34</v>
      </c>
      <c r="Q706" t="s">
        <v>3551</v>
      </c>
      <c r="R706" s="2" t="s">
        <v>3552</v>
      </c>
      <c r="T706" s="2" t="s">
        <v>34</v>
      </c>
      <c r="U706" s="2" t="s">
        <v>3553</v>
      </c>
      <c r="V706" s="2" t="s">
        <v>3554</v>
      </c>
      <c r="W706" t="s">
        <v>3555</v>
      </c>
    </row>
    <row r="707" spans="1:23" x14ac:dyDescent="0.25">
      <c r="A707" t="s">
        <v>3556</v>
      </c>
      <c r="B707" s="4">
        <f t="shared" ref="B707:B770" si="11">REPLACE(A707, 1, 1, "")+0</f>
        <v>74903</v>
      </c>
      <c r="C707" t="s">
        <v>3557</v>
      </c>
      <c r="D707" t="s">
        <v>53</v>
      </c>
      <c r="E707" t="s">
        <v>3550</v>
      </c>
      <c r="F707">
        <v>2</v>
      </c>
      <c r="G707" t="s">
        <v>26</v>
      </c>
      <c r="H707" s="2" t="s">
        <v>27</v>
      </c>
      <c r="I707" t="s">
        <v>28</v>
      </c>
      <c r="J707" s="2" t="s">
        <v>3558</v>
      </c>
      <c r="L707" s="2" t="s">
        <v>30</v>
      </c>
      <c r="M707" s="2" t="s">
        <v>31</v>
      </c>
      <c r="N707" s="2" t="s">
        <v>32</v>
      </c>
      <c r="O707" s="2" t="s">
        <v>375</v>
      </c>
      <c r="P707" s="2" t="s">
        <v>34</v>
      </c>
      <c r="Q707" t="s">
        <v>3551</v>
      </c>
      <c r="R707" s="2" t="s">
        <v>3552</v>
      </c>
      <c r="T707" s="2" t="s">
        <v>34</v>
      </c>
      <c r="U707" s="2" t="s">
        <v>3553</v>
      </c>
      <c r="V707" s="2" t="s">
        <v>3554</v>
      </c>
      <c r="W707" t="s">
        <v>3555</v>
      </c>
    </row>
    <row r="708" spans="1:23" x14ac:dyDescent="0.25">
      <c r="A708" t="s">
        <v>3559</v>
      </c>
      <c r="B708" s="4">
        <f t="shared" si="11"/>
        <v>74936</v>
      </c>
      <c r="C708" t="s">
        <v>3560</v>
      </c>
      <c r="D708" t="s">
        <v>1149</v>
      </c>
      <c r="E708" t="s">
        <v>1593</v>
      </c>
      <c r="F708" t="s">
        <v>543</v>
      </c>
      <c r="G708" t="s">
        <v>26</v>
      </c>
      <c r="H708" s="2" t="s">
        <v>373</v>
      </c>
      <c r="I708" t="s">
        <v>822</v>
      </c>
      <c r="K708" s="2" t="s">
        <v>3561</v>
      </c>
      <c r="L708" s="2" t="s">
        <v>30</v>
      </c>
      <c r="M708" s="2" t="s">
        <v>31</v>
      </c>
      <c r="N708" s="2" t="s">
        <v>32</v>
      </c>
      <c r="O708" s="2" t="s">
        <v>2769</v>
      </c>
      <c r="P708" s="2" t="s">
        <v>34</v>
      </c>
      <c r="Q708" t="s">
        <v>1876</v>
      </c>
      <c r="R708" s="2" t="s">
        <v>1877</v>
      </c>
      <c r="T708" s="2" t="s">
        <v>34</v>
      </c>
      <c r="U708" s="2" t="s">
        <v>1878</v>
      </c>
    </row>
    <row r="709" spans="1:23" x14ac:dyDescent="0.25">
      <c r="A709" t="s">
        <v>3562</v>
      </c>
      <c r="B709" s="4">
        <f t="shared" si="11"/>
        <v>75007</v>
      </c>
      <c r="C709" t="s">
        <v>3563</v>
      </c>
      <c r="D709" t="s">
        <v>42</v>
      </c>
      <c r="E709" t="s">
        <v>67</v>
      </c>
      <c r="F709">
        <v>2</v>
      </c>
      <c r="G709" t="s">
        <v>3564</v>
      </c>
      <c r="H709" s="2" t="s">
        <v>27</v>
      </c>
      <c r="I709" t="s">
        <v>28</v>
      </c>
      <c r="J709" s="2" t="s">
        <v>3565</v>
      </c>
      <c r="L709" s="2" t="s">
        <v>30</v>
      </c>
      <c r="M709" s="2" t="s">
        <v>31</v>
      </c>
      <c r="N709" s="2" t="s">
        <v>32</v>
      </c>
      <c r="O709" s="2" t="s">
        <v>69</v>
      </c>
      <c r="P709" s="2" t="s">
        <v>34</v>
      </c>
      <c r="Q709" t="s">
        <v>70</v>
      </c>
      <c r="R709" s="2" t="s">
        <v>71</v>
      </c>
      <c r="T709" s="2" t="s">
        <v>34</v>
      </c>
      <c r="U709" s="2" t="s">
        <v>72</v>
      </c>
      <c r="V709" s="2" t="s">
        <v>3566</v>
      </c>
      <c r="W709" t="s">
        <v>3567</v>
      </c>
    </row>
    <row r="710" spans="1:23" x14ac:dyDescent="0.25">
      <c r="A710" t="s">
        <v>3568</v>
      </c>
      <c r="B710" s="4">
        <f t="shared" si="11"/>
        <v>75009</v>
      </c>
      <c r="C710" t="s">
        <v>3569</v>
      </c>
      <c r="D710" t="s">
        <v>42</v>
      </c>
      <c r="E710" t="s">
        <v>67</v>
      </c>
      <c r="F710">
        <v>2</v>
      </c>
      <c r="G710" t="s">
        <v>3564</v>
      </c>
      <c r="H710" s="2" t="s">
        <v>27</v>
      </c>
      <c r="I710" t="s">
        <v>28</v>
      </c>
      <c r="J710" s="2" t="s">
        <v>3565</v>
      </c>
      <c r="L710" s="2" t="s">
        <v>30</v>
      </c>
      <c r="M710" s="2" t="s">
        <v>31</v>
      </c>
      <c r="N710" s="2" t="s">
        <v>32</v>
      </c>
      <c r="O710" s="2" t="s">
        <v>69</v>
      </c>
      <c r="P710" s="2" t="s">
        <v>34</v>
      </c>
      <c r="Q710" t="s">
        <v>70</v>
      </c>
      <c r="R710" s="2" t="s">
        <v>71</v>
      </c>
      <c r="T710" s="2" t="s">
        <v>34</v>
      </c>
      <c r="U710" s="2" t="s">
        <v>72</v>
      </c>
      <c r="V710" s="2" t="s">
        <v>3570</v>
      </c>
      <c r="W710" t="s">
        <v>3571</v>
      </c>
    </row>
    <row r="711" spans="1:23" x14ac:dyDescent="0.25">
      <c r="A711" t="s">
        <v>3572</v>
      </c>
      <c r="B711" s="4">
        <f t="shared" si="11"/>
        <v>75037</v>
      </c>
      <c r="C711" t="s">
        <v>3573</v>
      </c>
      <c r="D711" t="s">
        <v>42</v>
      </c>
      <c r="E711" t="s">
        <v>67</v>
      </c>
      <c r="F711">
        <v>2</v>
      </c>
      <c r="G711" t="s">
        <v>3564</v>
      </c>
      <c r="H711" s="2" t="s">
        <v>27</v>
      </c>
      <c r="I711" t="s">
        <v>28</v>
      </c>
      <c r="J711" s="2" t="s">
        <v>3574</v>
      </c>
      <c r="L711" s="2" t="s">
        <v>30</v>
      </c>
      <c r="M711" s="2" t="s">
        <v>31</v>
      </c>
      <c r="N711" s="2" t="s">
        <v>32</v>
      </c>
      <c r="O711" s="2" t="s">
        <v>2479</v>
      </c>
      <c r="P711" s="2" t="s">
        <v>34</v>
      </c>
      <c r="Q711" t="s">
        <v>35</v>
      </c>
      <c r="R711" s="2" t="s">
        <v>36</v>
      </c>
      <c r="T711" s="2" t="s">
        <v>34</v>
      </c>
      <c r="U711" s="2" t="s">
        <v>37</v>
      </c>
      <c r="V711" s="2" t="s">
        <v>3575</v>
      </c>
      <c r="W711" t="s">
        <v>3576</v>
      </c>
    </row>
    <row r="712" spans="1:23" x14ac:dyDescent="0.25">
      <c r="A712" t="s">
        <v>3577</v>
      </c>
      <c r="B712" s="4">
        <f t="shared" si="11"/>
        <v>75043</v>
      </c>
      <c r="C712" t="s">
        <v>3578</v>
      </c>
      <c r="D712" t="s">
        <v>185</v>
      </c>
      <c r="E712" t="s">
        <v>1124</v>
      </c>
      <c r="F712" t="s">
        <v>680</v>
      </c>
      <c r="G712" t="s">
        <v>3564</v>
      </c>
      <c r="H712" s="2" t="s">
        <v>27</v>
      </c>
      <c r="I712" t="s">
        <v>28</v>
      </c>
      <c r="J712" s="2" t="s">
        <v>3579</v>
      </c>
      <c r="L712" s="2" t="s">
        <v>30</v>
      </c>
      <c r="M712" s="2" t="s">
        <v>31</v>
      </c>
      <c r="N712" s="2" t="s">
        <v>32</v>
      </c>
      <c r="O712" s="2" t="s">
        <v>1323</v>
      </c>
      <c r="P712" s="2" t="s">
        <v>34</v>
      </c>
      <c r="Q712" t="s">
        <v>1247</v>
      </c>
      <c r="R712" s="2" t="s">
        <v>1248</v>
      </c>
      <c r="T712" s="2" t="s">
        <v>34</v>
      </c>
      <c r="U712" s="2" t="s">
        <v>1249</v>
      </c>
      <c r="V712" s="2" t="s">
        <v>3580</v>
      </c>
      <c r="W712" t="s">
        <v>3581</v>
      </c>
    </row>
    <row r="713" spans="1:23" x14ac:dyDescent="0.25">
      <c r="A713" t="s">
        <v>3582</v>
      </c>
      <c r="B713" s="4">
        <f t="shared" si="11"/>
        <v>75051</v>
      </c>
      <c r="C713" t="s">
        <v>3583</v>
      </c>
      <c r="D713" t="s">
        <v>42</v>
      </c>
      <c r="E713" t="s">
        <v>273</v>
      </c>
      <c r="F713">
        <v>3</v>
      </c>
      <c r="G713" t="s">
        <v>3564</v>
      </c>
      <c r="H713" s="2" t="s">
        <v>27</v>
      </c>
      <c r="I713" t="s">
        <v>28</v>
      </c>
      <c r="J713" s="2" t="s">
        <v>3584</v>
      </c>
      <c r="L713" s="2" t="s">
        <v>30</v>
      </c>
      <c r="M713" s="2" t="s">
        <v>31</v>
      </c>
      <c r="N713" s="2" t="s">
        <v>32</v>
      </c>
      <c r="O713" s="2" t="s">
        <v>3040</v>
      </c>
      <c r="P713" s="2" t="s">
        <v>34</v>
      </c>
      <c r="Q713" t="s">
        <v>35</v>
      </c>
      <c r="R713" s="2" t="s">
        <v>36</v>
      </c>
      <c r="T713" s="2" t="s">
        <v>34</v>
      </c>
      <c r="U713" s="2" t="s">
        <v>37</v>
      </c>
      <c r="V713" s="2" t="s">
        <v>1215</v>
      </c>
      <c r="W713" t="s">
        <v>1216</v>
      </c>
    </row>
    <row r="714" spans="1:23" x14ac:dyDescent="0.25">
      <c r="A714" t="s">
        <v>3585</v>
      </c>
      <c r="B714" s="4">
        <f t="shared" si="11"/>
        <v>75055</v>
      </c>
      <c r="C714" t="s">
        <v>3586</v>
      </c>
      <c r="D714" t="s">
        <v>42</v>
      </c>
      <c r="E714" t="s">
        <v>517</v>
      </c>
      <c r="F714">
        <v>2</v>
      </c>
      <c r="G714" t="s">
        <v>3564</v>
      </c>
      <c r="H714" s="2" t="s">
        <v>27</v>
      </c>
      <c r="I714" t="s">
        <v>28</v>
      </c>
      <c r="J714" s="2" t="s">
        <v>2832</v>
      </c>
      <c r="L714" s="2" t="s">
        <v>30</v>
      </c>
      <c r="M714" s="2" t="s">
        <v>31</v>
      </c>
      <c r="N714" s="2" t="s">
        <v>32</v>
      </c>
      <c r="O714" s="2" t="s">
        <v>1171</v>
      </c>
      <c r="P714" s="2" t="s">
        <v>34</v>
      </c>
      <c r="Q714" t="s">
        <v>46</v>
      </c>
      <c r="R714" s="2" t="s">
        <v>47</v>
      </c>
      <c r="T714" s="2" t="s">
        <v>34</v>
      </c>
      <c r="U714" s="2" t="s">
        <v>48</v>
      </c>
      <c r="V714" s="2" t="s">
        <v>3587</v>
      </c>
      <c r="W714" t="s">
        <v>3588</v>
      </c>
    </row>
    <row r="715" spans="1:23" x14ac:dyDescent="0.25">
      <c r="A715" t="s">
        <v>3589</v>
      </c>
      <c r="B715" s="4">
        <f t="shared" si="11"/>
        <v>75061</v>
      </c>
      <c r="C715" t="s">
        <v>3590</v>
      </c>
      <c r="D715" t="s">
        <v>42</v>
      </c>
      <c r="E715" t="s">
        <v>273</v>
      </c>
      <c r="F715">
        <v>3</v>
      </c>
      <c r="G715" t="s">
        <v>3564</v>
      </c>
      <c r="H715" s="2" t="s">
        <v>27</v>
      </c>
      <c r="I715" t="s">
        <v>28</v>
      </c>
      <c r="J715" s="2" t="s">
        <v>3584</v>
      </c>
      <c r="L715" s="2" t="s">
        <v>30</v>
      </c>
      <c r="M715" s="2" t="s">
        <v>31</v>
      </c>
      <c r="N715" s="2" t="s">
        <v>32</v>
      </c>
      <c r="O715" s="2" t="s">
        <v>3040</v>
      </c>
      <c r="P715" s="2" t="s">
        <v>34</v>
      </c>
      <c r="Q715" t="s">
        <v>35</v>
      </c>
      <c r="R715" s="2" t="s">
        <v>36</v>
      </c>
      <c r="T715" s="2" t="s">
        <v>34</v>
      </c>
      <c r="U715" s="2" t="s">
        <v>37</v>
      </c>
      <c r="V715" s="2" t="s">
        <v>1215</v>
      </c>
      <c r="W715" t="s">
        <v>1216</v>
      </c>
    </row>
    <row r="716" spans="1:23" x14ac:dyDescent="0.25">
      <c r="A716" t="s">
        <v>3591</v>
      </c>
      <c r="B716" s="4">
        <f t="shared" si="11"/>
        <v>75078</v>
      </c>
      <c r="C716" t="s">
        <v>3592</v>
      </c>
      <c r="D716" t="s">
        <v>185</v>
      </c>
      <c r="E716" t="s">
        <v>393</v>
      </c>
      <c r="F716" t="s">
        <v>187</v>
      </c>
      <c r="G716" t="s">
        <v>3564</v>
      </c>
      <c r="H716" s="2" t="s">
        <v>27</v>
      </c>
      <c r="I716" t="s">
        <v>28</v>
      </c>
      <c r="J716" s="2" t="s">
        <v>3593</v>
      </c>
      <c r="L716" s="2" t="s">
        <v>30</v>
      </c>
      <c r="M716" s="2" t="s">
        <v>31</v>
      </c>
      <c r="N716" s="2" t="s">
        <v>32</v>
      </c>
      <c r="O716" s="2" t="s">
        <v>189</v>
      </c>
      <c r="P716" s="2" t="s">
        <v>34</v>
      </c>
      <c r="Q716" t="s">
        <v>407</v>
      </c>
      <c r="R716" s="2" t="s">
        <v>408</v>
      </c>
      <c r="T716" s="2" t="s">
        <v>34</v>
      </c>
      <c r="U716" s="2" t="s">
        <v>409</v>
      </c>
      <c r="V716" s="2" t="s">
        <v>3594</v>
      </c>
      <c r="W716" t="s">
        <v>3595</v>
      </c>
    </row>
    <row r="717" spans="1:23" x14ac:dyDescent="0.25">
      <c r="A717" t="s">
        <v>3596</v>
      </c>
      <c r="B717" s="4">
        <f t="shared" si="11"/>
        <v>75082</v>
      </c>
      <c r="C717" t="s">
        <v>3597</v>
      </c>
      <c r="D717" t="s">
        <v>42</v>
      </c>
      <c r="E717" t="s">
        <v>517</v>
      </c>
      <c r="F717">
        <v>2</v>
      </c>
      <c r="G717" t="s">
        <v>3564</v>
      </c>
      <c r="H717" s="2" t="s">
        <v>27</v>
      </c>
      <c r="I717" t="s">
        <v>1169</v>
      </c>
      <c r="J717" s="2" t="s">
        <v>3598</v>
      </c>
      <c r="L717" s="2" t="s">
        <v>30</v>
      </c>
      <c r="M717" s="2" t="s">
        <v>31</v>
      </c>
      <c r="N717" s="2" t="s">
        <v>32</v>
      </c>
      <c r="O717" s="2" t="s">
        <v>1171</v>
      </c>
      <c r="P717" s="2" t="s">
        <v>34</v>
      </c>
      <c r="Q717" t="s">
        <v>35</v>
      </c>
      <c r="R717" s="2" t="s">
        <v>36</v>
      </c>
      <c r="T717" s="2" t="s">
        <v>34</v>
      </c>
      <c r="U717" s="2" t="s">
        <v>37</v>
      </c>
      <c r="V717" s="2" t="s">
        <v>1172</v>
      </c>
      <c r="W717" t="s">
        <v>1173</v>
      </c>
    </row>
    <row r="718" spans="1:23" x14ac:dyDescent="0.25">
      <c r="A718" t="s">
        <v>3599</v>
      </c>
      <c r="B718" s="4">
        <f t="shared" si="11"/>
        <v>75111</v>
      </c>
      <c r="C718" t="s">
        <v>3600</v>
      </c>
      <c r="D718" t="s">
        <v>42</v>
      </c>
      <c r="E718" t="s">
        <v>67</v>
      </c>
      <c r="F718">
        <v>2</v>
      </c>
      <c r="G718" t="s">
        <v>3564</v>
      </c>
      <c r="H718" s="2" t="s">
        <v>27</v>
      </c>
      <c r="I718" t="s">
        <v>28</v>
      </c>
      <c r="J718" s="2" t="s">
        <v>2274</v>
      </c>
      <c r="L718" s="2" t="s">
        <v>30</v>
      </c>
      <c r="M718" s="2" t="s">
        <v>31</v>
      </c>
      <c r="N718" s="2" t="s">
        <v>32</v>
      </c>
      <c r="O718" s="2" t="s">
        <v>3601</v>
      </c>
      <c r="P718" s="2" t="s">
        <v>34</v>
      </c>
      <c r="Q718" t="s">
        <v>3459</v>
      </c>
      <c r="R718" s="2" t="s">
        <v>3460</v>
      </c>
      <c r="T718" s="2" t="s">
        <v>60</v>
      </c>
    </row>
    <row r="719" spans="1:23" x14ac:dyDescent="0.25">
      <c r="A719" t="s">
        <v>3602</v>
      </c>
      <c r="B719" s="4">
        <f t="shared" si="11"/>
        <v>75188</v>
      </c>
      <c r="C719" t="s">
        <v>3603</v>
      </c>
      <c r="D719" t="s">
        <v>42</v>
      </c>
      <c r="E719" t="s">
        <v>830</v>
      </c>
      <c r="F719">
        <v>3</v>
      </c>
      <c r="G719" t="s">
        <v>3564</v>
      </c>
      <c r="H719" s="2" t="s">
        <v>27</v>
      </c>
      <c r="I719" t="s">
        <v>1169</v>
      </c>
      <c r="J719" s="2" t="s">
        <v>3604</v>
      </c>
      <c r="L719" s="2" t="s">
        <v>30</v>
      </c>
      <c r="M719" s="2" t="s">
        <v>31</v>
      </c>
      <c r="N719" s="2" t="s">
        <v>32</v>
      </c>
      <c r="O719" s="2" t="s">
        <v>2756</v>
      </c>
      <c r="P719" s="2" t="s">
        <v>34</v>
      </c>
      <c r="Q719" t="s">
        <v>35</v>
      </c>
      <c r="R719" s="2" t="s">
        <v>36</v>
      </c>
      <c r="T719" s="2" t="s">
        <v>34</v>
      </c>
      <c r="U719" s="2" t="s">
        <v>37</v>
      </c>
      <c r="V719" s="2" t="s">
        <v>3605</v>
      </c>
      <c r="W719" t="s">
        <v>3606</v>
      </c>
    </row>
    <row r="720" spans="1:23" x14ac:dyDescent="0.25">
      <c r="A720" t="s">
        <v>3607</v>
      </c>
      <c r="B720" s="4">
        <f t="shared" si="11"/>
        <v>75258</v>
      </c>
      <c r="C720" t="s">
        <v>3608</v>
      </c>
      <c r="D720" t="s">
        <v>365</v>
      </c>
      <c r="E720" t="s">
        <v>878</v>
      </c>
      <c r="F720" t="s">
        <v>367</v>
      </c>
      <c r="G720" t="s">
        <v>3564</v>
      </c>
      <c r="H720" s="2" t="s">
        <v>27</v>
      </c>
      <c r="I720" t="s">
        <v>368</v>
      </c>
      <c r="J720" s="2" t="s">
        <v>3584</v>
      </c>
      <c r="L720" s="2" t="s">
        <v>30</v>
      </c>
      <c r="M720" s="2" t="s">
        <v>31</v>
      </c>
      <c r="N720" s="2" t="s">
        <v>32</v>
      </c>
      <c r="O720" s="2" t="s">
        <v>1204</v>
      </c>
      <c r="P720" s="2" t="s">
        <v>34</v>
      </c>
      <c r="Q720" t="s">
        <v>3609</v>
      </c>
      <c r="R720" s="2" t="s">
        <v>3610</v>
      </c>
      <c r="T720" s="2" t="s">
        <v>34</v>
      </c>
      <c r="U720" s="2" t="s">
        <v>3611</v>
      </c>
      <c r="V720" s="2" t="s">
        <v>3612</v>
      </c>
      <c r="W720" t="s">
        <v>3613</v>
      </c>
    </row>
    <row r="721" spans="1:23" x14ac:dyDescent="0.25">
      <c r="A721" t="s">
        <v>3614</v>
      </c>
      <c r="B721" s="4">
        <f t="shared" si="11"/>
        <v>75275</v>
      </c>
      <c r="C721" t="s">
        <v>3615</v>
      </c>
      <c r="D721" t="s">
        <v>42</v>
      </c>
      <c r="E721" t="s">
        <v>67</v>
      </c>
      <c r="F721">
        <v>2</v>
      </c>
      <c r="G721" t="s">
        <v>3564</v>
      </c>
      <c r="H721" s="2" t="s">
        <v>27</v>
      </c>
      <c r="I721" t="s">
        <v>28</v>
      </c>
      <c r="J721" s="2" t="s">
        <v>3616</v>
      </c>
      <c r="L721" s="2" t="s">
        <v>30</v>
      </c>
      <c r="M721" s="2" t="s">
        <v>31</v>
      </c>
      <c r="N721" s="2" t="s">
        <v>32</v>
      </c>
      <c r="O721" s="2" t="s">
        <v>3617</v>
      </c>
      <c r="P721" s="2" t="s">
        <v>34</v>
      </c>
      <c r="Q721" t="s">
        <v>3618</v>
      </c>
      <c r="R721" s="2" t="s">
        <v>3619</v>
      </c>
      <c r="T721" s="2" t="s">
        <v>60</v>
      </c>
    </row>
    <row r="722" spans="1:23" x14ac:dyDescent="0.25">
      <c r="A722" t="s">
        <v>3620</v>
      </c>
      <c r="B722" s="4">
        <f t="shared" si="11"/>
        <v>75300</v>
      </c>
      <c r="C722" t="s">
        <v>3621</v>
      </c>
      <c r="D722" t="s">
        <v>365</v>
      </c>
      <c r="E722" t="s">
        <v>366</v>
      </c>
      <c r="F722" t="s">
        <v>367</v>
      </c>
      <c r="G722" t="s">
        <v>3564</v>
      </c>
      <c r="H722" s="2" t="s">
        <v>27</v>
      </c>
      <c r="I722" t="s">
        <v>28</v>
      </c>
      <c r="J722" s="2" t="s">
        <v>3598</v>
      </c>
      <c r="L722" s="2" t="s">
        <v>30</v>
      </c>
      <c r="M722" s="2" t="s">
        <v>31</v>
      </c>
      <c r="N722" s="2" t="s">
        <v>32</v>
      </c>
      <c r="O722" s="2" t="s">
        <v>1204</v>
      </c>
      <c r="P722" s="2" t="s">
        <v>34</v>
      </c>
      <c r="Q722" t="s">
        <v>1573</v>
      </c>
      <c r="R722" s="2" t="s">
        <v>1574</v>
      </c>
      <c r="T722" s="2" t="s">
        <v>34</v>
      </c>
      <c r="U722" s="2" t="s">
        <v>1575</v>
      </c>
      <c r="V722" s="2" t="s">
        <v>3622</v>
      </c>
      <c r="W722" t="s">
        <v>3623</v>
      </c>
    </row>
    <row r="723" spans="1:23" x14ac:dyDescent="0.25">
      <c r="A723" t="s">
        <v>3624</v>
      </c>
      <c r="B723" s="4">
        <f t="shared" si="11"/>
        <v>75301</v>
      </c>
      <c r="C723" t="s">
        <v>3625</v>
      </c>
      <c r="D723" t="s">
        <v>365</v>
      </c>
      <c r="E723" t="s">
        <v>2849</v>
      </c>
      <c r="F723" t="s">
        <v>367</v>
      </c>
      <c r="G723" t="s">
        <v>3564</v>
      </c>
      <c r="H723" s="2" t="s">
        <v>27</v>
      </c>
      <c r="I723" t="s">
        <v>368</v>
      </c>
      <c r="J723" s="2" t="s">
        <v>3604</v>
      </c>
      <c r="L723" s="2" t="s">
        <v>30</v>
      </c>
      <c r="M723" s="2" t="s">
        <v>31</v>
      </c>
      <c r="N723" s="2" t="s">
        <v>32</v>
      </c>
      <c r="O723" s="2" t="s">
        <v>1204</v>
      </c>
      <c r="P723" s="2" t="s">
        <v>34</v>
      </c>
      <c r="Q723" t="s">
        <v>3626</v>
      </c>
      <c r="R723" s="2" t="s">
        <v>3627</v>
      </c>
      <c r="T723" s="2" t="s">
        <v>60</v>
      </c>
    </row>
    <row r="724" spans="1:23" x14ac:dyDescent="0.25">
      <c r="A724" t="s">
        <v>3628</v>
      </c>
      <c r="B724" s="4">
        <f t="shared" si="11"/>
        <v>75332</v>
      </c>
      <c r="C724" t="s">
        <v>3629</v>
      </c>
      <c r="D724" t="s">
        <v>185</v>
      </c>
      <c r="E724" t="s">
        <v>2791</v>
      </c>
      <c r="F724" t="s">
        <v>680</v>
      </c>
      <c r="G724" t="s">
        <v>3564</v>
      </c>
      <c r="H724" s="2" t="s">
        <v>27</v>
      </c>
      <c r="I724" t="s">
        <v>1169</v>
      </c>
      <c r="J724" s="2" t="s">
        <v>3630</v>
      </c>
      <c r="L724" s="2" t="s">
        <v>30</v>
      </c>
      <c r="M724" s="2" t="s">
        <v>31</v>
      </c>
      <c r="N724" s="2" t="s">
        <v>32</v>
      </c>
      <c r="O724" s="2" t="s">
        <v>3631</v>
      </c>
      <c r="P724" s="2" t="s">
        <v>34</v>
      </c>
      <c r="Q724" t="s">
        <v>3632</v>
      </c>
      <c r="R724" s="2" t="s">
        <v>3633</v>
      </c>
      <c r="T724" s="2" t="s">
        <v>34</v>
      </c>
      <c r="U724" s="2" t="s">
        <v>3634</v>
      </c>
      <c r="V724" s="2" t="s">
        <v>3635</v>
      </c>
      <c r="W724" t="s">
        <v>3636</v>
      </c>
    </row>
    <row r="725" spans="1:23" x14ac:dyDescent="0.25">
      <c r="A725" t="s">
        <v>3637</v>
      </c>
      <c r="B725" s="4">
        <f t="shared" si="11"/>
        <v>75333</v>
      </c>
      <c r="C725" t="s">
        <v>3638</v>
      </c>
      <c r="D725" t="s">
        <v>365</v>
      </c>
      <c r="E725" t="s">
        <v>878</v>
      </c>
      <c r="F725" t="s">
        <v>367</v>
      </c>
      <c r="G725" t="s">
        <v>3564</v>
      </c>
      <c r="H725" s="2" t="s">
        <v>27</v>
      </c>
      <c r="I725" t="s">
        <v>28</v>
      </c>
      <c r="J725" s="2" t="s">
        <v>3639</v>
      </c>
      <c r="L725" s="2" t="s">
        <v>30</v>
      </c>
      <c r="M725" s="2" t="s">
        <v>31</v>
      </c>
      <c r="N725" s="2" t="s">
        <v>32</v>
      </c>
      <c r="O725" s="2" t="s">
        <v>525</v>
      </c>
      <c r="P725" s="2" t="s">
        <v>34</v>
      </c>
      <c r="Q725" t="s">
        <v>3640</v>
      </c>
      <c r="R725" s="2" t="s">
        <v>206</v>
      </c>
      <c r="S725" s="2" t="s">
        <v>3641</v>
      </c>
      <c r="T725" s="2" t="s">
        <v>60</v>
      </c>
    </row>
    <row r="726" spans="1:23" x14ac:dyDescent="0.25">
      <c r="A726" t="s">
        <v>3642</v>
      </c>
      <c r="B726" s="4">
        <f t="shared" si="11"/>
        <v>75475</v>
      </c>
      <c r="C726" t="s">
        <v>3643</v>
      </c>
      <c r="D726" t="s">
        <v>365</v>
      </c>
      <c r="E726" t="s">
        <v>3340</v>
      </c>
      <c r="F726" t="s">
        <v>367</v>
      </c>
      <c r="G726" t="s">
        <v>3564</v>
      </c>
      <c r="H726" s="2" t="s">
        <v>27</v>
      </c>
      <c r="I726" t="s">
        <v>28</v>
      </c>
      <c r="J726" s="2" t="s">
        <v>3644</v>
      </c>
      <c r="L726" s="2" t="s">
        <v>30</v>
      </c>
      <c r="M726" s="2" t="s">
        <v>31</v>
      </c>
      <c r="N726" s="2" t="s">
        <v>32</v>
      </c>
      <c r="O726" s="2" t="s">
        <v>525</v>
      </c>
      <c r="P726" s="2" t="s">
        <v>34</v>
      </c>
      <c r="Q726" t="s">
        <v>3645</v>
      </c>
      <c r="R726" s="2" t="s">
        <v>206</v>
      </c>
      <c r="S726" s="2" t="s">
        <v>3646</v>
      </c>
      <c r="T726" s="2" t="s">
        <v>34</v>
      </c>
      <c r="U726" s="2" t="s">
        <v>3647</v>
      </c>
      <c r="V726" s="2" t="s">
        <v>3648</v>
      </c>
      <c r="W726" t="s">
        <v>3649</v>
      </c>
    </row>
    <row r="727" spans="1:23" x14ac:dyDescent="0.25">
      <c r="A727" t="s">
        <v>3650</v>
      </c>
      <c r="B727" s="4">
        <f t="shared" si="11"/>
        <v>75506</v>
      </c>
      <c r="C727" t="s">
        <v>3651</v>
      </c>
      <c r="D727" t="s">
        <v>245</v>
      </c>
      <c r="E727" t="s">
        <v>484</v>
      </c>
      <c r="F727">
        <v>2</v>
      </c>
      <c r="G727" t="s">
        <v>3564</v>
      </c>
      <c r="H727" s="2" t="s">
        <v>27</v>
      </c>
      <c r="I727" t="s">
        <v>28</v>
      </c>
      <c r="J727" s="2" t="s">
        <v>3652</v>
      </c>
      <c r="L727" s="2" t="s">
        <v>30</v>
      </c>
      <c r="M727" s="2" t="s">
        <v>31</v>
      </c>
      <c r="N727" s="2" t="s">
        <v>32</v>
      </c>
      <c r="O727" s="2" t="s">
        <v>180</v>
      </c>
      <c r="P727" s="2" t="s">
        <v>34</v>
      </c>
      <c r="Q727" t="s">
        <v>1225</v>
      </c>
      <c r="R727" s="2" t="s">
        <v>1226</v>
      </c>
      <c r="T727" s="2" t="s">
        <v>34</v>
      </c>
      <c r="U727" s="2" t="s">
        <v>1227</v>
      </c>
      <c r="V727" s="2" t="s">
        <v>3653</v>
      </c>
      <c r="W727" t="s">
        <v>3654</v>
      </c>
    </row>
    <row r="728" spans="1:23" x14ac:dyDescent="0.25">
      <c r="A728" t="s">
        <v>3655</v>
      </c>
      <c r="B728" s="4">
        <f t="shared" si="11"/>
        <v>75524</v>
      </c>
      <c r="C728" t="s">
        <v>3656</v>
      </c>
      <c r="D728" t="s">
        <v>185</v>
      </c>
      <c r="E728" t="s">
        <v>2791</v>
      </c>
      <c r="F728" t="s">
        <v>680</v>
      </c>
      <c r="G728" t="s">
        <v>3564</v>
      </c>
      <c r="H728" s="2" t="s">
        <v>27</v>
      </c>
      <c r="I728" t="s">
        <v>1169</v>
      </c>
      <c r="J728" s="2" t="s">
        <v>3657</v>
      </c>
      <c r="L728" s="2" t="s">
        <v>30</v>
      </c>
      <c r="M728" s="2" t="s">
        <v>31</v>
      </c>
      <c r="N728" s="2" t="s">
        <v>32</v>
      </c>
      <c r="O728" s="2" t="s">
        <v>1204</v>
      </c>
      <c r="P728" s="2" t="s">
        <v>34</v>
      </c>
      <c r="Q728" t="s">
        <v>3658</v>
      </c>
      <c r="R728" s="2" t="s">
        <v>3659</v>
      </c>
      <c r="T728" s="2" t="s">
        <v>34</v>
      </c>
      <c r="U728" s="2" t="s">
        <v>3660</v>
      </c>
      <c r="V728" s="2" t="s">
        <v>3661</v>
      </c>
      <c r="W728" t="s">
        <v>3662</v>
      </c>
    </row>
    <row r="729" spans="1:23" x14ac:dyDescent="0.25">
      <c r="A729" t="s">
        <v>3663</v>
      </c>
      <c r="B729" s="4">
        <f t="shared" si="11"/>
        <v>75525</v>
      </c>
      <c r="C729" t="s">
        <v>3664</v>
      </c>
      <c r="D729" t="s">
        <v>185</v>
      </c>
      <c r="E729" t="s">
        <v>2791</v>
      </c>
      <c r="F729" t="s">
        <v>680</v>
      </c>
      <c r="G729" t="s">
        <v>3564</v>
      </c>
      <c r="H729" s="2" t="s">
        <v>27</v>
      </c>
      <c r="I729" t="s">
        <v>28</v>
      </c>
      <c r="J729" s="2" t="s">
        <v>3665</v>
      </c>
      <c r="L729" s="2" t="s">
        <v>30</v>
      </c>
      <c r="M729" s="2" t="s">
        <v>31</v>
      </c>
      <c r="N729" s="2" t="s">
        <v>32</v>
      </c>
      <c r="O729" s="2" t="s">
        <v>525</v>
      </c>
      <c r="P729" s="2" t="s">
        <v>34</v>
      </c>
      <c r="Q729" t="s">
        <v>190</v>
      </c>
      <c r="R729" s="2" t="s">
        <v>191</v>
      </c>
      <c r="T729" s="2" t="s">
        <v>34</v>
      </c>
      <c r="U729" s="2" t="s">
        <v>192</v>
      </c>
      <c r="V729" s="2" t="s">
        <v>3666</v>
      </c>
      <c r="W729" t="s">
        <v>3667</v>
      </c>
    </row>
    <row r="730" spans="1:23" x14ac:dyDescent="0.25">
      <c r="A730" t="s">
        <v>3668</v>
      </c>
      <c r="B730" s="4">
        <f t="shared" si="11"/>
        <v>75533</v>
      </c>
      <c r="C730" t="s">
        <v>3669</v>
      </c>
      <c r="D730" t="s">
        <v>185</v>
      </c>
      <c r="E730" t="s">
        <v>1118</v>
      </c>
      <c r="F730" t="s">
        <v>680</v>
      </c>
      <c r="G730" t="s">
        <v>3564</v>
      </c>
      <c r="H730" s="2" t="s">
        <v>27</v>
      </c>
      <c r="I730" t="s">
        <v>1169</v>
      </c>
      <c r="J730" s="2" t="s">
        <v>3670</v>
      </c>
      <c r="L730" s="2" t="s">
        <v>30</v>
      </c>
      <c r="M730" s="2" t="s">
        <v>31</v>
      </c>
      <c r="N730" s="2" t="s">
        <v>32</v>
      </c>
      <c r="O730" s="2" t="s">
        <v>1204</v>
      </c>
      <c r="P730" s="2" t="s">
        <v>34</v>
      </c>
      <c r="Q730" t="s">
        <v>3328</v>
      </c>
      <c r="R730" s="2" t="s">
        <v>3329</v>
      </c>
      <c r="T730" s="2" t="s">
        <v>34</v>
      </c>
      <c r="U730" s="2" t="s">
        <v>3330</v>
      </c>
      <c r="V730" s="2" t="s">
        <v>3671</v>
      </c>
      <c r="W730" t="s">
        <v>3672</v>
      </c>
    </row>
    <row r="731" spans="1:23" x14ac:dyDescent="0.25">
      <c r="A731" t="s">
        <v>3673</v>
      </c>
      <c r="B731" s="4">
        <f t="shared" si="11"/>
        <v>75553</v>
      </c>
      <c r="C731" t="s">
        <v>3674</v>
      </c>
      <c r="D731" t="s">
        <v>185</v>
      </c>
      <c r="E731" t="s">
        <v>1124</v>
      </c>
      <c r="F731" t="s">
        <v>543</v>
      </c>
      <c r="G731" t="s">
        <v>3564</v>
      </c>
      <c r="H731" s="2" t="s">
        <v>27</v>
      </c>
      <c r="I731" t="s">
        <v>1169</v>
      </c>
      <c r="J731" s="2" t="s">
        <v>3675</v>
      </c>
      <c r="L731" s="2" t="s">
        <v>30</v>
      </c>
      <c r="M731" s="2" t="s">
        <v>31</v>
      </c>
      <c r="N731" s="2" t="s">
        <v>32</v>
      </c>
      <c r="O731" s="2" t="s">
        <v>2769</v>
      </c>
      <c r="P731" s="2" t="s">
        <v>34</v>
      </c>
      <c r="Q731" t="s">
        <v>3676</v>
      </c>
      <c r="R731" s="2" t="s">
        <v>3677</v>
      </c>
      <c r="T731" s="2" t="s">
        <v>34</v>
      </c>
      <c r="U731" s="2" t="s">
        <v>3678</v>
      </c>
      <c r="V731" s="2" t="s">
        <v>3679</v>
      </c>
      <c r="W731" t="s">
        <v>3680</v>
      </c>
    </row>
    <row r="732" spans="1:23" x14ac:dyDescent="0.25">
      <c r="A732" t="s">
        <v>3681</v>
      </c>
      <c r="B732" s="4">
        <f t="shared" si="11"/>
        <v>75558</v>
      </c>
      <c r="C732" t="s">
        <v>3682</v>
      </c>
      <c r="D732" t="s">
        <v>365</v>
      </c>
      <c r="E732" t="s">
        <v>1464</v>
      </c>
      <c r="F732" t="s">
        <v>367</v>
      </c>
      <c r="G732" t="s">
        <v>3564</v>
      </c>
      <c r="H732" s="2" t="s">
        <v>27</v>
      </c>
      <c r="I732" t="s">
        <v>1169</v>
      </c>
      <c r="J732" s="2" t="s">
        <v>3683</v>
      </c>
      <c r="L732" s="2" t="s">
        <v>30</v>
      </c>
      <c r="M732" s="2" t="s">
        <v>31</v>
      </c>
      <c r="N732" s="2" t="s">
        <v>32</v>
      </c>
      <c r="O732" s="2" t="s">
        <v>2769</v>
      </c>
      <c r="P732" s="2" t="s">
        <v>34</v>
      </c>
      <c r="Q732" t="s">
        <v>3684</v>
      </c>
      <c r="R732" s="2" t="s">
        <v>3685</v>
      </c>
      <c r="T732" s="2" t="s">
        <v>34</v>
      </c>
      <c r="U732" s="2" t="s">
        <v>3686</v>
      </c>
      <c r="V732" s="2" t="s">
        <v>3687</v>
      </c>
      <c r="W732" t="s">
        <v>3672</v>
      </c>
    </row>
    <row r="733" spans="1:23" x14ac:dyDescent="0.25">
      <c r="A733" t="s">
        <v>3688</v>
      </c>
      <c r="B733" s="4">
        <f t="shared" si="11"/>
        <v>75570</v>
      </c>
      <c r="C733" t="s">
        <v>3689</v>
      </c>
      <c r="D733" t="s">
        <v>365</v>
      </c>
      <c r="E733" t="s">
        <v>2577</v>
      </c>
      <c r="F733" t="s">
        <v>187</v>
      </c>
      <c r="G733" t="s">
        <v>3564</v>
      </c>
      <c r="H733" s="2" t="s">
        <v>373</v>
      </c>
      <c r="I733" t="s">
        <v>379</v>
      </c>
      <c r="K733" s="2" t="s">
        <v>2809</v>
      </c>
      <c r="L733" s="2" t="s">
        <v>30</v>
      </c>
      <c r="M733" s="2" t="s">
        <v>31</v>
      </c>
      <c r="N733" s="2" t="s">
        <v>32</v>
      </c>
      <c r="O733" s="2" t="s">
        <v>2730</v>
      </c>
      <c r="P733" s="2" t="s">
        <v>34</v>
      </c>
      <c r="Q733" t="s">
        <v>2810</v>
      </c>
      <c r="R733" s="2" t="s">
        <v>2811</v>
      </c>
      <c r="T733" s="2" t="s">
        <v>60</v>
      </c>
    </row>
    <row r="734" spans="1:23" x14ac:dyDescent="0.25">
      <c r="A734" t="s">
        <v>3690</v>
      </c>
      <c r="B734" s="4">
        <f t="shared" si="11"/>
        <v>75577</v>
      </c>
      <c r="C734" t="s">
        <v>3691</v>
      </c>
      <c r="D734" t="s">
        <v>42</v>
      </c>
      <c r="E734" t="s">
        <v>1089</v>
      </c>
      <c r="F734">
        <v>3</v>
      </c>
      <c r="G734" t="s">
        <v>3564</v>
      </c>
      <c r="H734" s="2" t="s">
        <v>27</v>
      </c>
      <c r="I734" t="s">
        <v>28</v>
      </c>
      <c r="J734" s="2" t="s">
        <v>3692</v>
      </c>
      <c r="L734" s="2" t="s">
        <v>30</v>
      </c>
      <c r="M734" s="2" t="s">
        <v>31</v>
      </c>
      <c r="N734" s="2" t="s">
        <v>32</v>
      </c>
      <c r="O734" s="2" t="s">
        <v>100</v>
      </c>
      <c r="P734" s="2" t="s">
        <v>34</v>
      </c>
      <c r="Q734" t="s">
        <v>46</v>
      </c>
      <c r="R734" s="2" t="s">
        <v>47</v>
      </c>
      <c r="T734" s="2" t="s">
        <v>34</v>
      </c>
      <c r="U734" s="2" t="s">
        <v>48</v>
      </c>
      <c r="V734" s="2" t="s">
        <v>3693</v>
      </c>
      <c r="W734" t="s">
        <v>3694</v>
      </c>
    </row>
    <row r="735" spans="1:23" x14ac:dyDescent="0.25">
      <c r="A735" t="s">
        <v>3695</v>
      </c>
      <c r="B735" s="4">
        <f t="shared" si="11"/>
        <v>75578</v>
      </c>
      <c r="C735" t="s">
        <v>3696</v>
      </c>
      <c r="D735" t="s">
        <v>279</v>
      </c>
      <c r="E735" t="s">
        <v>25</v>
      </c>
      <c r="F735">
        <v>1</v>
      </c>
      <c r="G735" t="s">
        <v>3564</v>
      </c>
      <c r="H735" s="2" t="s">
        <v>27</v>
      </c>
      <c r="I735" t="s">
        <v>1169</v>
      </c>
      <c r="J735" s="2" t="s">
        <v>3697</v>
      </c>
      <c r="L735" s="2" t="s">
        <v>30</v>
      </c>
      <c r="M735" s="2" t="s">
        <v>31</v>
      </c>
      <c r="N735" s="2" t="s">
        <v>32</v>
      </c>
      <c r="O735" s="2" t="s">
        <v>2769</v>
      </c>
      <c r="P735" s="2" t="s">
        <v>34</v>
      </c>
      <c r="Q735" t="s">
        <v>3698</v>
      </c>
      <c r="R735" s="2" t="s">
        <v>3699</v>
      </c>
      <c r="T735" s="2" t="s">
        <v>34</v>
      </c>
      <c r="U735" s="2" t="s">
        <v>3700</v>
      </c>
      <c r="V735" s="2" t="s">
        <v>3695</v>
      </c>
      <c r="W735" t="s">
        <v>3701</v>
      </c>
    </row>
    <row r="736" spans="1:23" x14ac:dyDescent="0.25">
      <c r="A736" t="s">
        <v>3702</v>
      </c>
      <c r="B736" s="4">
        <f t="shared" si="11"/>
        <v>75583</v>
      </c>
      <c r="C736" t="s">
        <v>3703</v>
      </c>
      <c r="D736" t="s">
        <v>279</v>
      </c>
      <c r="E736" t="s">
        <v>951</v>
      </c>
      <c r="F736" t="s">
        <v>543</v>
      </c>
      <c r="G736" t="s">
        <v>3564</v>
      </c>
      <c r="H736" s="2" t="s">
        <v>27</v>
      </c>
      <c r="I736" t="s">
        <v>28</v>
      </c>
      <c r="J736" s="2" t="s">
        <v>3704</v>
      </c>
      <c r="L736" s="2" t="s">
        <v>30</v>
      </c>
      <c r="M736" s="2" t="s">
        <v>31</v>
      </c>
      <c r="N736" s="2" t="s">
        <v>32</v>
      </c>
      <c r="O736" s="2" t="s">
        <v>2998</v>
      </c>
      <c r="P736" s="2" t="s">
        <v>34</v>
      </c>
      <c r="Q736" t="s">
        <v>3705</v>
      </c>
      <c r="R736" s="2" t="s">
        <v>3706</v>
      </c>
      <c r="T736" s="2" t="s">
        <v>34</v>
      </c>
      <c r="U736" s="2" t="s">
        <v>3707</v>
      </c>
      <c r="V736" s="2" t="s">
        <v>3708</v>
      </c>
      <c r="W736" t="s">
        <v>3709</v>
      </c>
    </row>
    <row r="737" spans="1:23" x14ac:dyDescent="0.25">
      <c r="A737" t="s">
        <v>3710</v>
      </c>
      <c r="B737" s="4">
        <f t="shared" si="11"/>
        <v>75605</v>
      </c>
      <c r="C737" t="s">
        <v>3711</v>
      </c>
      <c r="D737" t="s">
        <v>42</v>
      </c>
      <c r="E737" t="s">
        <v>888</v>
      </c>
      <c r="F737">
        <v>3</v>
      </c>
      <c r="G737" t="s">
        <v>3564</v>
      </c>
      <c r="H737" s="2" t="s">
        <v>27</v>
      </c>
      <c r="I737" t="s">
        <v>1169</v>
      </c>
      <c r="J737" s="2" t="s">
        <v>3712</v>
      </c>
      <c r="L737" s="2" t="s">
        <v>30</v>
      </c>
      <c r="M737" s="2" t="s">
        <v>31</v>
      </c>
      <c r="N737" s="2" t="s">
        <v>32</v>
      </c>
      <c r="O737" s="2" t="s">
        <v>897</v>
      </c>
      <c r="P737" s="2" t="s">
        <v>34</v>
      </c>
      <c r="Q737" t="s">
        <v>3713</v>
      </c>
      <c r="R737" s="2" t="s">
        <v>3714</v>
      </c>
      <c r="T737" s="2" t="s">
        <v>34</v>
      </c>
      <c r="U737" s="2" t="s">
        <v>3715</v>
      </c>
      <c r="V737" s="2" t="s">
        <v>3716</v>
      </c>
      <c r="W737" t="s">
        <v>3717</v>
      </c>
    </row>
    <row r="738" spans="1:23" x14ac:dyDescent="0.25">
      <c r="A738" t="s">
        <v>3718</v>
      </c>
      <c r="B738" s="4">
        <f t="shared" si="11"/>
        <v>75614</v>
      </c>
      <c r="C738" t="s">
        <v>3719</v>
      </c>
      <c r="D738" t="s">
        <v>185</v>
      </c>
      <c r="E738" t="s">
        <v>1811</v>
      </c>
      <c r="F738" t="s">
        <v>543</v>
      </c>
      <c r="G738" t="s">
        <v>3564</v>
      </c>
      <c r="H738" s="2" t="s">
        <v>27</v>
      </c>
      <c r="I738" t="s">
        <v>1169</v>
      </c>
      <c r="J738" s="2" t="s">
        <v>3720</v>
      </c>
      <c r="L738" s="2" t="s">
        <v>30</v>
      </c>
      <c r="M738" s="2" t="s">
        <v>31</v>
      </c>
      <c r="N738" s="2" t="s">
        <v>32</v>
      </c>
      <c r="O738" s="2" t="s">
        <v>2769</v>
      </c>
      <c r="P738" s="2" t="s">
        <v>34</v>
      </c>
      <c r="Q738" t="s">
        <v>3721</v>
      </c>
      <c r="R738" s="2" t="s">
        <v>3722</v>
      </c>
      <c r="T738" s="2" t="s">
        <v>34</v>
      </c>
      <c r="U738" s="2" t="s">
        <v>3723</v>
      </c>
      <c r="V738" s="2" t="s">
        <v>3724</v>
      </c>
      <c r="W738" t="s">
        <v>3725</v>
      </c>
    </row>
    <row r="739" spans="1:23" x14ac:dyDescent="0.25">
      <c r="A739" t="s">
        <v>3726</v>
      </c>
      <c r="B739" s="4">
        <f t="shared" si="11"/>
        <v>75628</v>
      </c>
      <c r="C739" t="s">
        <v>3727</v>
      </c>
      <c r="D739" t="s">
        <v>185</v>
      </c>
      <c r="E739" t="s">
        <v>1811</v>
      </c>
      <c r="F739" t="s">
        <v>543</v>
      </c>
      <c r="G739" t="s">
        <v>3564</v>
      </c>
      <c r="H739" s="2" t="s">
        <v>27</v>
      </c>
      <c r="I739" t="s">
        <v>28</v>
      </c>
      <c r="J739" s="2" t="s">
        <v>3728</v>
      </c>
      <c r="L739" s="2" t="s">
        <v>30</v>
      </c>
      <c r="M739" s="2" t="s">
        <v>31</v>
      </c>
      <c r="N739" s="2" t="s">
        <v>32</v>
      </c>
      <c r="O739" s="2" t="s">
        <v>1323</v>
      </c>
      <c r="P739" s="2" t="s">
        <v>34</v>
      </c>
      <c r="Q739" t="s">
        <v>3729</v>
      </c>
      <c r="R739" s="2" t="s">
        <v>206</v>
      </c>
      <c r="S739" s="2" t="s">
        <v>3730</v>
      </c>
      <c r="T739" s="2" t="s">
        <v>34</v>
      </c>
      <c r="U739" s="2" t="s">
        <v>3731</v>
      </c>
      <c r="V739" s="2" t="s">
        <v>3732</v>
      </c>
      <c r="W739" t="s">
        <v>3733</v>
      </c>
    </row>
    <row r="740" spans="1:23" x14ac:dyDescent="0.25">
      <c r="A740" t="s">
        <v>3734</v>
      </c>
      <c r="B740" s="4">
        <f t="shared" si="11"/>
        <v>75660</v>
      </c>
      <c r="C740" t="s">
        <v>3735</v>
      </c>
      <c r="D740" t="s">
        <v>42</v>
      </c>
      <c r="E740" t="s">
        <v>67</v>
      </c>
      <c r="F740">
        <v>2</v>
      </c>
      <c r="G740" t="s">
        <v>3564</v>
      </c>
      <c r="H740" s="2" t="s">
        <v>27</v>
      </c>
      <c r="I740" t="s">
        <v>379</v>
      </c>
      <c r="J740" s="2" t="s">
        <v>3736</v>
      </c>
      <c r="L740" s="2" t="s">
        <v>30</v>
      </c>
      <c r="M740" s="2" t="s">
        <v>31</v>
      </c>
      <c r="N740" s="2" t="s">
        <v>32</v>
      </c>
      <c r="O740" s="2" t="s">
        <v>3737</v>
      </c>
      <c r="P740" s="2" t="s">
        <v>34</v>
      </c>
      <c r="Q740" t="s">
        <v>3167</v>
      </c>
      <c r="R740" s="2" t="s">
        <v>3168</v>
      </c>
      <c r="T740" s="2" t="s">
        <v>60</v>
      </c>
    </row>
    <row r="741" spans="1:23" x14ac:dyDescent="0.25">
      <c r="A741" t="s">
        <v>3738</v>
      </c>
      <c r="B741" s="4">
        <f t="shared" si="11"/>
        <v>75661</v>
      </c>
      <c r="C741" t="s">
        <v>3739</v>
      </c>
      <c r="D741" t="s">
        <v>103</v>
      </c>
      <c r="E741" t="s">
        <v>238</v>
      </c>
      <c r="F741">
        <v>1</v>
      </c>
      <c r="G741" t="s">
        <v>3564</v>
      </c>
      <c r="H741" s="2" t="s">
        <v>27</v>
      </c>
      <c r="I741" t="s">
        <v>55</v>
      </c>
      <c r="J741" s="2" t="s">
        <v>3740</v>
      </c>
      <c r="L741" s="2" t="s">
        <v>30</v>
      </c>
      <c r="M741" s="2" t="s">
        <v>31</v>
      </c>
      <c r="N741" s="2" t="s">
        <v>32</v>
      </c>
      <c r="O741" s="2" t="s">
        <v>497</v>
      </c>
      <c r="P741" s="2" t="s">
        <v>34</v>
      </c>
      <c r="Q741" t="s">
        <v>3741</v>
      </c>
      <c r="R741" s="2" t="s">
        <v>3742</v>
      </c>
      <c r="T741" s="2" t="s">
        <v>60</v>
      </c>
    </row>
    <row r="742" spans="1:23" x14ac:dyDescent="0.25">
      <c r="A742" t="s">
        <v>3743</v>
      </c>
      <c r="B742" s="4">
        <f t="shared" si="11"/>
        <v>75662</v>
      </c>
      <c r="C742" t="s">
        <v>3744</v>
      </c>
      <c r="D742" t="s">
        <v>365</v>
      </c>
      <c r="E742" t="s">
        <v>774</v>
      </c>
      <c r="F742" t="s">
        <v>680</v>
      </c>
      <c r="G742" t="s">
        <v>3564</v>
      </c>
      <c r="H742" s="2" t="s">
        <v>27</v>
      </c>
      <c r="I742" t="s">
        <v>1169</v>
      </c>
      <c r="J742" s="2" t="s">
        <v>3745</v>
      </c>
      <c r="L742" s="2" t="s">
        <v>30</v>
      </c>
      <c r="M742" s="2" t="s">
        <v>31</v>
      </c>
      <c r="N742" s="2" t="s">
        <v>32</v>
      </c>
      <c r="O742" s="2" t="s">
        <v>2769</v>
      </c>
      <c r="P742" s="2" t="s">
        <v>34</v>
      </c>
      <c r="Q742" t="s">
        <v>3746</v>
      </c>
      <c r="R742" s="2" t="s">
        <v>3747</v>
      </c>
      <c r="T742" s="2" t="s">
        <v>34</v>
      </c>
      <c r="U742" s="2" t="s">
        <v>3748</v>
      </c>
      <c r="V742" s="2" t="s">
        <v>3749</v>
      </c>
      <c r="W742" t="s">
        <v>3750</v>
      </c>
    </row>
    <row r="743" spans="1:23" x14ac:dyDescent="0.25">
      <c r="A743" t="s">
        <v>3751</v>
      </c>
      <c r="B743" s="4">
        <f t="shared" si="11"/>
        <v>75672</v>
      </c>
      <c r="C743" t="s">
        <v>3752</v>
      </c>
      <c r="D743" t="s">
        <v>185</v>
      </c>
      <c r="E743" t="s">
        <v>1124</v>
      </c>
      <c r="F743" t="s">
        <v>543</v>
      </c>
      <c r="G743" t="s">
        <v>3564</v>
      </c>
      <c r="H743" s="2" t="s">
        <v>27</v>
      </c>
      <c r="I743" t="s">
        <v>28</v>
      </c>
      <c r="J743" s="2" t="s">
        <v>3753</v>
      </c>
      <c r="L743" s="2" t="s">
        <v>30</v>
      </c>
      <c r="M743" s="2" t="s">
        <v>31</v>
      </c>
      <c r="N743" s="2" t="s">
        <v>32</v>
      </c>
      <c r="O743" s="2" t="s">
        <v>525</v>
      </c>
      <c r="P743" s="2" t="s">
        <v>34</v>
      </c>
      <c r="Q743" t="s">
        <v>3754</v>
      </c>
      <c r="R743" s="2" t="s">
        <v>3755</v>
      </c>
      <c r="T743" s="2" t="s">
        <v>34</v>
      </c>
      <c r="U743" s="2" t="s">
        <v>3756</v>
      </c>
      <c r="V743" s="2" t="s">
        <v>3757</v>
      </c>
      <c r="W743" t="s">
        <v>3758</v>
      </c>
    </row>
    <row r="744" spans="1:23" x14ac:dyDescent="0.25">
      <c r="A744" t="s">
        <v>3759</v>
      </c>
      <c r="B744" s="4">
        <f t="shared" si="11"/>
        <v>75688</v>
      </c>
      <c r="C744" t="s">
        <v>3760</v>
      </c>
      <c r="D744" t="s">
        <v>185</v>
      </c>
      <c r="E744" t="s">
        <v>393</v>
      </c>
      <c r="F744" t="s">
        <v>187</v>
      </c>
      <c r="G744" t="s">
        <v>3564</v>
      </c>
      <c r="H744" s="2" t="s">
        <v>27</v>
      </c>
      <c r="I744" t="s">
        <v>28</v>
      </c>
      <c r="J744" s="2" t="s">
        <v>3761</v>
      </c>
      <c r="L744" s="2" t="s">
        <v>30</v>
      </c>
      <c r="M744" s="2" t="s">
        <v>31</v>
      </c>
      <c r="N744" s="2" t="s">
        <v>32</v>
      </c>
      <c r="O744" s="2" t="s">
        <v>1323</v>
      </c>
      <c r="P744" s="2" t="s">
        <v>34</v>
      </c>
      <c r="Q744" t="s">
        <v>3762</v>
      </c>
      <c r="R744" s="2" t="s">
        <v>206</v>
      </c>
      <c r="S744" s="2" t="s">
        <v>3763</v>
      </c>
      <c r="T744" s="2" t="s">
        <v>60</v>
      </c>
    </row>
    <row r="745" spans="1:23" x14ac:dyDescent="0.25">
      <c r="A745" t="s">
        <v>3764</v>
      </c>
      <c r="B745" s="4">
        <f t="shared" si="11"/>
        <v>75709</v>
      </c>
      <c r="C745" t="s">
        <v>3765</v>
      </c>
      <c r="D745" t="s">
        <v>42</v>
      </c>
      <c r="E745" t="s">
        <v>479</v>
      </c>
      <c r="F745">
        <v>3</v>
      </c>
      <c r="G745" t="s">
        <v>3564</v>
      </c>
      <c r="H745" s="2" t="s">
        <v>27</v>
      </c>
      <c r="I745" t="s">
        <v>2792</v>
      </c>
      <c r="J745" s="2" t="s">
        <v>3766</v>
      </c>
      <c r="L745" s="2" t="s">
        <v>30</v>
      </c>
      <c r="M745" s="2" t="s">
        <v>31</v>
      </c>
      <c r="N745" s="2" t="s">
        <v>32</v>
      </c>
      <c r="O745" s="2" t="s">
        <v>92</v>
      </c>
      <c r="P745" s="2" t="s">
        <v>34</v>
      </c>
      <c r="Q745" t="s">
        <v>203</v>
      </c>
      <c r="R745" s="2" t="s">
        <v>204</v>
      </c>
      <c r="T745" s="2" t="s">
        <v>34</v>
      </c>
      <c r="U745" s="2" t="s">
        <v>205</v>
      </c>
      <c r="V745" s="2" t="s">
        <v>206</v>
      </c>
    </row>
    <row r="746" spans="1:23" x14ac:dyDescent="0.25">
      <c r="A746" t="s">
        <v>3767</v>
      </c>
      <c r="B746" s="4">
        <f t="shared" si="11"/>
        <v>75720</v>
      </c>
      <c r="C746" t="s">
        <v>3768</v>
      </c>
      <c r="D746" t="s">
        <v>42</v>
      </c>
      <c r="E746" t="s">
        <v>67</v>
      </c>
      <c r="F746">
        <v>2</v>
      </c>
      <c r="G746" t="s">
        <v>3564</v>
      </c>
      <c r="H746" s="2" t="s">
        <v>27</v>
      </c>
      <c r="I746" t="s">
        <v>28</v>
      </c>
      <c r="J746" s="2" t="s">
        <v>3003</v>
      </c>
      <c r="L746" s="2" t="s">
        <v>30</v>
      </c>
      <c r="M746" s="2" t="s">
        <v>31</v>
      </c>
      <c r="N746" s="2" t="s">
        <v>32</v>
      </c>
      <c r="O746" s="2" t="s">
        <v>2711</v>
      </c>
      <c r="P746" s="2" t="s">
        <v>34</v>
      </c>
      <c r="Q746" t="s">
        <v>3769</v>
      </c>
      <c r="R746" s="2" t="s">
        <v>3770</v>
      </c>
      <c r="T746" s="2" t="s">
        <v>34</v>
      </c>
      <c r="U746" s="2" t="s">
        <v>3771</v>
      </c>
      <c r="V746" s="2" t="s">
        <v>3772</v>
      </c>
      <c r="W746" t="s">
        <v>3773</v>
      </c>
    </row>
    <row r="747" spans="1:23" x14ac:dyDescent="0.25">
      <c r="A747" t="s">
        <v>3774</v>
      </c>
      <c r="B747" s="4">
        <f t="shared" si="11"/>
        <v>75773</v>
      </c>
      <c r="C747" t="s">
        <v>3775</v>
      </c>
      <c r="D747" t="s">
        <v>365</v>
      </c>
      <c r="E747" t="s">
        <v>2849</v>
      </c>
      <c r="F747" t="s">
        <v>367</v>
      </c>
      <c r="G747" t="s">
        <v>3564</v>
      </c>
      <c r="H747" s="2" t="s">
        <v>27</v>
      </c>
      <c r="I747" t="s">
        <v>1169</v>
      </c>
      <c r="J747" s="2" t="s">
        <v>3776</v>
      </c>
      <c r="L747" s="2" t="s">
        <v>30</v>
      </c>
      <c r="M747" s="2" t="s">
        <v>31</v>
      </c>
      <c r="N747" s="2" t="s">
        <v>32</v>
      </c>
      <c r="O747" s="2" t="s">
        <v>189</v>
      </c>
      <c r="P747" s="2" t="s">
        <v>34</v>
      </c>
      <c r="Q747" t="s">
        <v>3777</v>
      </c>
      <c r="R747" s="2" t="s">
        <v>3778</v>
      </c>
      <c r="T747" s="2" t="s">
        <v>34</v>
      </c>
      <c r="U747" s="2" t="s">
        <v>3779</v>
      </c>
      <c r="V747" s="2" t="s">
        <v>3780</v>
      </c>
      <c r="W747" t="s">
        <v>3781</v>
      </c>
    </row>
    <row r="748" spans="1:23" x14ac:dyDescent="0.25">
      <c r="A748" t="s">
        <v>3782</v>
      </c>
      <c r="B748" s="4">
        <f t="shared" si="11"/>
        <v>75778</v>
      </c>
      <c r="C748" t="s">
        <v>3783</v>
      </c>
      <c r="D748" t="s">
        <v>365</v>
      </c>
      <c r="E748" t="s">
        <v>3340</v>
      </c>
      <c r="F748" t="s">
        <v>367</v>
      </c>
      <c r="G748" t="s">
        <v>3564</v>
      </c>
      <c r="H748" s="2" t="s">
        <v>27</v>
      </c>
      <c r="I748" t="s">
        <v>28</v>
      </c>
      <c r="J748" s="2" t="s">
        <v>3784</v>
      </c>
      <c r="L748" s="2" t="s">
        <v>30</v>
      </c>
      <c r="M748" s="2" t="s">
        <v>31</v>
      </c>
      <c r="N748" s="2" t="s">
        <v>32</v>
      </c>
      <c r="O748" s="2" t="s">
        <v>1323</v>
      </c>
      <c r="P748" s="2" t="s">
        <v>34</v>
      </c>
      <c r="Q748" t="s">
        <v>3785</v>
      </c>
      <c r="R748" s="2" t="s">
        <v>206</v>
      </c>
      <c r="S748" s="2" t="s">
        <v>3786</v>
      </c>
      <c r="T748" s="2" t="s">
        <v>34</v>
      </c>
      <c r="U748" s="2" t="s">
        <v>3787</v>
      </c>
      <c r="V748" s="2" t="s">
        <v>3788</v>
      </c>
      <c r="W748" t="s">
        <v>3789</v>
      </c>
    </row>
    <row r="749" spans="1:23" x14ac:dyDescent="0.25">
      <c r="A749" t="s">
        <v>3790</v>
      </c>
      <c r="B749" s="4">
        <f t="shared" si="11"/>
        <v>75821</v>
      </c>
      <c r="C749" t="s">
        <v>3791</v>
      </c>
      <c r="D749" t="s">
        <v>42</v>
      </c>
      <c r="E749" t="s">
        <v>142</v>
      </c>
      <c r="F749">
        <v>2</v>
      </c>
      <c r="G749" t="s">
        <v>3564</v>
      </c>
      <c r="H749" s="2" t="s">
        <v>27</v>
      </c>
      <c r="I749" t="s">
        <v>1169</v>
      </c>
      <c r="J749" s="2" t="s">
        <v>3792</v>
      </c>
      <c r="L749" s="2" t="s">
        <v>30</v>
      </c>
      <c r="M749" s="2" t="s">
        <v>31</v>
      </c>
      <c r="N749" s="2" t="s">
        <v>32</v>
      </c>
      <c r="O749" s="2" t="s">
        <v>79</v>
      </c>
      <c r="P749" s="2" t="s">
        <v>34</v>
      </c>
      <c r="Q749" t="s">
        <v>35</v>
      </c>
      <c r="R749" s="2" t="s">
        <v>36</v>
      </c>
      <c r="T749" s="2" t="s">
        <v>34</v>
      </c>
      <c r="U749" s="2" t="s">
        <v>37</v>
      </c>
      <c r="V749" s="2" t="s">
        <v>3793</v>
      </c>
      <c r="W749" t="s">
        <v>3794</v>
      </c>
    </row>
    <row r="750" spans="1:23" x14ac:dyDescent="0.25">
      <c r="A750" t="s">
        <v>3795</v>
      </c>
      <c r="B750" s="4">
        <f t="shared" si="11"/>
        <v>75858</v>
      </c>
      <c r="C750" t="s">
        <v>3796</v>
      </c>
      <c r="D750" t="s">
        <v>365</v>
      </c>
      <c r="E750" t="s">
        <v>90</v>
      </c>
      <c r="F750" t="s">
        <v>367</v>
      </c>
      <c r="G750" t="s">
        <v>3564</v>
      </c>
      <c r="H750" s="2" t="s">
        <v>373</v>
      </c>
      <c r="I750" t="s">
        <v>28</v>
      </c>
      <c r="K750" s="2" t="s">
        <v>1775</v>
      </c>
      <c r="L750" s="2" t="s">
        <v>30</v>
      </c>
      <c r="M750" s="2" t="s">
        <v>31</v>
      </c>
      <c r="N750" s="2" t="s">
        <v>32</v>
      </c>
      <c r="O750" s="2" t="s">
        <v>1776</v>
      </c>
      <c r="P750" s="2" t="s">
        <v>34</v>
      </c>
      <c r="Q750" t="s">
        <v>1777</v>
      </c>
      <c r="R750" s="2" t="s">
        <v>206</v>
      </c>
      <c r="S750" s="2" t="s">
        <v>1778</v>
      </c>
      <c r="T750" s="2" t="s">
        <v>60</v>
      </c>
    </row>
    <row r="751" spans="1:23" x14ac:dyDescent="0.25">
      <c r="A751" t="s">
        <v>3797</v>
      </c>
      <c r="B751" s="4">
        <f t="shared" si="11"/>
        <v>75865</v>
      </c>
      <c r="C751" t="s">
        <v>3798</v>
      </c>
      <c r="D751" t="s">
        <v>42</v>
      </c>
      <c r="E751" t="s">
        <v>2909</v>
      </c>
      <c r="F751">
        <v>3</v>
      </c>
      <c r="G751" t="s">
        <v>3564</v>
      </c>
      <c r="H751" s="2" t="s">
        <v>373</v>
      </c>
      <c r="I751" t="s">
        <v>28</v>
      </c>
      <c r="K751" s="2" t="s">
        <v>3799</v>
      </c>
      <c r="L751" s="2" t="s">
        <v>30</v>
      </c>
      <c r="M751" s="2" t="s">
        <v>31</v>
      </c>
      <c r="N751" s="2" t="s">
        <v>32</v>
      </c>
      <c r="O751" s="2" t="s">
        <v>2756</v>
      </c>
      <c r="P751" s="2" t="s">
        <v>34</v>
      </c>
      <c r="Q751" t="s">
        <v>3800</v>
      </c>
      <c r="R751" s="2" t="s">
        <v>206</v>
      </c>
      <c r="S751" s="2" t="s">
        <v>3801</v>
      </c>
      <c r="T751" s="2" t="s">
        <v>60</v>
      </c>
    </row>
    <row r="752" spans="1:23" x14ac:dyDescent="0.25">
      <c r="A752" t="s">
        <v>3802</v>
      </c>
      <c r="B752" s="4">
        <f t="shared" si="11"/>
        <v>75866</v>
      </c>
      <c r="C752" t="s">
        <v>3803</v>
      </c>
      <c r="D752" t="s">
        <v>185</v>
      </c>
      <c r="E752" t="s">
        <v>1118</v>
      </c>
      <c r="F752" t="s">
        <v>680</v>
      </c>
      <c r="G752" t="s">
        <v>3564</v>
      </c>
      <c r="H752" s="2" t="s">
        <v>27</v>
      </c>
      <c r="I752" t="s">
        <v>2792</v>
      </c>
      <c r="J752" s="2" t="s">
        <v>3804</v>
      </c>
      <c r="L752" s="2" t="s">
        <v>30</v>
      </c>
      <c r="M752" s="2" t="s">
        <v>31</v>
      </c>
      <c r="N752" s="2" t="s">
        <v>32</v>
      </c>
      <c r="O752" s="2" t="s">
        <v>1204</v>
      </c>
      <c r="P752" s="2" t="s">
        <v>34</v>
      </c>
      <c r="Q752" t="s">
        <v>3805</v>
      </c>
      <c r="R752" s="2" t="s">
        <v>206</v>
      </c>
      <c r="S752" s="2" t="s">
        <v>3806</v>
      </c>
      <c r="T752" s="2" t="s">
        <v>34</v>
      </c>
      <c r="U752" s="2" t="s">
        <v>3807</v>
      </c>
      <c r="V752" s="2" t="s">
        <v>3808</v>
      </c>
      <c r="W752" t="s">
        <v>3809</v>
      </c>
    </row>
    <row r="753" spans="1:23" x14ac:dyDescent="0.25">
      <c r="A753" t="s">
        <v>3810</v>
      </c>
      <c r="B753" s="4">
        <f t="shared" si="11"/>
        <v>75868</v>
      </c>
      <c r="C753" t="s">
        <v>3811</v>
      </c>
      <c r="D753" t="s">
        <v>42</v>
      </c>
      <c r="E753" t="s">
        <v>67</v>
      </c>
      <c r="F753">
        <v>2</v>
      </c>
      <c r="G753" t="s">
        <v>3564</v>
      </c>
      <c r="H753" s="2" t="s">
        <v>27</v>
      </c>
      <c r="I753" t="s">
        <v>28</v>
      </c>
      <c r="J753" s="2" t="s">
        <v>3812</v>
      </c>
      <c r="L753" s="2" t="s">
        <v>30</v>
      </c>
      <c r="M753" s="2" t="s">
        <v>31</v>
      </c>
      <c r="N753" s="2" t="s">
        <v>32</v>
      </c>
      <c r="O753" s="2" t="s">
        <v>2479</v>
      </c>
      <c r="P753" s="2" t="s">
        <v>34</v>
      </c>
      <c r="Q753" t="s">
        <v>35</v>
      </c>
      <c r="R753" s="2" t="s">
        <v>36</v>
      </c>
      <c r="T753" s="2" t="s">
        <v>34</v>
      </c>
      <c r="U753" s="2" t="s">
        <v>37</v>
      </c>
      <c r="V753" s="2" t="s">
        <v>3813</v>
      </c>
      <c r="W753" t="s">
        <v>3814</v>
      </c>
    </row>
    <row r="754" spans="1:23" x14ac:dyDescent="0.25">
      <c r="A754" t="s">
        <v>3815</v>
      </c>
      <c r="B754" s="4">
        <f t="shared" si="11"/>
        <v>75872</v>
      </c>
      <c r="C754" t="s">
        <v>3816</v>
      </c>
      <c r="D754" t="s">
        <v>365</v>
      </c>
      <c r="E754" t="s">
        <v>2971</v>
      </c>
      <c r="F754" t="s">
        <v>367</v>
      </c>
      <c r="G754" t="s">
        <v>3564</v>
      </c>
      <c r="H754" s="2" t="s">
        <v>27</v>
      </c>
      <c r="I754" t="s">
        <v>28</v>
      </c>
      <c r="J754" s="2" t="s">
        <v>3817</v>
      </c>
      <c r="L754" s="2" t="s">
        <v>30</v>
      </c>
      <c r="M754" s="2" t="s">
        <v>31</v>
      </c>
      <c r="N754" s="2" t="s">
        <v>32</v>
      </c>
      <c r="O754" s="2" t="s">
        <v>1323</v>
      </c>
      <c r="P754" s="2" t="s">
        <v>34</v>
      </c>
      <c r="Q754" t="s">
        <v>2089</v>
      </c>
      <c r="R754" s="2" t="s">
        <v>2090</v>
      </c>
      <c r="T754" s="2" t="s">
        <v>34</v>
      </c>
      <c r="U754" s="2" t="s">
        <v>2091</v>
      </c>
      <c r="V754" s="2" t="s">
        <v>3818</v>
      </c>
      <c r="W754" t="s">
        <v>3819</v>
      </c>
    </row>
    <row r="755" spans="1:23" x14ac:dyDescent="0.25">
      <c r="A755" t="s">
        <v>3820</v>
      </c>
      <c r="B755" s="4">
        <f t="shared" si="11"/>
        <v>75884</v>
      </c>
      <c r="C755" t="s">
        <v>3821</v>
      </c>
      <c r="D755" t="s">
        <v>24</v>
      </c>
      <c r="E755" t="s">
        <v>25</v>
      </c>
      <c r="F755">
        <v>2</v>
      </c>
      <c r="G755" t="s">
        <v>3564</v>
      </c>
      <c r="H755" s="2" t="s">
        <v>27</v>
      </c>
      <c r="I755" t="s">
        <v>28</v>
      </c>
      <c r="J755" s="2" t="s">
        <v>3822</v>
      </c>
      <c r="L755" s="2" t="s">
        <v>30</v>
      </c>
      <c r="M755" s="2" t="s">
        <v>31</v>
      </c>
      <c r="N755" s="2" t="s">
        <v>32</v>
      </c>
      <c r="O755" s="2" t="s">
        <v>69</v>
      </c>
      <c r="P755" s="2" t="s">
        <v>34</v>
      </c>
      <c r="Q755" t="s">
        <v>70</v>
      </c>
      <c r="R755" s="2" t="s">
        <v>71</v>
      </c>
      <c r="T755" s="2" t="s">
        <v>34</v>
      </c>
      <c r="U755" s="2" t="s">
        <v>72</v>
      </c>
      <c r="V755" s="2" t="s">
        <v>3823</v>
      </c>
      <c r="W755" t="s">
        <v>3824</v>
      </c>
    </row>
    <row r="756" spans="1:23" x14ac:dyDescent="0.25">
      <c r="A756" t="s">
        <v>3825</v>
      </c>
      <c r="B756" s="4">
        <f t="shared" si="11"/>
        <v>75891</v>
      </c>
      <c r="C756" t="s">
        <v>3826</v>
      </c>
      <c r="D756" t="s">
        <v>365</v>
      </c>
      <c r="E756" t="s">
        <v>63</v>
      </c>
      <c r="F756" t="s">
        <v>367</v>
      </c>
      <c r="G756" t="s">
        <v>3564</v>
      </c>
      <c r="H756" s="2" t="s">
        <v>27</v>
      </c>
      <c r="I756" t="s">
        <v>28</v>
      </c>
      <c r="J756" s="2" t="s">
        <v>3827</v>
      </c>
      <c r="L756" s="2" t="s">
        <v>30</v>
      </c>
      <c r="M756" s="2" t="s">
        <v>31</v>
      </c>
      <c r="N756" s="2" t="s">
        <v>32</v>
      </c>
      <c r="O756" s="2" t="s">
        <v>2769</v>
      </c>
      <c r="P756" s="2" t="s">
        <v>34</v>
      </c>
      <c r="Q756" t="s">
        <v>407</v>
      </c>
      <c r="R756" s="2" t="s">
        <v>408</v>
      </c>
      <c r="T756" s="2" t="s">
        <v>34</v>
      </c>
      <c r="U756" s="2" t="s">
        <v>409</v>
      </c>
      <c r="V756" s="2" t="s">
        <v>3828</v>
      </c>
      <c r="W756" t="s">
        <v>3829</v>
      </c>
    </row>
    <row r="757" spans="1:23" x14ac:dyDescent="0.25">
      <c r="A757" t="s">
        <v>3830</v>
      </c>
      <c r="B757" s="4">
        <f t="shared" si="11"/>
        <v>75897</v>
      </c>
      <c r="C757" t="s">
        <v>3831</v>
      </c>
      <c r="D757" t="s">
        <v>42</v>
      </c>
      <c r="E757" t="s">
        <v>517</v>
      </c>
      <c r="F757">
        <v>2</v>
      </c>
      <c r="G757" t="s">
        <v>3564</v>
      </c>
      <c r="H757" s="2" t="s">
        <v>27</v>
      </c>
      <c r="I757" t="s">
        <v>55</v>
      </c>
      <c r="J757" s="2" t="s">
        <v>3832</v>
      </c>
      <c r="L757" s="2" t="s">
        <v>30</v>
      </c>
      <c r="M757" s="2" t="s">
        <v>31</v>
      </c>
      <c r="N757" s="2" t="s">
        <v>32</v>
      </c>
      <c r="O757" s="2" t="s">
        <v>135</v>
      </c>
      <c r="P757" s="2" t="s">
        <v>34</v>
      </c>
      <c r="Q757" t="s">
        <v>136</v>
      </c>
      <c r="R757" s="2" t="s">
        <v>137</v>
      </c>
      <c r="T757" s="2" t="s">
        <v>34</v>
      </c>
      <c r="U757" s="2" t="s">
        <v>138</v>
      </c>
      <c r="V757" s="2" t="s">
        <v>3830</v>
      </c>
      <c r="W757" t="s">
        <v>3833</v>
      </c>
    </row>
    <row r="758" spans="1:23" x14ac:dyDescent="0.25">
      <c r="A758" t="s">
        <v>3834</v>
      </c>
      <c r="B758" s="4">
        <f t="shared" si="11"/>
        <v>75917</v>
      </c>
      <c r="C758" t="s">
        <v>3835</v>
      </c>
      <c r="D758" t="s">
        <v>365</v>
      </c>
      <c r="E758" t="s">
        <v>1571</v>
      </c>
      <c r="F758" t="s">
        <v>367</v>
      </c>
      <c r="G758" t="s">
        <v>3564</v>
      </c>
      <c r="H758" s="2" t="s">
        <v>27</v>
      </c>
      <c r="I758" t="s">
        <v>28</v>
      </c>
      <c r="J758" s="2" t="s">
        <v>3836</v>
      </c>
      <c r="L758" s="2" t="s">
        <v>30</v>
      </c>
      <c r="M758" s="2" t="s">
        <v>31</v>
      </c>
      <c r="N758" s="2" t="s">
        <v>32</v>
      </c>
      <c r="O758" s="2" t="s">
        <v>2769</v>
      </c>
      <c r="P758" s="2" t="s">
        <v>60</v>
      </c>
      <c r="R758" s="2" t="s">
        <v>206</v>
      </c>
      <c r="T758" s="2" t="s">
        <v>60</v>
      </c>
    </row>
    <row r="759" spans="1:23" x14ac:dyDescent="0.25">
      <c r="A759" t="s">
        <v>3837</v>
      </c>
      <c r="B759" s="4">
        <f t="shared" si="11"/>
        <v>75919</v>
      </c>
      <c r="C759" t="s">
        <v>3838</v>
      </c>
      <c r="D759" t="s">
        <v>149</v>
      </c>
      <c r="E759" t="s">
        <v>133</v>
      </c>
      <c r="F759">
        <v>3</v>
      </c>
      <c r="G759" t="s">
        <v>3564</v>
      </c>
      <c r="H759" s="2" t="s">
        <v>27</v>
      </c>
      <c r="I759" t="s">
        <v>28</v>
      </c>
      <c r="J759" s="2" t="s">
        <v>3839</v>
      </c>
      <c r="L759" s="2" t="s">
        <v>30</v>
      </c>
      <c r="M759" s="2" t="s">
        <v>31</v>
      </c>
      <c r="N759" s="2" t="s">
        <v>32</v>
      </c>
      <c r="O759" s="2" t="s">
        <v>152</v>
      </c>
      <c r="P759" s="2" t="s">
        <v>34</v>
      </c>
      <c r="Q759" t="s">
        <v>421</v>
      </c>
      <c r="R759" s="2" t="s">
        <v>422</v>
      </c>
      <c r="T759" s="2" t="s">
        <v>34</v>
      </c>
      <c r="U759" s="2" t="s">
        <v>423</v>
      </c>
      <c r="V759" s="2" t="s">
        <v>3840</v>
      </c>
      <c r="W759" t="s">
        <v>3841</v>
      </c>
    </row>
    <row r="760" spans="1:23" x14ac:dyDescent="0.25">
      <c r="A760" t="s">
        <v>3842</v>
      </c>
      <c r="B760" s="4">
        <f t="shared" si="11"/>
        <v>75931</v>
      </c>
      <c r="C760" t="s">
        <v>3843</v>
      </c>
      <c r="D760" t="s">
        <v>42</v>
      </c>
      <c r="E760" t="s">
        <v>830</v>
      </c>
      <c r="F760">
        <v>3</v>
      </c>
      <c r="G760" t="s">
        <v>3564</v>
      </c>
      <c r="H760" s="2" t="s">
        <v>27</v>
      </c>
      <c r="I760" t="s">
        <v>1169</v>
      </c>
      <c r="J760" s="2" t="s">
        <v>428</v>
      </c>
      <c r="L760" s="2" t="s">
        <v>30</v>
      </c>
      <c r="M760" s="2" t="s">
        <v>31</v>
      </c>
      <c r="N760" s="2" t="s">
        <v>32</v>
      </c>
      <c r="O760" s="2" t="s">
        <v>2756</v>
      </c>
      <c r="P760" s="2" t="s">
        <v>34</v>
      </c>
      <c r="Q760" t="s">
        <v>35</v>
      </c>
      <c r="R760" s="2" t="s">
        <v>36</v>
      </c>
      <c r="T760" s="2" t="s">
        <v>34</v>
      </c>
      <c r="U760" s="2" t="s">
        <v>37</v>
      </c>
      <c r="V760" s="2" t="s">
        <v>3605</v>
      </c>
      <c r="W760" t="s">
        <v>3844</v>
      </c>
    </row>
    <row r="761" spans="1:23" x14ac:dyDescent="0.25">
      <c r="A761" t="s">
        <v>3845</v>
      </c>
      <c r="B761" s="4">
        <f t="shared" si="11"/>
        <v>75977</v>
      </c>
      <c r="C761" t="s">
        <v>3846</v>
      </c>
      <c r="D761" t="s">
        <v>42</v>
      </c>
      <c r="E761" t="s">
        <v>830</v>
      </c>
      <c r="F761">
        <v>3</v>
      </c>
      <c r="G761" t="s">
        <v>3564</v>
      </c>
      <c r="H761" s="2" t="s">
        <v>27</v>
      </c>
      <c r="I761" t="s">
        <v>28</v>
      </c>
      <c r="J761" s="2" t="s">
        <v>3847</v>
      </c>
      <c r="L761" s="2" t="s">
        <v>30</v>
      </c>
      <c r="M761" s="2" t="s">
        <v>31</v>
      </c>
      <c r="N761" s="2" t="s">
        <v>32</v>
      </c>
      <c r="O761" s="2" t="s">
        <v>2756</v>
      </c>
      <c r="P761" s="2" t="s">
        <v>34</v>
      </c>
      <c r="Q761" t="s">
        <v>3769</v>
      </c>
      <c r="R761" s="2" t="s">
        <v>3770</v>
      </c>
      <c r="T761" s="2" t="s">
        <v>34</v>
      </c>
      <c r="U761" s="2" t="s">
        <v>3771</v>
      </c>
      <c r="V761" s="2" t="s">
        <v>3695</v>
      </c>
      <c r="W761" t="s">
        <v>3701</v>
      </c>
    </row>
    <row r="762" spans="1:23" x14ac:dyDescent="0.25">
      <c r="A762" t="s">
        <v>3848</v>
      </c>
      <c r="B762" s="4">
        <f t="shared" si="11"/>
        <v>76025</v>
      </c>
      <c r="C762" t="s">
        <v>3849</v>
      </c>
      <c r="D762" t="s">
        <v>297</v>
      </c>
      <c r="E762" t="s">
        <v>444</v>
      </c>
      <c r="F762">
        <v>1</v>
      </c>
      <c r="G762" t="s">
        <v>352</v>
      </c>
      <c r="H762" s="2" t="s">
        <v>27</v>
      </c>
      <c r="I762" t="s">
        <v>379</v>
      </c>
      <c r="J762" s="2" t="s">
        <v>3850</v>
      </c>
      <c r="L762" s="2" t="s">
        <v>30</v>
      </c>
      <c r="M762" s="2" t="s">
        <v>31</v>
      </c>
      <c r="N762" s="2" t="s">
        <v>32</v>
      </c>
      <c r="O762" s="2" t="s">
        <v>3851</v>
      </c>
      <c r="P762" s="2" t="s">
        <v>34</v>
      </c>
      <c r="Q762" t="s">
        <v>545</v>
      </c>
      <c r="R762" s="2" t="s">
        <v>546</v>
      </c>
      <c r="T762" s="2" t="s">
        <v>60</v>
      </c>
    </row>
    <row r="763" spans="1:23" x14ac:dyDescent="0.25">
      <c r="A763" t="s">
        <v>3852</v>
      </c>
      <c r="B763" s="4">
        <f t="shared" si="11"/>
        <v>76087</v>
      </c>
      <c r="C763" t="s">
        <v>3853</v>
      </c>
      <c r="D763" t="s">
        <v>149</v>
      </c>
      <c r="E763" t="s">
        <v>229</v>
      </c>
      <c r="F763">
        <v>3</v>
      </c>
      <c r="G763" t="s">
        <v>352</v>
      </c>
      <c r="H763" s="2" t="s">
        <v>27</v>
      </c>
      <c r="I763" t="s">
        <v>28</v>
      </c>
      <c r="J763" s="2" t="s">
        <v>3854</v>
      </c>
      <c r="L763" s="2" t="s">
        <v>30</v>
      </c>
      <c r="M763" s="2" t="s">
        <v>31</v>
      </c>
      <c r="N763" s="2" t="s">
        <v>32</v>
      </c>
      <c r="O763" s="2" t="s">
        <v>711</v>
      </c>
      <c r="P763" s="2" t="s">
        <v>34</v>
      </c>
      <c r="Q763" t="s">
        <v>232</v>
      </c>
      <c r="R763" s="2" t="s">
        <v>233</v>
      </c>
      <c r="T763" s="2" t="s">
        <v>34</v>
      </c>
      <c r="U763" s="2" t="s">
        <v>234</v>
      </c>
      <c r="V763" s="2" t="s">
        <v>3855</v>
      </c>
      <c r="W763" t="s">
        <v>3856</v>
      </c>
    </row>
    <row r="764" spans="1:23" x14ac:dyDescent="0.25">
      <c r="A764" t="s">
        <v>3857</v>
      </c>
      <c r="B764" s="4">
        <f t="shared" si="11"/>
        <v>76298</v>
      </c>
      <c r="C764" t="s">
        <v>3858</v>
      </c>
      <c r="D764" t="s">
        <v>297</v>
      </c>
      <c r="E764" t="s">
        <v>993</v>
      </c>
      <c r="F764">
        <v>1</v>
      </c>
      <c r="G764" t="s">
        <v>352</v>
      </c>
      <c r="H764" s="2" t="s">
        <v>27</v>
      </c>
      <c r="I764" t="s">
        <v>28</v>
      </c>
      <c r="J764" s="2" t="s">
        <v>3859</v>
      </c>
      <c r="L764" s="2" t="s">
        <v>30</v>
      </c>
      <c r="M764" s="2" t="s">
        <v>31</v>
      </c>
      <c r="N764" s="2" t="s">
        <v>32</v>
      </c>
      <c r="O764" s="2" t="s">
        <v>123</v>
      </c>
      <c r="P764" s="2" t="s">
        <v>34</v>
      </c>
      <c r="Q764" t="s">
        <v>995</v>
      </c>
      <c r="R764" s="2" t="s">
        <v>996</v>
      </c>
      <c r="T764" s="2" t="s">
        <v>34</v>
      </c>
      <c r="U764" s="2" t="s">
        <v>997</v>
      </c>
      <c r="V764" s="2" t="s">
        <v>3860</v>
      </c>
      <c r="W764" t="s">
        <v>3861</v>
      </c>
    </row>
    <row r="765" spans="1:23" x14ac:dyDescent="0.25">
      <c r="A765" t="s">
        <v>3862</v>
      </c>
      <c r="B765" s="4">
        <f t="shared" si="11"/>
        <v>76543</v>
      </c>
      <c r="C765" t="s">
        <v>3863</v>
      </c>
      <c r="D765" t="s">
        <v>185</v>
      </c>
      <c r="E765" t="s">
        <v>3864</v>
      </c>
      <c r="F765" t="s">
        <v>680</v>
      </c>
      <c r="G765" t="s">
        <v>26</v>
      </c>
      <c r="H765" s="2" t="s">
        <v>373</v>
      </c>
      <c r="I765" t="s">
        <v>28</v>
      </c>
      <c r="K765" s="2" t="s">
        <v>3865</v>
      </c>
      <c r="L765" s="2" t="s">
        <v>30</v>
      </c>
      <c r="M765" s="2" t="s">
        <v>31</v>
      </c>
      <c r="N765" s="2" t="s">
        <v>32</v>
      </c>
      <c r="O765" s="2" t="s">
        <v>3866</v>
      </c>
      <c r="P765" s="2" t="s">
        <v>34</v>
      </c>
      <c r="Q765" t="s">
        <v>3867</v>
      </c>
      <c r="R765" s="2" t="s">
        <v>206</v>
      </c>
      <c r="S765" s="2" t="s">
        <v>3868</v>
      </c>
      <c r="T765" s="2" t="s">
        <v>34</v>
      </c>
      <c r="U765" s="2" t="s">
        <v>3869</v>
      </c>
      <c r="V765" s="2" t="s">
        <v>824</v>
      </c>
      <c r="W765" t="s">
        <v>3870</v>
      </c>
    </row>
    <row r="766" spans="1:23" x14ac:dyDescent="0.25">
      <c r="A766" t="s">
        <v>3871</v>
      </c>
      <c r="B766" s="4">
        <f t="shared" si="11"/>
        <v>76580</v>
      </c>
      <c r="C766" t="s">
        <v>1537</v>
      </c>
      <c r="D766" t="s">
        <v>279</v>
      </c>
      <c r="E766" t="s">
        <v>557</v>
      </c>
      <c r="F766" t="s">
        <v>543</v>
      </c>
      <c r="G766" t="s">
        <v>352</v>
      </c>
      <c r="H766" s="2" t="s">
        <v>27</v>
      </c>
      <c r="I766" t="s">
        <v>28</v>
      </c>
      <c r="J766" s="2" t="s">
        <v>3872</v>
      </c>
      <c r="L766" s="2" t="s">
        <v>30</v>
      </c>
      <c r="M766" s="2" t="s">
        <v>31</v>
      </c>
      <c r="N766" s="2" t="s">
        <v>32</v>
      </c>
      <c r="O766" s="2" t="s">
        <v>1204</v>
      </c>
      <c r="P766" s="2" t="s">
        <v>34</v>
      </c>
      <c r="Q766" t="s">
        <v>1539</v>
      </c>
      <c r="R766" s="2" t="s">
        <v>1540</v>
      </c>
      <c r="T766" s="2" t="s">
        <v>34</v>
      </c>
      <c r="U766" s="2" t="s">
        <v>1541</v>
      </c>
      <c r="V766" s="2" t="s">
        <v>1542</v>
      </c>
      <c r="W766" t="s">
        <v>1543</v>
      </c>
    </row>
    <row r="767" spans="1:23" x14ac:dyDescent="0.25">
      <c r="A767" t="s">
        <v>3873</v>
      </c>
      <c r="B767" s="4">
        <f t="shared" si="11"/>
        <v>76594</v>
      </c>
      <c r="C767" t="s">
        <v>3874</v>
      </c>
      <c r="D767" t="s">
        <v>185</v>
      </c>
      <c r="E767" t="s">
        <v>3864</v>
      </c>
      <c r="F767" t="s">
        <v>680</v>
      </c>
      <c r="G767" t="s">
        <v>26</v>
      </c>
      <c r="H767" s="2" t="s">
        <v>373</v>
      </c>
      <c r="I767" t="s">
        <v>28</v>
      </c>
      <c r="K767" s="2" t="s">
        <v>3865</v>
      </c>
      <c r="L767" s="2" t="s">
        <v>30</v>
      </c>
      <c r="M767" s="2" t="s">
        <v>31</v>
      </c>
      <c r="N767" s="2" t="s">
        <v>32</v>
      </c>
      <c r="O767" s="2" t="s">
        <v>3866</v>
      </c>
      <c r="P767" s="2" t="s">
        <v>34</v>
      </c>
      <c r="Q767" t="s">
        <v>1225</v>
      </c>
      <c r="R767" s="2" t="s">
        <v>1226</v>
      </c>
      <c r="T767" s="2" t="s">
        <v>34</v>
      </c>
      <c r="U767" s="2" t="s">
        <v>1227</v>
      </c>
      <c r="V767" s="2" t="s">
        <v>3875</v>
      </c>
      <c r="W767" t="s">
        <v>3876</v>
      </c>
    </row>
    <row r="768" spans="1:23" x14ac:dyDescent="0.25">
      <c r="A768" t="s">
        <v>3877</v>
      </c>
      <c r="B768" s="4">
        <f t="shared" si="11"/>
        <v>76609</v>
      </c>
      <c r="C768" t="s">
        <v>3878</v>
      </c>
      <c r="D768" t="s">
        <v>185</v>
      </c>
      <c r="E768" t="s">
        <v>1136</v>
      </c>
      <c r="F768" t="s">
        <v>543</v>
      </c>
      <c r="G768" t="s">
        <v>352</v>
      </c>
      <c r="H768" s="2" t="s">
        <v>27</v>
      </c>
      <c r="I768" t="s">
        <v>379</v>
      </c>
      <c r="J768" s="2" t="s">
        <v>3879</v>
      </c>
      <c r="L768" s="2" t="s">
        <v>30</v>
      </c>
      <c r="M768" s="2" t="s">
        <v>31</v>
      </c>
      <c r="N768" s="2" t="s">
        <v>32</v>
      </c>
      <c r="O768" s="2" t="s">
        <v>2553</v>
      </c>
      <c r="P768" s="2" t="s">
        <v>34</v>
      </c>
      <c r="Q768" t="s">
        <v>2554</v>
      </c>
      <c r="R768" s="2" t="s">
        <v>206</v>
      </c>
      <c r="S768" s="2" t="s">
        <v>2555</v>
      </c>
      <c r="T768" s="2" t="s">
        <v>34</v>
      </c>
      <c r="U768" s="2" t="s">
        <v>2556</v>
      </c>
      <c r="V768" s="2" t="s">
        <v>3880</v>
      </c>
      <c r="W768" t="s">
        <v>3881</v>
      </c>
    </row>
    <row r="769" spans="1:23" x14ac:dyDescent="0.25">
      <c r="A769" t="s">
        <v>3882</v>
      </c>
      <c r="B769" s="4">
        <f t="shared" si="11"/>
        <v>76671</v>
      </c>
      <c r="C769" t="s">
        <v>3883</v>
      </c>
      <c r="D769" t="s">
        <v>42</v>
      </c>
      <c r="E769" t="s">
        <v>598</v>
      </c>
      <c r="F769">
        <v>3</v>
      </c>
      <c r="G769" t="s">
        <v>352</v>
      </c>
      <c r="H769" s="2" t="s">
        <v>27</v>
      </c>
      <c r="I769" t="s">
        <v>379</v>
      </c>
      <c r="J769" s="2" t="s">
        <v>3884</v>
      </c>
      <c r="L769" s="2" t="s">
        <v>30</v>
      </c>
      <c r="M769" s="2" t="s">
        <v>31</v>
      </c>
      <c r="N769" s="2" t="s">
        <v>32</v>
      </c>
      <c r="O769" s="2" t="s">
        <v>3885</v>
      </c>
      <c r="P769" s="2" t="s">
        <v>34</v>
      </c>
      <c r="Q769" t="s">
        <v>70</v>
      </c>
      <c r="R769" s="2" t="s">
        <v>71</v>
      </c>
      <c r="T769" s="2" t="s">
        <v>34</v>
      </c>
      <c r="U769" s="2" t="s">
        <v>72</v>
      </c>
      <c r="V769" s="2" t="s">
        <v>3882</v>
      </c>
      <c r="W769" t="s">
        <v>1178</v>
      </c>
    </row>
    <row r="770" spans="1:23" x14ac:dyDescent="0.25">
      <c r="A770" t="s">
        <v>3886</v>
      </c>
      <c r="B770" s="4">
        <f t="shared" si="11"/>
        <v>76840</v>
      </c>
      <c r="C770" t="s">
        <v>3887</v>
      </c>
      <c r="D770" t="s">
        <v>149</v>
      </c>
      <c r="E770" t="s">
        <v>789</v>
      </c>
      <c r="F770">
        <v>3</v>
      </c>
      <c r="G770" t="s">
        <v>352</v>
      </c>
      <c r="H770" s="2" t="s">
        <v>27</v>
      </c>
      <c r="I770" t="s">
        <v>28</v>
      </c>
      <c r="J770" s="2" t="s">
        <v>3888</v>
      </c>
      <c r="L770" s="2" t="s">
        <v>30</v>
      </c>
      <c r="M770" s="2" t="s">
        <v>31</v>
      </c>
      <c r="N770" s="2" t="s">
        <v>32</v>
      </c>
      <c r="O770" s="2" t="s">
        <v>711</v>
      </c>
      <c r="P770" s="2" t="s">
        <v>34</v>
      </c>
      <c r="Q770" t="s">
        <v>232</v>
      </c>
      <c r="R770" s="2" t="s">
        <v>233</v>
      </c>
      <c r="T770" s="2" t="s">
        <v>34</v>
      </c>
      <c r="U770" s="2" t="s">
        <v>234</v>
      </c>
      <c r="V770" s="2" t="s">
        <v>3889</v>
      </c>
      <c r="W770" t="s">
        <v>3887</v>
      </c>
    </row>
    <row r="771" spans="1:23" x14ac:dyDescent="0.25">
      <c r="A771" t="s">
        <v>3890</v>
      </c>
      <c r="B771" s="4">
        <f t="shared" ref="B771:B834" si="12">REPLACE(A771, 1, 1, "")+0</f>
        <v>76865</v>
      </c>
      <c r="C771" t="s">
        <v>3891</v>
      </c>
      <c r="D771" t="s">
        <v>42</v>
      </c>
      <c r="E771" t="s">
        <v>2909</v>
      </c>
      <c r="F771">
        <v>3</v>
      </c>
      <c r="G771" t="s">
        <v>352</v>
      </c>
      <c r="H771" s="2" t="s">
        <v>373</v>
      </c>
      <c r="I771" t="s">
        <v>822</v>
      </c>
      <c r="K771" s="2" t="s">
        <v>3799</v>
      </c>
      <c r="L771" s="2" t="s">
        <v>30</v>
      </c>
      <c r="M771" s="2" t="s">
        <v>31</v>
      </c>
      <c r="N771" s="2" t="s">
        <v>32</v>
      </c>
      <c r="O771" s="2" t="s">
        <v>2756</v>
      </c>
      <c r="P771" s="2" t="s">
        <v>34</v>
      </c>
      <c r="Q771" t="s">
        <v>3800</v>
      </c>
      <c r="R771" s="2" t="s">
        <v>206</v>
      </c>
      <c r="S771" s="2" t="s">
        <v>3801</v>
      </c>
      <c r="T771" s="2" t="s">
        <v>60</v>
      </c>
    </row>
    <row r="772" spans="1:23" x14ac:dyDescent="0.25">
      <c r="A772" t="s">
        <v>3892</v>
      </c>
      <c r="B772" s="4">
        <f t="shared" si="12"/>
        <v>76890</v>
      </c>
      <c r="C772" t="s">
        <v>3893</v>
      </c>
      <c r="D772" t="s">
        <v>185</v>
      </c>
      <c r="E772" t="s">
        <v>1811</v>
      </c>
      <c r="F772" t="s">
        <v>543</v>
      </c>
      <c r="G772" t="s">
        <v>352</v>
      </c>
      <c r="H772" s="2" t="s">
        <v>27</v>
      </c>
      <c r="I772" t="s">
        <v>28</v>
      </c>
      <c r="J772" s="2" t="s">
        <v>3894</v>
      </c>
      <c r="L772" s="2" t="s">
        <v>30</v>
      </c>
      <c r="M772" s="2" t="s">
        <v>31</v>
      </c>
      <c r="N772" s="2" t="s">
        <v>32</v>
      </c>
      <c r="O772" s="2" t="s">
        <v>1204</v>
      </c>
      <c r="P772" s="2" t="s">
        <v>34</v>
      </c>
      <c r="Q772" t="s">
        <v>1813</v>
      </c>
      <c r="R772" s="2" t="s">
        <v>206</v>
      </c>
      <c r="S772" s="2" t="s">
        <v>1814</v>
      </c>
      <c r="T772" s="2" t="s">
        <v>34</v>
      </c>
      <c r="U772" s="2" t="s">
        <v>1815</v>
      </c>
      <c r="V772" s="2" t="s">
        <v>1816</v>
      </c>
      <c r="W772" t="s">
        <v>1817</v>
      </c>
    </row>
    <row r="773" spans="1:23" x14ac:dyDescent="0.25">
      <c r="A773" t="s">
        <v>3895</v>
      </c>
      <c r="B773" s="4">
        <f t="shared" si="12"/>
        <v>76903</v>
      </c>
      <c r="C773" t="s">
        <v>3896</v>
      </c>
      <c r="D773" t="s">
        <v>24</v>
      </c>
      <c r="E773" t="s">
        <v>1831</v>
      </c>
      <c r="F773">
        <v>2</v>
      </c>
      <c r="G773" t="s">
        <v>26</v>
      </c>
      <c r="H773" s="2" t="s">
        <v>27</v>
      </c>
      <c r="I773" t="s">
        <v>28</v>
      </c>
      <c r="J773" s="2" t="s">
        <v>3897</v>
      </c>
      <c r="L773" s="2" t="s">
        <v>30</v>
      </c>
      <c r="M773" s="2" t="s">
        <v>31</v>
      </c>
      <c r="N773" s="2" t="s">
        <v>32</v>
      </c>
      <c r="O773" s="2" t="s">
        <v>3898</v>
      </c>
      <c r="P773" s="2" t="s">
        <v>34</v>
      </c>
      <c r="Q773" t="s">
        <v>1247</v>
      </c>
      <c r="R773" s="2" t="s">
        <v>1248</v>
      </c>
      <c r="T773" s="2" t="s">
        <v>34</v>
      </c>
      <c r="U773" s="2" t="s">
        <v>1249</v>
      </c>
      <c r="V773" s="2" t="s">
        <v>3899</v>
      </c>
      <c r="W773" t="s">
        <v>3900</v>
      </c>
    </row>
    <row r="774" spans="1:23" x14ac:dyDescent="0.25">
      <c r="A774" t="s">
        <v>3901</v>
      </c>
      <c r="B774" s="4">
        <f t="shared" si="12"/>
        <v>76910</v>
      </c>
      <c r="C774" t="s">
        <v>3902</v>
      </c>
      <c r="D774" t="s">
        <v>24</v>
      </c>
      <c r="E774" t="s">
        <v>113</v>
      </c>
      <c r="F774">
        <v>2</v>
      </c>
      <c r="G774" t="s">
        <v>352</v>
      </c>
      <c r="H774" s="2" t="s">
        <v>27</v>
      </c>
      <c r="I774" t="s">
        <v>28</v>
      </c>
      <c r="J774" s="2" t="s">
        <v>3897</v>
      </c>
      <c r="L774" s="2" t="s">
        <v>30</v>
      </c>
      <c r="M774" s="2" t="s">
        <v>31</v>
      </c>
      <c r="N774" s="2" t="s">
        <v>32</v>
      </c>
      <c r="O774" s="2" t="s">
        <v>115</v>
      </c>
      <c r="P774" s="2" t="s">
        <v>34</v>
      </c>
      <c r="Q774" t="s">
        <v>35</v>
      </c>
      <c r="R774" s="2" t="s">
        <v>36</v>
      </c>
      <c r="T774" s="2" t="s">
        <v>34</v>
      </c>
      <c r="U774" s="2" t="s">
        <v>37</v>
      </c>
      <c r="V774" s="2" t="s">
        <v>1850</v>
      </c>
      <c r="W774" t="s">
        <v>3903</v>
      </c>
    </row>
    <row r="775" spans="1:23" x14ac:dyDescent="0.25">
      <c r="A775" t="s">
        <v>3904</v>
      </c>
      <c r="B775" s="4">
        <f t="shared" si="12"/>
        <v>78200</v>
      </c>
      <c r="C775" t="s">
        <v>3905</v>
      </c>
      <c r="D775" t="s">
        <v>157</v>
      </c>
      <c r="E775" t="s">
        <v>3906</v>
      </c>
      <c r="F775">
        <v>3</v>
      </c>
      <c r="G775" t="s">
        <v>352</v>
      </c>
      <c r="H775" s="2" t="s">
        <v>27</v>
      </c>
      <c r="I775" t="s">
        <v>28</v>
      </c>
      <c r="J775" s="2" t="s">
        <v>3897</v>
      </c>
      <c r="L775" s="2" t="s">
        <v>30</v>
      </c>
      <c r="M775" s="2" t="s">
        <v>31</v>
      </c>
      <c r="N775" s="2" t="s">
        <v>32</v>
      </c>
      <c r="O775" s="2" t="s">
        <v>100</v>
      </c>
      <c r="P775" s="2" t="s">
        <v>34</v>
      </c>
      <c r="Q775" t="s">
        <v>232</v>
      </c>
      <c r="R775" s="2" t="s">
        <v>233</v>
      </c>
      <c r="T775" s="2" t="s">
        <v>34</v>
      </c>
      <c r="U775" s="2" t="s">
        <v>234</v>
      </c>
      <c r="V775" s="2" t="s">
        <v>3907</v>
      </c>
      <c r="W775" t="s">
        <v>3908</v>
      </c>
    </row>
    <row r="776" spans="1:23" x14ac:dyDescent="0.25">
      <c r="A776" t="s">
        <v>3909</v>
      </c>
      <c r="B776" s="4">
        <f t="shared" si="12"/>
        <v>78201</v>
      </c>
      <c r="C776" t="s">
        <v>3910</v>
      </c>
      <c r="D776" t="s">
        <v>149</v>
      </c>
      <c r="E776" t="s">
        <v>3911</v>
      </c>
      <c r="F776">
        <v>3</v>
      </c>
      <c r="G776" t="s">
        <v>352</v>
      </c>
      <c r="H776" s="2" t="s">
        <v>27</v>
      </c>
      <c r="I776" t="s">
        <v>28</v>
      </c>
      <c r="J776" s="2" t="s">
        <v>3897</v>
      </c>
      <c r="L776" s="2" t="s">
        <v>30</v>
      </c>
      <c r="M776" s="2" t="s">
        <v>31</v>
      </c>
      <c r="N776" s="2" t="s">
        <v>32</v>
      </c>
      <c r="O776" s="2" t="s">
        <v>3912</v>
      </c>
      <c r="P776" s="2" t="s">
        <v>34</v>
      </c>
      <c r="Q776" t="s">
        <v>2181</v>
      </c>
      <c r="R776" s="2" t="s">
        <v>2182</v>
      </c>
      <c r="T776" s="2" t="s">
        <v>34</v>
      </c>
      <c r="U776" s="2" t="s">
        <v>2183</v>
      </c>
      <c r="V776" s="2" t="s">
        <v>3913</v>
      </c>
      <c r="W776" t="s">
        <v>3914</v>
      </c>
    </row>
    <row r="777" spans="1:23" x14ac:dyDescent="0.25">
      <c r="A777" t="s">
        <v>3915</v>
      </c>
      <c r="B777" s="4">
        <f t="shared" si="12"/>
        <v>78214</v>
      </c>
      <c r="C777" t="s">
        <v>3916</v>
      </c>
      <c r="D777" t="s">
        <v>157</v>
      </c>
      <c r="E777" t="s">
        <v>3906</v>
      </c>
      <c r="F777">
        <v>3</v>
      </c>
      <c r="G777" t="s">
        <v>352</v>
      </c>
      <c r="H777" s="2" t="s">
        <v>27</v>
      </c>
      <c r="I777" t="s">
        <v>28</v>
      </c>
      <c r="J777" s="2" t="s">
        <v>3897</v>
      </c>
      <c r="L777" s="2" t="s">
        <v>30</v>
      </c>
      <c r="M777" s="2" t="s">
        <v>31</v>
      </c>
      <c r="N777" s="2" t="s">
        <v>32</v>
      </c>
      <c r="O777" s="2" t="s">
        <v>3917</v>
      </c>
      <c r="P777" s="2" t="s">
        <v>34</v>
      </c>
      <c r="Q777" t="s">
        <v>46</v>
      </c>
      <c r="R777" s="2" t="s">
        <v>47</v>
      </c>
      <c r="T777" s="2" t="s">
        <v>34</v>
      </c>
      <c r="U777" s="2" t="s">
        <v>48</v>
      </c>
      <c r="V777" s="2" t="s">
        <v>3918</v>
      </c>
      <c r="W777" t="s">
        <v>3919</v>
      </c>
    </row>
    <row r="778" spans="1:23" x14ac:dyDescent="0.25">
      <c r="A778" t="s">
        <v>3920</v>
      </c>
      <c r="B778" s="4">
        <f t="shared" si="12"/>
        <v>79023</v>
      </c>
      <c r="C778" t="s">
        <v>3921</v>
      </c>
      <c r="D778" t="s">
        <v>42</v>
      </c>
      <c r="E778" t="s">
        <v>43</v>
      </c>
      <c r="F778">
        <v>3</v>
      </c>
      <c r="G778" t="s">
        <v>352</v>
      </c>
      <c r="H778" s="2" t="s">
        <v>373</v>
      </c>
      <c r="I778" t="s">
        <v>368</v>
      </c>
      <c r="K778" s="2" t="s">
        <v>3922</v>
      </c>
      <c r="L778" s="2" t="s">
        <v>30</v>
      </c>
      <c r="M778" s="2" t="s">
        <v>31</v>
      </c>
      <c r="N778" s="2" t="s">
        <v>32</v>
      </c>
      <c r="O778" s="2" t="s">
        <v>3923</v>
      </c>
      <c r="P778" s="2" t="s">
        <v>34</v>
      </c>
      <c r="Q778" t="s">
        <v>1784</v>
      </c>
      <c r="R778" s="2" t="s">
        <v>1785</v>
      </c>
      <c r="T778" s="2" t="s">
        <v>60</v>
      </c>
    </row>
    <row r="779" spans="1:23" x14ac:dyDescent="0.25">
      <c r="A779" t="s">
        <v>3924</v>
      </c>
      <c r="B779" s="4">
        <f t="shared" si="12"/>
        <v>79033</v>
      </c>
      <c r="C779" t="s">
        <v>3925</v>
      </c>
      <c r="D779" t="s">
        <v>120</v>
      </c>
      <c r="E779" t="s">
        <v>3926</v>
      </c>
      <c r="F779">
        <v>1</v>
      </c>
      <c r="G779" t="s">
        <v>26</v>
      </c>
      <c r="H779" s="2" t="s">
        <v>27</v>
      </c>
      <c r="I779" t="s">
        <v>368</v>
      </c>
      <c r="J779" s="2" t="s">
        <v>3927</v>
      </c>
      <c r="L779" s="2" t="s">
        <v>30</v>
      </c>
      <c r="M779" s="2" t="s">
        <v>31</v>
      </c>
      <c r="N779" s="2" t="s">
        <v>32</v>
      </c>
      <c r="O779" s="2" t="s">
        <v>220</v>
      </c>
      <c r="P779" s="2" t="s">
        <v>34</v>
      </c>
      <c r="Q779" t="s">
        <v>337</v>
      </c>
      <c r="R779" s="2" t="s">
        <v>206</v>
      </c>
      <c r="S779" s="2" t="s">
        <v>338</v>
      </c>
      <c r="T779" s="2" t="s">
        <v>34</v>
      </c>
      <c r="U779" s="2" t="s">
        <v>339</v>
      </c>
      <c r="V779" s="2" t="s">
        <v>3924</v>
      </c>
      <c r="W779" t="s">
        <v>3925</v>
      </c>
    </row>
    <row r="780" spans="1:23" x14ac:dyDescent="0.25">
      <c r="A780" t="s">
        <v>3928</v>
      </c>
      <c r="B780" s="4">
        <f t="shared" si="12"/>
        <v>79037</v>
      </c>
      <c r="C780" t="s">
        <v>3929</v>
      </c>
      <c r="D780" t="s">
        <v>149</v>
      </c>
      <c r="E780" t="s">
        <v>150</v>
      </c>
      <c r="F780">
        <v>3</v>
      </c>
      <c r="G780" t="s">
        <v>26</v>
      </c>
      <c r="H780" s="2" t="s">
        <v>27</v>
      </c>
      <c r="I780" t="s">
        <v>2251</v>
      </c>
      <c r="J780" s="2" t="s">
        <v>3930</v>
      </c>
      <c r="L780" s="2" t="s">
        <v>30</v>
      </c>
      <c r="M780" s="2" t="s">
        <v>31</v>
      </c>
      <c r="N780" s="2" t="s">
        <v>32</v>
      </c>
      <c r="O780" s="2" t="s">
        <v>152</v>
      </c>
      <c r="P780" s="2" t="s">
        <v>34</v>
      </c>
      <c r="Q780" t="s">
        <v>794</v>
      </c>
      <c r="R780" s="2" t="s">
        <v>795</v>
      </c>
      <c r="T780" s="2" t="s">
        <v>60</v>
      </c>
    </row>
    <row r="781" spans="1:23" x14ac:dyDescent="0.25">
      <c r="A781" t="s">
        <v>3931</v>
      </c>
      <c r="B781" s="4">
        <f t="shared" si="12"/>
        <v>79039</v>
      </c>
      <c r="C781" t="s">
        <v>3932</v>
      </c>
      <c r="D781" t="s">
        <v>42</v>
      </c>
      <c r="E781" t="s">
        <v>142</v>
      </c>
      <c r="F781">
        <v>2</v>
      </c>
      <c r="G781" t="s">
        <v>26</v>
      </c>
      <c r="H781" s="2" t="s">
        <v>27</v>
      </c>
      <c r="I781" t="s">
        <v>2251</v>
      </c>
      <c r="J781" s="2" t="s">
        <v>2468</v>
      </c>
      <c r="L781" s="2" t="s">
        <v>30</v>
      </c>
      <c r="M781" s="2" t="s">
        <v>31</v>
      </c>
      <c r="N781" s="2" t="s">
        <v>32</v>
      </c>
      <c r="O781" s="2" t="s">
        <v>2479</v>
      </c>
      <c r="P781" s="2" t="s">
        <v>34</v>
      </c>
      <c r="Q781" t="s">
        <v>2480</v>
      </c>
      <c r="R781" s="2" t="s">
        <v>2481</v>
      </c>
      <c r="T781" s="2" t="s">
        <v>60</v>
      </c>
    </row>
    <row r="782" spans="1:23" x14ac:dyDescent="0.25">
      <c r="A782" t="s">
        <v>3933</v>
      </c>
      <c r="B782" s="4">
        <f t="shared" si="12"/>
        <v>79040</v>
      </c>
      <c r="C782" t="s">
        <v>3934</v>
      </c>
      <c r="D782" t="s">
        <v>24</v>
      </c>
      <c r="E782" t="s">
        <v>2489</v>
      </c>
      <c r="F782">
        <v>2</v>
      </c>
      <c r="G782" t="s">
        <v>26</v>
      </c>
      <c r="H782" s="2" t="s">
        <v>27</v>
      </c>
      <c r="I782" t="s">
        <v>2251</v>
      </c>
      <c r="J782" s="2" t="s">
        <v>2468</v>
      </c>
      <c r="L782" s="2" t="s">
        <v>30</v>
      </c>
      <c r="M782" s="2" t="s">
        <v>31</v>
      </c>
      <c r="N782" s="2" t="s">
        <v>32</v>
      </c>
      <c r="O782" s="2" t="s">
        <v>214</v>
      </c>
      <c r="P782" s="2" t="s">
        <v>34</v>
      </c>
      <c r="Q782" t="s">
        <v>2488</v>
      </c>
      <c r="R782" s="2" t="s">
        <v>2491</v>
      </c>
      <c r="T782" s="2" t="s">
        <v>60</v>
      </c>
    </row>
    <row r="783" spans="1:23" x14ac:dyDescent="0.25">
      <c r="A783" t="s">
        <v>3935</v>
      </c>
      <c r="B783" s="4">
        <f t="shared" si="12"/>
        <v>79041</v>
      </c>
      <c r="C783" t="s">
        <v>3936</v>
      </c>
      <c r="D783" t="s">
        <v>42</v>
      </c>
      <c r="E783" t="s">
        <v>133</v>
      </c>
      <c r="F783">
        <v>2</v>
      </c>
      <c r="G783" t="s">
        <v>352</v>
      </c>
      <c r="H783" s="2" t="s">
        <v>27</v>
      </c>
      <c r="I783" t="s">
        <v>2251</v>
      </c>
      <c r="J783" s="2" t="s">
        <v>1503</v>
      </c>
      <c r="L783" s="2" t="s">
        <v>30</v>
      </c>
      <c r="M783" s="2" t="s">
        <v>31</v>
      </c>
      <c r="N783" s="2" t="s">
        <v>32</v>
      </c>
      <c r="O783" s="2" t="s">
        <v>275</v>
      </c>
      <c r="P783" s="2" t="s">
        <v>34</v>
      </c>
      <c r="Q783" t="s">
        <v>1505</v>
      </c>
      <c r="R783" s="2" t="s">
        <v>1506</v>
      </c>
      <c r="T783" s="2" t="s">
        <v>60</v>
      </c>
    </row>
    <row r="784" spans="1:23" x14ac:dyDescent="0.25">
      <c r="A784" t="s">
        <v>3937</v>
      </c>
      <c r="B784" s="4">
        <f t="shared" si="12"/>
        <v>79044</v>
      </c>
      <c r="C784" t="s">
        <v>3938</v>
      </c>
      <c r="D784" t="s">
        <v>185</v>
      </c>
      <c r="E784" t="s">
        <v>803</v>
      </c>
      <c r="F784" t="s">
        <v>187</v>
      </c>
      <c r="G784" t="s">
        <v>26</v>
      </c>
      <c r="H784" s="2" t="s">
        <v>27</v>
      </c>
      <c r="I784" t="s">
        <v>2251</v>
      </c>
      <c r="J784" s="2" t="s">
        <v>3939</v>
      </c>
      <c r="L784" s="2" t="s">
        <v>30</v>
      </c>
      <c r="M784" s="2" t="s">
        <v>31</v>
      </c>
      <c r="N784" s="2" t="s">
        <v>32</v>
      </c>
      <c r="O784" s="2" t="s">
        <v>2733</v>
      </c>
      <c r="P784" s="2" t="s">
        <v>60</v>
      </c>
      <c r="R784" s="2" t="s">
        <v>206</v>
      </c>
      <c r="T784" s="2" t="s">
        <v>60</v>
      </c>
    </row>
    <row r="785" spans="1:20" x14ac:dyDescent="0.25">
      <c r="A785" t="s">
        <v>3940</v>
      </c>
      <c r="B785" s="4">
        <f t="shared" si="12"/>
        <v>79046</v>
      </c>
      <c r="C785" t="s">
        <v>3941</v>
      </c>
      <c r="D785" t="s">
        <v>365</v>
      </c>
      <c r="E785" t="s">
        <v>1805</v>
      </c>
      <c r="F785" t="s">
        <v>367</v>
      </c>
      <c r="G785" t="s">
        <v>26</v>
      </c>
      <c r="H785" s="2" t="s">
        <v>27</v>
      </c>
      <c r="I785" t="s">
        <v>2251</v>
      </c>
      <c r="J785" s="2" t="s">
        <v>3942</v>
      </c>
      <c r="L785" s="2" t="s">
        <v>30</v>
      </c>
      <c r="M785" s="2" t="s">
        <v>31</v>
      </c>
      <c r="N785" s="2" t="s">
        <v>32</v>
      </c>
      <c r="O785" s="2" t="s">
        <v>2743</v>
      </c>
      <c r="P785" s="2" t="s">
        <v>60</v>
      </c>
      <c r="R785" s="2" t="s">
        <v>206</v>
      </c>
      <c r="T785" s="2" t="s">
        <v>60</v>
      </c>
    </row>
    <row r="786" spans="1:20" x14ac:dyDescent="0.25">
      <c r="A786" t="s">
        <v>3943</v>
      </c>
      <c r="B786" s="4">
        <f t="shared" si="12"/>
        <v>79047</v>
      </c>
      <c r="C786" t="s">
        <v>3944</v>
      </c>
      <c r="D786" t="s">
        <v>365</v>
      </c>
      <c r="E786" t="s">
        <v>1805</v>
      </c>
      <c r="F786" t="s">
        <v>367</v>
      </c>
      <c r="G786" t="s">
        <v>352</v>
      </c>
      <c r="H786" s="2" t="s">
        <v>27</v>
      </c>
      <c r="I786" t="s">
        <v>2251</v>
      </c>
      <c r="J786" s="2" t="s">
        <v>3945</v>
      </c>
      <c r="L786" s="2" t="s">
        <v>30</v>
      </c>
      <c r="M786" s="2" t="s">
        <v>31</v>
      </c>
      <c r="N786" s="2" t="s">
        <v>32</v>
      </c>
      <c r="O786" s="2" t="s">
        <v>3946</v>
      </c>
      <c r="P786" s="2" t="s">
        <v>60</v>
      </c>
      <c r="R786" s="2" t="s">
        <v>206</v>
      </c>
      <c r="T786" s="2" t="s">
        <v>60</v>
      </c>
    </row>
    <row r="787" spans="1:20" x14ac:dyDescent="0.25">
      <c r="A787" t="s">
        <v>3947</v>
      </c>
      <c r="B787" s="4">
        <f t="shared" si="12"/>
        <v>79050</v>
      </c>
      <c r="C787" t="s">
        <v>3948</v>
      </c>
      <c r="D787" t="s">
        <v>24</v>
      </c>
      <c r="E787" t="s">
        <v>2971</v>
      </c>
      <c r="F787">
        <v>2</v>
      </c>
      <c r="G787" t="s">
        <v>352</v>
      </c>
      <c r="H787" s="2" t="s">
        <v>27</v>
      </c>
      <c r="I787" t="s">
        <v>2251</v>
      </c>
      <c r="J787" s="2" t="s">
        <v>3949</v>
      </c>
      <c r="L787" s="2" t="s">
        <v>30</v>
      </c>
      <c r="M787" s="2" t="s">
        <v>31</v>
      </c>
      <c r="N787" s="2" t="s">
        <v>32</v>
      </c>
      <c r="O787" s="2" t="s">
        <v>3289</v>
      </c>
      <c r="P787" s="2" t="s">
        <v>60</v>
      </c>
      <c r="R787" s="2" t="s">
        <v>206</v>
      </c>
      <c r="T787" s="2" t="s">
        <v>60</v>
      </c>
    </row>
    <row r="788" spans="1:20" x14ac:dyDescent="0.25">
      <c r="A788" t="s">
        <v>3950</v>
      </c>
      <c r="B788" s="4">
        <f t="shared" si="12"/>
        <v>79051</v>
      </c>
      <c r="C788" t="s">
        <v>3951</v>
      </c>
      <c r="D788" t="s">
        <v>24</v>
      </c>
      <c r="E788" t="s">
        <v>2971</v>
      </c>
      <c r="F788">
        <v>2</v>
      </c>
      <c r="G788" t="s">
        <v>26</v>
      </c>
      <c r="H788" s="2" t="s">
        <v>27</v>
      </c>
      <c r="I788" t="s">
        <v>2251</v>
      </c>
      <c r="J788" s="2" t="s">
        <v>3949</v>
      </c>
      <c r="L788" s="2" t="s">
        <v>30</v>
      </c>
      <c r="M788" s="2" t="s">
        <v>31</v>
      </c>
      <c r="N788" s="2" t="s">
        <v>32</v>
      </c>
      <c r="O788" s="2" t="s">
        <v>3289</v>
      </c>
      <c r="P788" s="2" t="s">
        <v>60</v>
      </c>
      <c r="R788" s="2" t="s">
        <v>206</v>
      </c>
      <c r="T788" s="2" t="s">
        <v>60</v>
      </c>
    </row>
    <row r="789" spans="1:20" x14ac:dyDescent="0.25">
      <c r="A789" t="s">
        <v>3952</v>
      </c>
      <c r="B789" s="4">
        <f t="shared" si="12"/>
        <v>79073</v>
      </c>
      <c r="C789" t="s">
        <v>3953</v>
      </c>
      <c r="D789" t="s">
        <v>185</v>
      </c>
      <c r="E789" t="s">
        <v>3954</v>
      </c>
      <c r="F789" t="s">
        <v>543</v>
      </c>
      <c r="G789" t="s">
        <v>26</v>
      </c>
      <c r="H789" s="2" t="s">
        <v>27</v>
      </c>
      <c r="I789" t="s">
        <v>2251</v>
      </c>
      <c r="J789" s="2" t="s">
        <v>3955</v>
      </c>
      <c r="L789" s="2" t="s">
        <v>30</v>
      </c>
      <c r="M789" s="2" t="s">
        <v>31</v>
      </c>
      <c r="N789" s="2" t="s">
        <v>32</v>
      </c>
      <c r="O789" s="2" t="s">
        <v>2578</v>
      </c>
      <c r="P789" s="2" t="s">
        <v>34</v>
      </c>
      <c r="Q789" t="s">
        <v>1988</v>
      </c>
      <c r="R789" s="2" t="s">
        <v>1989</v>
      </c>
      <c r="T789" s="2" t="s">
        <v>60</v>
      </c>
    </row>
    <row r="790" spans="1:20" x14ac:dyDescent="0.25">
      <c r="A790" t="s">
        <v>3956</v>
      </c>
      <c r="B790" s="4">
        <f t="shared" si="12"/>
        <v>79108</v>
      </c>
      <c r="C790" t="s">
        <v>3957</v>
      </c>
      <c r="D790" t="s">
        <v>279</v>
      </c>
      <c r="E790" t="s">
        <v>987</v>
      </c>
      <c r="F790">
        <v>1</v>
      </c>
      <c r="G790" t="s">
        <v>352</v>
      </c>
      <c r="H790" s="2" t="s">
        <v>27</v>
      </c>
      <c r="I790" t="s">
        <v>822</v>
      </c>
      <c r="J790" s="2" t="s">
        <v>2524</v>
      </c>
      <c r="L790" s="2" t="s">
        <v>30</v>
      </c>
      <c r="M790" s="2" t="s">
        <v>31</v>
      </c>
      <c r="N790" s="2" t="s">
        <v>32</v>
      </c>
      <c r="O790" s="2" t="s">
        <v>3958</v>
      </c>
      <c r="P790" s="2" t="s">
        <v>60</v>
      </c>
      <c r="R790" s="2" t="s">
        <v>206</v>
      </c>
      <c r="T790" s="2" t="s">
        <v>60</v>
      </c>
    </row>
    <row r="791" spans="1:20" x14ac:dyDescent="0.25">
      <c r="A791" t="s">
        <v>3959</v>
      </c>
      <c r="B791" s="4">
        <f t="shared" si="12"/>
        <v>79109</v>
      </c>
      <c r="C791" t="s">
        <v>3960</v>
      </c>
      <c r="D791" t="s">
        <v>279</v>
      </c>
      <c r="E791" t="s">
        <v>987</v>
      </c>
      <c r="F791">
        <v>1</v>
      </c>
      <c r="G791" t="s">
        <v>26</v>
      </c>
      <c r="H791" s="2" t="s">
        <v>27</v>
      </c>
      <c r="I791" t="s">
        <v>2251</v>
      </c>
      <c r="J791" s="2" t="s">
        <v>2524</v>
      </c>
      <c r="L791" s="2" t="s">
        <v>30</v>
      </c>
      <c r="M791" s="2" t="s">
        <v>31</v>
      </c>
      <c r="N791" s="2" t="s">
        <v>32</v>
      </c>
      <c r="O791" s="2" t="s">
        <v>3961</v>
      </c>
      <c r="P791" s="2" t="s">
        <v>60</v>
      </c>
      <c r="R791" s="2" t="s">
        <v>206</v>
      </c>
      <c r="T791" s="2" t="s">
        <v>60</v>
      </c>
    </row>
    <row r="792" spans="1:20" x14ac:dyDescent="0.25">
      <c r="A792" t="s">
        <v>3962</v>
      </c>
      <c r="B792" s="4">
        <f t="shared" si="12"/>
        <v>79113</v>
      </c>
      <c r="C792" t="s">
        <v>3963</v>
      </c>
      <c r="D792" t="s">
        <v>24</v>
      </c>
      <c r="E792" t="s">
        <v>2372</v>
      </c>
      <c r="F792">
        <v>2</v>
      </c>
      <c r="G792" t="s">
        <v>352</v>
      </c>
      <c r="H792" s="2" t="s">
        <v>27</v>
      </c>
      <c r="I792" t="s">
        <v>822</v>
      </c>
      <c r="J792" s="2" t="s">
        <v>2524</v>
      </c>
      <c r="L792" s="2" t="s">
        <v>30</v>
      </c>
      <c r="M792" s="2" t="s">
        <v>31</v>
      </c>
      <c r="N792" s="2" t="s">
        <v>32</v>
      </c>
      <c r="O792" s="2" t="s">
        <v>2374</v>
      </c>
      <c r="P792" s="2" t="s">
        <v>60</v>
      </c>
      <c r="R792" s="2" t="s">
        <v>206</v>
      </c>
      <c r="T792" s="2" t="s">
        <v>60</v>
      </c>
    </row>
    <row r="793" spans="1:20" x14ac:dyDescent="0.25">
      <c r="A793" t="s">
        <v>3964</v>
      </c>
      <c r="B793" s="4">
        <f t="shared" si="12"/>
        <v>79114</v>
      </c>
      <c r="C793" t="s">
        <v>3965</v>
      </c>
      <c r="D793" t="s">
        <v>24</v>
      </c>
      <c r="E793" t="s">
        <v>2372</v>
      </c>
      <c r="F793">
        <v>2</v>
      </c>
      <c r="G793" t="s">
        <v>26</v>
      </c>
      <c r="H793" s="2" t="s">
        <v>27</v>
      </c>
      <c r="I793" t="s">
        <v>822</v>
      </c>
      <c r="J793" s="2" t="s">
        <v>2524</v>
      </c>
      <c r="L793" s="2" t="s">
        <v>30</v>
      </c>
      <c r="M793" s="2" t="s">
        <v>31</v>
      </c>
      <c r="N793" s="2" t="s">
        <v>32</v>
      </c>
      <c r="O793" s="2" t="s">
        <v>2374</v>
      </c>
      <c r="P793" s="2" t="s">
        <v>60</v>
      </c>
      <c r="R793" s="2" t="s">
        <v>206</v>
      </c>
      <c r="T793" s="2" t="s">
        <v>60</v>
      </c>
    </row>
    <row r="794" spans="1:20" x14ac:dyDescent="0.25">
      <c r="A794" t="s">
        <v>3966</v>
      </c>
      <c r="B794" s="4">
        <f t="shared" si="12"/>
        <v>79117</v>
      </c>
      <c r="C794" t="s">
        <v>3967</v>
      </c>
      <c r="D794" t="s">
        <v>42</v>
      </c>
      <c r="E794" t="s">
        <v>830</v>
      </c>
      <c r="F794">
        <v>3</v>
      </c>
      <c r="G794" t="s">
        <v>352</v>
      </c>
      <c r="H794" s="2" t="s">
        <v>27</v>
      </c>
      <c r="I794" t="s">
        <v>2251</v>
      </c>
      <c r="J794" s="2" t="s">
        <v>2524</v>
      </c>
      <c r="L794" s="2" t="s">
        <v>30</v>
      </c>
      <c r="M794" s="2" t="s">
        <v>31</v>
      </c>
      <c r="N794" s="2" t="s">
        <v>32</v>
      </c>
      <c r="O794" s="2" t="s">
        <v>652</v>
      </c>
      <c r="P794" s="2" t="s">
        <v>60</v>
      </c>
      <c r="R794" s="2" t="s">
        <v>206</v>
      </c>
      <c r="T794" s="2" t="s">
        <v>60</v>
      </c>
    </row>
    <row r="795" spans="1:20" x14ac:dyDescent="0.25">
      <c r="A795" t="s">
        <v>3968</v>
      </c>
      <c r="B795" s="4">
        <f t="shared" si="12"/>
        <v>79119</v>
      </c>
      <c r="C795" t="s">
        <v>3969</v>
      </c>
      <c r="D795" t="s">
        <v>42</v>
      </c>
      <c r="E795" t="s">
        <v>830</v>
      </c>
      <c r="F795">
        <v>3</v>
      </c>
      <c r="G795" t="s">
        <v>26</v>
      </c>
      <c r="H795" s="2" t="s">
        <v>27</v>
      </c>
      <c r="I795" t="s">
        <v>2251</v>
      </c>
      <c r="J795" s="2" t="s">
        <v>2524</v>
      </c>
      <c r="L795" s="2" t="s">
        <v>30</v>
      </c>
      <c r="M795" s="2" t="s">
        <v>31</v>
      </c>
      <c r="N795" s="2" t="s">
        <v>32</v>
      </c>
      <c r="O795" s="2" t="s">
        <v>652</v>
      </c>
      <c r="P795" s="2" t="s">
        <v>60</v>
      </c>
      <c r="R795" s="2" t="s">
        <v>206</v>
      </c>
      <c r="T795" s="2" t="s">
        <v>60</v>
      </c>
    </row>
    <row r="796" spans="1:20" x14ac:dyDescent="0.25">
      <c r="A796" t="s">
        <v>3970</v>
      </c>
      <c r="B796" s="4">
        <f t="shared" si="12"/>
        <v>79122</v>
      </c>
      <c r="C796" t="s">
        <v>3971</v>
      </c>
      <c r="D796" t="s">
        <v>42</v>
      </c>
      <c r="E796" t="s">
        <v>2389</v>
      </c>
      <c r="F796">
        <v>3</v>
      </c>
      <c r="G796" t="s">
        <v>352</v>
      </c>
      <c r="H796" s="2" t="s">
        <v>27</v>
      </c>
      <c r="I796" t="s">
        <v>2251</v>
      </c>
      <c r="J796" s="2" t="s">
        <v>2524</v>
      </c>
      <c r="L796" s="2" t="s">
        <v>30</v>
      </c>
      <c r="M796" s="2" t="s">
        <v>31</v>
      </c>
      <c r="N796" s="2" t="s">
        <v>32</v>
      </c>
      <c r="O796" s="2" t="s">
        <v>652</v>
      </c>
      <c r="P796" s="2" t="s">
        <v>60</v>
      </c>
      <c r="R796" s="2" t="s">
        <v>206</v>
      </c>
      <c r="T796" s="2" t="s">
        <v>60</v>
      </c>
    </row>
    <row r="797" spans="1:20" x14ac:dyDescent="0.25">
      <c r="A797" t="s">
        <v>3972</v>
      </c>
      <c r="B797" s="4">
        <f t="shared" si="12"/>
        <v>79123</v>
      </c>
      <c r="C797" t="s">
        <v>3973</v>
      </c>
      <c r="D797" t="s">
        <v>42</v>
      </c>
      <c r="E797" t="s">
        <v>2389</v>
      </c>
      <c r="F797">
        <v>3</v>
      </c>
      <c r="G797" t="s">
        <v>26</v>
      </c>
      <c r="H797" s="2" t="s">
        <v>27</v>
      </c>
      <c r="I797" t="s">
        <v>822</v>
      </c>
      <c r="J797" s="2" t="s">
        <v>2524</v>
      </c>
      <c r="L797" s="2" t="s">
        <v>30</v>
      </c>
      <c r="M797" s="2" t="s">
        <v>31</v>
      </c>
      <c r="N797" s="2" t="s">
        <v>32</v>
      </c>
      <c r="O797" s="2" t="s">
        <v>275</v>
      </c>
      <c r="P797" s="2" t="s">
        <v>60</v>
      </c>
      <c r="R797" s="2" t="s">
        <v>206</v>
      </c>
      <c r="T797" s="2" t="s">
        <v>60</v>
      </c>
    </row>
    <row r="798" spans="1:20" x14ac:dyDescent="0.25">
      <c r="A798" t="s">
        <v>3974</v>
      </c>
      <c r="B798" s="4">
        <f t="shared" si="12"/>
        <v>79140</v>
      </c>
      <c r="C798" t="s">
        <v>3975</v>
      </c>
      <c r="D798" t="s">
        <v>42</v>
      </c>
      <c r="E798" t="s">
        <v>142</v>
      </c>
      <c r="F798">
        <v>2</v>
      </c>
      <c r="G798" t="s">
        <v>26</v>
      </c>
      <c r="H798" s="2" t="s">
        <v>27</v>
      </c>
      <c r="I798" t="s">
        <v>2251</v>
      </c>
      <c r="J798" s="2" t="s">
        <v>2468</v>
      </c>
      <c r="L798" s="2" t="s">
        <v>30</v>
      </c>
      <c r="M798" s="2" t="s">
        <v>31</v>
      </c>
      <c r="N798" s="2" t="s">
        <v>32</v>
      </c>
      <c r="O798" s="2" t="s">
        <v>2479</v>
      </c>
      <c r="P798" s="2" t="s">
        <v>34</v>
      </c>
      <c r="Q798" t="s">
        <v>2480</v>
      </c>
      <c r="R798" s="2" t="s">
        <v>2481</v>
      </c>
      <c r="T798" s="2" t="s">
        <v>60</v>
      </c>
    </row>
    <row r="799" spans="1:20" x14ac:dyDescent="0.25">
      <c r="A799" t="s">
        <v>3976</v>
      </c>
      <c r="B799" s="4">
        <f t="shared" si="12"/>
        <v>79141</v>
      </c>
      <c r="C799" t="s">
        <v>3977</v>
      </c>
      <c r="D799" t="s">
        <v>24</v>
      </c>
      <c r="E799" t="s">
        <v>2489</v>
      </c>
      <c r="F799">
        <v>2</v>
      </c>
      <c r="G799" t="s">
        <v>26</v>
      </c>
      <c r="H799" s="2" t="s">
        <v>27</v>
      </c>
      <c r="I799" t="s">
        <v>2251</v>
      </c>
      <c r="J799" s="2" t="s">
        <v>2468</v>
      </c>
      <c r="L799" s="2" t="s">
        <v>30</v>
      </c>
      <c r="M799" s="2" t="s">
        <v>31</v>
      </c>
      <c r="N799" s="2" t="s">
        <v>32</v>
      </c>
      <c r="O799" s="2" t="s">
        <v>214</v>
      </c>
      <c r="P799" s="2" t="s">
        <v>34</v>
      </c>
      <c r="Q799" t="s">
        <v>2488</v>
      </c>
      <c r="R799" s="2" t="s">
        <v>2491</v>
      </c>
      <c r="T799" s="2" t="s">
        <v>60</v>
      </c>
    </row>
    <row r="800" spans="1:20" x14ac:dyDescent="0.25">
      <c r="A800" t="s">
        <v>3978</v>
      </c>
      <c r="B800" s="4">
        <f t="shared" si="12"/>
        <v>79144</v>
      </c>
      <c r="C800" t="s">
        <v>3979</v>
      </c>
      <c r="D800" t="s">
        <v>42</v>
      </c>
      <c r="E800" t="s">
        <v>43</v>
      </c>
      <c r="F800">
        <v>3</v>
      </c>
      <c r="G800" t="s">
        <v>26</v>
      </c>
      <c r="H800" s="2" t="s">
        <v>27</v>
      </c>
      <c r="I800" t="s">
        <v>2251</v>
      </c>
      <c r="J800" s="2" t="s">
        <v>2524</v>
      </c>
      <c r="L800" s="2" t="s">
        <v>30</v>
      </c>
      <c r="M800" s="2" t="s">
        <v>31</v>
      </c>
      <c r="N800" s="2" t="s">
        <v>32</v>
      </c>
      <c r="O800" s="2" t="s">
        <v>92</v>
      </c>
      <c r="P800" s="2" t="s">
        <v>60</v>
      </c>
      <c r="R800" s="2" t="s">
        <v>206</v>
      </c>
      <c r="T800" s="2" t="s">
        <v>60</v>
      </c>
    </row>
    <row r="801" spans="1:20" x14ac:dyDescent="0.25">
      <c r="A801" t="s">
        <v>3980</v>
      </c>
      <c r="B801" s="4">
        <f t="shared" si="12"/>
        <v>79145</v>
      </c>
      <c r="C801" t="s">
        <v>3981</v>
      </c>
      <c r="D801" t="s">
        <v>42</v>
      </c>
      <c r="E801" t="s">
        <v>95</v>
      </c>
      <c r="F801">
        <v>3</v>
      </c>
      <c r="G801" t="s">
        <v>26</v>
      </c>
      <c r="H801" s="2" t="s">
        <v>27</v>
      </c>
      <c r="I801" t="s">
        <v>2251</v>
      </c>
      <c r="J801" s="2" t="s">
        <v>2524</v>
      </c>
      <c r="L801" s="2" t="s">
        <v>30</v>
      </c>
      <c r="M801" s="2" t="s">
        <v>31</v>
      </c>
      <c r="N801" s="2" t="s">
        <v>32</v>
      </c>
      <c r="O801" s="2" t="s">
        <v>92</v>
      </c>
      <c r="P801" s="2" t="s">
        <v>60</v>
      </c>
      <c r="R801" s="2" t="s">
        <v>206</v>
      </c>
      <c r="T801" s="2" t="s">
        <v>60</v>
      </c>
    </row>
    <row r="802" spans="1:20" x14ac:dyDescent="0.25">
      <c r="A802" t="s">
        <v>3982</v>
      </c>
      <c r="B802" s="4">
        <f t="shared" si="12"/>
        <v>79146</v>
      </c>
      <c r="C802" t="s">
        <v>3983</v>
      </c>
      <c r="D802" t="s">
        <v>42</v>
      </c>
      <c r="E802" t="s">
        <v>95</v>
      </c>
      <c r="F802">
        <v>3</v>
      </c>
      <c r="G802" t="s">
        <v>26</v>
      </c>
      <c r="H802" s="2" t="s">
        <v>27</v>
      </c>
      <c r="I802" t="s">
        <v>2251</v>
      </c>
      <c r="J802" s="2" t="s">
        <v>2524</v>
      </c>
      <c r="L802" s="2" t="s">
        <v>30</v>
      </c>
      <c r="M802" s="2" t="s">
        <v>31</v>
      </c>
      <c r="N802" s="2" t="s">
        <v>32</v>
      </c>
      <c r="O802" s="2" t="s">
        <v>79</v>
      </c>
      <c r="P802" s="2" t="s">
        <v>60</v>
      </c>
      <c r="R802" s="2" t="s">
        <v>206</v>
      </c>
      <c r="T802" s="2" t="s">
        <v>60</v>
      </c>
    </row>
    <row r="803" spans="1:20" x14ac:dyDescent="0.25">
      <c r="A803" t="s">
        <v>3984</v>
      </c>
      <c r="B803" s="4">
        <f t="shared" si="12"/>
        <v>79147</v>
      </c>
      <c r="C803" t="s">
        <v>3985</v>
      </c>
      <c r="D803" t="s">
        <v>42</v>
      </c>
      <c r="E803" t="s">
        <v>502</v>
      </c>
      <c r="F803">
        <v>3</v>
      </c>
      <c r="G803" t="s">
        <v>352</v>
      </c>
      <c r="H803" s="2" t="s">
        <v>27</v>
      </c>
      <c r="I803" t="s">
        <v>2251</v>
      </c>
      <c r="J803" s="2" t="s">
        <v>2260</v>
      </c>
      <c r="L803" s="2" t="s">
        <v>30</v>
      </c>
      <c r="M803" s="2" t="s">
        <v>31</v>
      </c>
      <c r="N803" s="2" t="s">
        <v>32</v>
      </c>
      <c r="O803" s="2" t="s">
        <v>79</v>
      </c>
      <c r="P803" s="2" t="s">
        <v>60</v>
      </c>
      <c r="R803" s="2" t="s">
        <v>206</v>
      </c>
      <c r="T803" s="2" t="s">
        <v>60</v>
      </c>
    </row>
    <row r="804" spans="1:20" x14ac:dyDescent="0.25">
      <c r="A804" t="s">
        <v>3986</v>
      </c>
      <c r="B804" s="4">
        <f t="shared" si="12"/>
        <v>79148</v>
      </c>
      <c r="C804" t="s">
        <v>3987</v>
      </c>
      <c r="D804" t="s">
        <v>149</v>
      </c>
      <c r="E804" t="s">
        <v>150</v>
      </c>
      <c r="F804">
        <v>3</v>
      </c>
      <c r="G804" t="s">
        <v>352</v>
      </c>
      <c r="H804" s="2" t="s">
        <v>27</v>
      </c>
      <c r="I804" t="s">
        <v>2251</v>
      </c>
      <c r="J804" s="2" t="s">
        <v>3930</v>
      </c>
      <c r="L804" s="2" t="s">
        <v>30</v>
      </c>
      <c r="M804" s="2" t="s">
        <v>31</v>
      </c>
      <c r="N804" s="2" t="s">
        <v>32</v>
      </c>
      <c r="O804" s="2" t="s">
        <v>152</v>
      </c>
      <c r="P804" s="2" t="s">
        <v>34</v>
      </c>
      <c r="Q804" t="s">
        <v>3988</v>
      </c>
      <c r="R804" s="2" t="s">
        <v>3989</v>
      </c>
      <c r="T804" s="2" t="s">
        <v>60</v>
      </c>
    </row>
    <row r="805" spans="1:20" x14ac:dyDescent="0.25">
      <c r="A805" t="s">
        <v>3990</v>
      </c>
      <c r="B805" s="4">
        <f t="shared" si="12"/>
        <v>79149</v>
      </c>
      <c r="C805" t="s">
        <v>3991</v>
      </c>
      <c r="D805" t="s">
        <v>42</v>
      </c>
      <c r="E805" t="s">
        <v>142</v>
      </c>
      <c r="F805">
        <v>2</v>
      </c>
      <c r="G805" t="s">
        <v>26</v>
      </c>
      <c r="H805" s="2" t="s">
        <v>27</v>
      </c>
      <c r="I805" t="s">
        <v>2251</v>
      </c>
      <c r="J805" s="2" t="s">
        <v>2524</v>
      </c>
      <c r="L805" s="2" t="s">
        <v>30</v>
      </c>
      <c r="M805" s="2" t="s">
        <v>31</v>
      </c>
      <c r="N805" s="2" t="s">
        <v>32</v>
      </c>
      <c r="O805" s="2" t="s">
        <v>652</v>
      </c>
      <c r="P805" s="2" t="s">
        <v>60</v>
      </c>
      <c r="R805" s="2" t="s">
        <v>206</v>
      </c>
      <c r="T805" s="2" t="s">
        <v>60</v>
      </c>
    </row>
    <row r="806" spans="1:20" x14ac:dyDescent="0.25">
      <c r="A806" t="s">
        <v>3992</v>
      </c>
      <c r="B806" s="4">
        <f t="shared" si="12"/>
        <v>79152</v>
      </c>
      <c r="C806" t="s">
        <v>3993</v>
      </c>
      <c r="D806" t="s">
        <v>320</v>
      </c>
      <c r="E806" t="s">
        <v>2996</v>
      </c>
      <c r="F806" t="s">
        <v>187</v>
      </c>
      <c r="G806" t="s">
        <v>26</v>
      </c>
      <c r="H806" s="2" t="s">
        <v>27</v>
      </c>
      <c r="I806" t="s">
        <v>2251</v>
      </c>
      <c r="J806" s="2" t="s">
        <v>2997</v>
      </c>
      <c r="L806" s="2" t="s">
        <v>30</v>
      </c>
      <c r="M806" s="2" t="s">
        <v>31</v>
      </c>
      <c r="N806" s="2" t="s">
        <v>32</v>
      </c>
      <c r="O806" s="2" t="s">
        <v>2998</v>
      </c>
      <c r="P806" s="2" t="s">
        <v>60</v>
      </c>
      <c r="R806" s="2" t="s">
        <v>206</v>
      </c>
      <c r="T806" s="2" t="s">
        <v>60</v>
      </c>
    </row>
    <row r="807" spans="1:20" x14ac:dyDescent="0.25">
      <c r="A807" t="s">
        <v>3994</v>
      </c>
      <c r="B807" s="4">
        <f t="shared" si="12"/>
        <v>79153</v>
      </c>
      <c r="C807" t="s">
        <v>3995</v>
      </c>
      <c r="D807" t="s">
        <v>320</v>
      </c>
      <c r="E807" t="s">
        <v>2996</v>
      </c>
      <c r="F807" t="s">
        <v>187</v>
      </c>
      <c r="G807" t="s">
        <v>352</v>
      </c>
      <c r="H807" s="2" t="s">
        <v>27</v>
      </c>
      <c r="I807" t="s">
        <v>2251</v>
      </c>
      <c r="J807" s="2" t="s">
        <v>2997</v>
      </c>
      <c r="L807" s="2" t="s">
        <v>30</v>
      </c>
      <c r="M807" s="2" t="s">
        <v>31</v>
      </c>
      <c r="N807" s="2" t="s">
        <v>32</v>
      </c>
      <c r="O807" s="2" t="s">
        <v>2998</v>
      </c>
      <c r="P807" s="2" t="s">
        <v>60</v>
      </c>
      <c r="R807" s="2" t="s">
        <v>206</v>
      </c>
      <c r="T807" s="2" t="s">
        <v>60</v>
      </c>
    </row>
    <row r="808" spans="1:20" x14ac:dyDescent="0.25">
      <c r="A808" t="s">
        <v>3996</v>
      </c>
      <c r="B808" s="4">
        <f t="shared" si="12"/>
        <v>79154</v>
      </c>
      <c r="C808" t="s">
        <v>3997</v>
      </c>
      <c r="D808" t="s">
        <v>149</v>
      </c>
      <c r="E808" t="s">
        <v>347</v>
      </c>
      <c r="F808">
        <v>3</v>
      </c>
      <c r="G808" t="s">
        <v>26</v>
      </c>
      <c r="H808" s="2" t="s">
        <v>27</v>
      </c>
      <c r="I808" t="s">
        <v>2251</v>
      </c>
      <c r="J808" s="2" t="s">
        <v>3998</v>
      </c>
      <c r="L808" s="2" t="s">
        <v>30</v>
      </c>
      <c r="M808" s="2" t="s">
        <v>31</v>
      </c>
      <c r="N808" s="2" t="s">
        <v>32</v>
      </c>
      <c r="O808" s="2" t="s">
        <v>160</v>
      </c>
      <c r="P808" s="2" t="s">
        <v>60</v>
      </c>
      <c r="R808" s="2" t="s">
        <v>206</v>
      </c>
      <c r="T808" s="2" t="s">
        <v>60</v>
      </c>
    </row>
    <row r="809" spans="1:20" x14ac:dyDescent="0.25">
      <c r="A809" t="s">
        <v>3999</v>
      </c>
      <c r="B809" s="4">
        <f t="shared" si="12"/>
        <v>79166</v>
      </c>
      <c r="C809" t="s">
        <v>4000</v>
      </c>
      <c r="D809" t="s">
        <v>365</v>
      </c>
      <c r="E809" t="s">
        <v>1387</v>
      </c>
      <c r="F809" t="s">
        <v>367</v>
      </c>
      <c r="G809" t="s">
        <v>352</v>
      </c>
      <c r="H809" s="2" t="s">
        <v>27</v>
      </c>
      <c r="I809" t="s">
        <v>2251</v>
      </c>
      <c r="J809" s="2" t="s">
        <v>3507</v>
      </c>
      <c r="L809" s="2" t="s">
        <v>30</v>
      </c>
      <c r="M809" s="2" t="s">
        <v>31</v>
      </c>
      <c r="N809" s="2" t="s">
        <v>32</v>
      </c>
      <c r="O809" s="2" t="s">
        <v>4001</v>
      </c>
      <c r="P809" s="2" t="s">
        <v>34</v>
      </c>
      <c r="Q809" t="s">
        <v>2079</v>
      </c>
      <c r="R809" s="2" t="s">
        <v>206</v>
      </c>
      <c r="S809" s="2" t="s">
        <v>2080</v>
      </c>
      <c r="T809" s="2" t="s">
        <v>60</v>
      </c>
    </row>
    <row r="810" spans="1:20" x14ac:dyDescent="0.25">
      <c r="A810" t="s">
        <v>4002</v>
      </c>
      <c r="B810" s="4">
        <f t="shared" si="12"/>
        <v>79263</v>
      </c>
      <c r="C810" t="s">
        <v>4003</v>
      </c>
      <c r="D810" t="s">
        <v>53</v>
      </c>
      <c r="E810" t="s">
        <v>1150</v>
      </c>
      <c r="F810">
        <v>2</v>
      </c>
      <c r="G810" t="s">
        <v>26</v>
      </c>
      <c r="H810" s="2" t="s">
        <v>27</v>
      </c>
      <c r="I810" t="s">
        <v>368</v>
      </c>
      <c r="J810" s="2" t="s">
        <v>2311</v>
      </c>
      <c r="L810" s="2" t="s">
        <v>30</v>
      </c>
      <c r="M810" s="2" t="s">
        <v>31</v>
      </c>
      <c r="N810" s="2" t="s">
        <v>32</v>
      </c>
      <c r="O810" s="2" t="s">
        <v>4004</v>
      </c>
      <c r="P810" s="2" t="s">
        <v>34</v>
      </c>
      <c r="Q810" t="s">
        <v>2242</v>
      </c>
      <c r="R810" s="2" t="s">
        <v>2243</v>
      </c>
      <c r="T810" s="2" t="s">
        <v>60</v>
      </c>
    </row>
    <row r="811" spans="1:20" x14ac:dyDescent="0.25">
      <c r="A811" t="s">
        <v>4005</v>
      </c>
      <c r="B811" s="4">
        <f t="shared" si="12"/>
        <v>79501</v>
      </c>
      <c r="C811" t="s">
        <v>4006</v>
      </c>
      <c r="D811" t="s">
        <v>365</v>
      </c>
      <c r="E811" t="s">
        <v>2971</v>
      </c>
      <c r="F811" t="s">
        <v>367</v>
      </c>
      <c r="G811" t="s">
        <v>352</v>
      </c>
      <c r="H811" s="2" t="s">
        <v>27</v>
      </c>
      <c r="I811" t="s">
        <v>4007</v>
      </c>
      <c r="J811" s="2" t="s">
        <v>428</v>
      </c>
      <c r="L811" s="2" t="s">
        <v>30</v>
      </c>
      <c r="M811" s="2" t="s">
        <v>31</v>
      </c>
      <c r="N811" s="2" t="s">
        <v>32</v>
      </c>
      <c r="O811" s="2" t="s">
        <v>2730</v>
      </c>
      <c r="P811" s="2" t="s">
        <v>60</v>
      </c>
      <c r="R811" s="2" t="s">
        <v>206</v>
      </c>
      <c r="T811" s="2" t="s">
        <v>60</v>
      </c>
    </row>
    <row r="812" spans="1:20" x14ac:dyDescent="0.25">
      <c r="A812" t="s">
        <v>4008</v>
      </c>
      <c r="B812" s="4">
        <f t="shared" si="12"/>
        <v>79502</v>
      </c>
      <c r="C812" t="s">
        <v>4009</v>
      </c>
      <c r="D812" t="s">
        <v>365</v>
      </c>
      <c r="E812" t="s">
        <v>738</v>
      </c>
      <c r="F812" t="s">
        <v>187</v>
      </c>
      <c r="G812" t="s">
        <v>352</v>
      </c>
      <c r="H812" s="2" t="s">
        <v>27</v>
      </c>
      <c r="I812" t="s">
        <v>4007</v>
      </c>
      <c r="J812" s="2" t="s">
        <v>428</v>
      </c>
      <c r="L812" s="2" t="s">
        <v>30</v>
      </c>
      <c r="M812" s="2" t="s">
        <v>31</v>
      </c>
      <c r="N812" s="2" t="s">
        <v>32</v>
      </c>
      <c r="O812" s="2" t="s">
        <v>2103</v>
      </c>
      <c r="P812" s="2" t="s">
        <v>60</v>
      </c>
      <c r="R812" s="2" t="s">
        <v>206</v>
      </c>
      <c r="T812" s="2" t="s">
        <v>60</v>
      </c>
    </row>
    <row r="813" spans="1:20" x14ac:dyDescent="0.25">
      <c r="A813" t="s">
        <v>4010</v>
      </c>
      <c r="B813" s="4">
        <f t="shared" si="12"/>
        <v>79503</v>
      </c>
      <c r="C813" t="s">
        <v>4011</v>
      </c>
      <c r="D813" t="s">
        <v>185</v>
      </c>
      <c r="E813" t="s">
        <v>679</v>
      </c>
      <c r="F813" t="s">
        <v>680</v>
      </c>
      <c r="G813" t="s">
        <v>352</v>
      </c>
      <c r="H813" s="2" t="s">
        <v>27</v>
      </c>
      <c r="I813" t="s">
        <v>4007</v>
      </c>
      <c r="J813" s="2" t="s">
        <v>428</v>
      </c>
      <c r="L813" s="2" t="s">
        <v>30</v>
      </c>
      <c r="M813" s="2" t="s">
        <v>31</v>
      </c>
      <c r="N813" s="2" t="s">
        <v>32</v>
      </c>
      <c r="O813" s="2" t="s">
        <v>381</v>
      </c>
      <c r="P813" s="2" t="s">
        <v>60</v>
      </c>
      <c r="R813" s="2" t="s">
        <v>206</v>
      </c>
      <c r="T813" s="2" t="s">
        <v>60</v>
      </c>
    </row>
    <row r="814" spans="1:20" x14ac:dyDescent="0.25">
      <c r="A814" t="s">
        <v>4012</v>
      </c>
      <c r="B814" s="4">
        <f t="shared" si="12"/>
        <v>79504</v>
      </c>
      <c r="C814" t="s">
        <v>4013</v>
      </c>
      <c r="D814" t="s">
        <v>185</v>
      </c>
      <c r="E814" t="s">
        <v>1124</v>
      </c>
      <c r="F814" t="s">
        <v>543</v>
      </c>
      <c r="G814" t="s">
        <v>352</v>
      </c>
      <c r="H814" s="2" t="s">
        <v>27</v>
      </c>
      <c r="I814" t="s">
        <v>4007</v>
      </c>
      <c r="J814" s="2" t="s">
        <v>428</v>
      </c>
      <c r="L814" s="2" t="s">
        <v>30</v>
      </c>
      <c r="M814" s="2" t="s">
        <v>31</v>
      </c>
      <c r="N814" s="2" t="s">
        <v>32</v>
      </c>
      <c r="O814" s="2" t="s">
        <v>4014</v>
      </c>
      <c r="P814" s="2" t="s">
        <v>60</v>
      </c>
      <c r="R814" s="2" t="s">
        <v>206</v>
      </c>
      <c r="T814" s="2" t="s">
        <v>60</v>
      </c>
    </row>
    <row r="815" spans="1:20" x14ac:dyDescent="0.25">
      <c r="A815" t="s">
        <v>4015</v>
      </c>
      <c r="B815" s="4">
        <f t="shared" si="12"/>
        <v>79505</v>
      </c>
      <c r="C815" t="s">
        <v>4016</v>
      </c>
      <c r="D815" t="s">
        <v>320</v>
      </c>
      <c r="E815" t="s">
        <v>2101</v>
      </c>
      <c r="F815">
        <v>1</v>
      </c>
      <c r="G815" t="s">
        <v>352</v>
      </c>
      <c r="H815" s="2" t="s">
        <v>27</v>
      </c>
      <c r="I815" t="s">
        <v>4007</v>
      </c>
      <c r="J815" s="2" t="s">
        <v>428</v>
      </c>
      <c r="L815" s="2" t="s">
        <v>30</v>
      </c>
      <c r="M815" s="2" t="s">
        <v>31</v>
      </c>
      <c r="N815" s="2" t="s">
        <v>32</v>
      </c>
      <c r="O815" s="2" t="s">
        <v>4017</v>
      </c>
      <c r="P815" s="2" t="s">
        <v>60</v>
      </c>
      <c r="R815" s="2" t="s">
        <v>206</v>
      </c>
      <c r="T815" s="2" t="s">
        <v>60</v>
      </c>
    </row>
    <row r="816" spans="1:20" x14ac:dyDescent="0.25">
      <c r="A816" t="s">
        <v>4018</v>
      </c>
      <c r="B816" s="4">
        <f t="shared" si="12"/>
        <v>79506</v>
      </c>
      <c r="C816" t="s">
        <v>4019</v>
      </c>
      <c r="D816" t="s">
        <v>279</v>
      </c>
      <c r="E816" t="s">
        <v>405</v>
      </c>
      <c r="F816">
        <v>1</v>
      </c>
      <c r="G816" t="s">
        <v>352</v>
      </c>
      <c r="H816" s="2" t="s">
        <v>27</v>
      </c>
      <c r="I816" t="s">
        <v>4007</v>
      </c>
      <c r="J816" s="2" t="s">
        <v>428</v>
      </c>
      <c r="L816" s="2" t="s">
        <v>30</v>
      </c>
      <c r="M816" s="2" t="s">
        <v>31</v>
      </c>
      <c r="N816" s="2" t="s">
        <v>32</v>
      </c>
      <c r="O816" s="2" t="s">
        <v>323</v>
      </c>
      <c r="P816" s="2" t="s">
        <v>60</v>
      </c>
      <c r="R816" s="2" t="s">
        <v>206</v>
      </c>
      <c r="T816" s="2" t="s">
        <v>60</v>
      </c>
    </row>
    <row r="817" spans="1:20" x14ac:dyDescent="0.25">
      <c r="A817" t="s">
        <v>4020</v>
      </c>
      <c r="B817" s="4">
        <f t="shared" si="12"/>
        <v>79507</v>
      </c>
      <c r="C817" t="s">
        <v>4021</v>
      </c>
      <c r="D817" t="s">
        <v>24</v>
      </c>
      <c r="E817" t="s">
        <v>263</v>
      </c>
      <c r="F817">
        <v>2</v>
      </c>
      <c r="G817" t="s">
        <v>352</v>
      </c>
      <c r="H817" s="2" t="s">
        <v>27</v>
      </c>
      <c r="I817" t="s">
        <v>4007</v>
      </c>
      <c r="J817" s="2" t="s">
        <v>428</v>
      </c>
      <c r="L817" s="2" t="s">
        <v>30</v>
      </c>
      <c r="M817" s="2" t="s">
        <v>31</v>
      </c>
      <c r="N817" s="2" t="s">
        <v>32</v>
      </c>
      <c r="O817" s="2" t="s">
        <v>4022</v>
      </c>
      <c r="P817" s="2" t="s">
        <v>60</v>
      </c>
      <c r="R817" s="2" t="s">
        <v>206</v>
      </c>
      <c r="T817" s="2" t="s">
        <v>60</v>
      </c>
    </row>
    <row r="818" spans="1:20" x14ac:dyDescent="0.25">
      <c r="A818" t="s">
        <v>4023</v>
      </c>
      <c r="B818" s="4">
        <f t="shared" si="12"/>
        <v>79508</v>
      </c>
      <c r="C818" t="s">
        <v>4024</v>
      </c>
      <c r="D818" t="s">
        <v>42</v>
      </c>
      <c r="E818" t="s">
        <v>517</v>
      </c>
      <c r="F818">
        <v>2</v>
      </c>
      <c r="G818" t="s">
        <v>352</v>
      </c>
      <c r="H818" s="2" t="s">
        <v>27</v>
      </c>
      <c r="I818" t="s">
        <v>4007</v>
      </c>
      <c r="J818" s="2" t="s">
        <v>428</v>
      </c>
      <c r="L818" s="2" t="s">
        <v>30</v>
      </c>
      <c r="M818" s="2" t="s">
        <v>31</v>
      </c>
      <c r="N818" s="2" t="s">
        <v>32</v>
      </c>
      <c r="O818" s="2" t="s">
        <v>4025</v>
      </c>
      <c r="P818" s="2" t="s">
        <v>60</v>
      </c>
      <c r="R818" s="2" t="s">
        <v>206</v>
      </c>
      <c r="T818" s="2" t="s">
        <v>60</v>
      </c>
    </row>
    <row r="819" spans="1:20" x14ac:dyDescent="0.25">
      <c r="A819" t="s">
        <v>4026</v>
      </c>
      <c r="B819" s="4">
        <f t="shared" si="12"/>
        <v>79509</v>
      </c>
      <c r="C819" t="s">
        <v>4027</v>
      </c>
      <c r="D819" t="s">
        <v>42</v>
      </c>
      <c r="E819" t="s">
        <v>2909</v>
      </c>
      <c r="F819">
        <v>3</v>
      </c>
      <c r="G819" t="s">
        <v>352</v>
      </c>
      <c r="H819" s="2" t="s">
        <v>27</v>
      </c>
      <c r="I819" t="s">
        <v>4007</v>
      </c>
      <c r="J819" s="2" t="s">
        <v>428</v>
      </c>
      <c r="L819" s="2" t="s">
        <v>30</v>
      </c>
      <c r="M819" s="2" t="s">
        <v>31</v>
      </c>
      <c r="N819" s="2" t="s">
        <v>32</v>
      </c>
      <c r="O819" s="2" t="s">
        <v>3040</v>
      </c>
      <c r="P819" s="2" t="s">
        <v>60</v>
      </c>
      <c r="R819" s="2" t="s">
        <v>206</v>
      </c>
      <c r="T819" s="2" t="s">
        <v>60</v>
      </c>
    </row>
    <row r="820" spans="1:20" x14ac:dyDescent="0.25">
      <c r="A820" t="s">
        <v>4028</v>
      </c>
      <c r="B820" s="4">
        <f t="shared" si="12"/>
        <v>79511</v>
      </c>
      <c r="C820" t="s">
        <v>4029</v>
      </c>
      <c r="D820" t="s">
        <v>103</v>
      </c>
      <c r="E820" t="s">
        <v>238</v>
      </c>
      <c r="F820">
        <v>1</v>
      </c>
      <c r="G820" t="s">
        <v>26</v>
      </c>
      <c r="H820" s="2" t="s">
        <v>27</v>
      </c>
      <c r="I820" t="s">
        <v>1169</v>
      </c>
      <c r="J820" s="2" t="s">
        <v>428</v>
      </c>
      <c r="L820" s="2" t="s">
        <v>30</v>
      </c>
      <c r="M820" s="2" t="s">
        <v>31</v>
      </c>
      <c r="N820" s="2" t="s">
        <v>32</v>
      </c>
      <c r="O820" s="2" t="s">
        <v>323</v>
      </c>
      <c r="P820" s="2" t="s">
        <v>60</v>
      </c>
      <c r="R820" s="2" t="s">
        <v>206</v>
      </c>
      <c r="T820" s="2" t="s">
        <v>60</v>
      </c>
    </row>
    <row r="821" spans="1:20" x14ac:dyDescent="0.25">
      <c r="A821" t="s">
        <v>4030</v>
      </c>
      <c r="B821" s="4">
        <f t="shared" si="12"/>
        <v>79512</v>
      </c>
      <c r="C821" t="s">
        <v>4031</v>
      </c>
      <c r="D821" t="s">
        <v>42</v>
      </c>
      <c r="E821" t="s">
        <v>517</v>
      </c>
      <c r="F821">
        <v>2</v>
      </c>
      <c r="G821" t="s">
        <v>26</v>
      </c>
      <c r="H821" s="2" t="s">
        <v>27</v>
      </c>
      <c r="I821" t="s">
        <v>1169</v>
      </c>
      <c r="J821" s="2" t="s">
        <v>428</v>
      </c>
      <c r="L821" s="2" t="s">
        <v>30</v>
      </c>
      <c r="M821" s="2" t="s">
        <v>31</v>
      </c>
      <c r="N821" s="2" t="s">
        <v>32</v>
      </c>
      <c r="O821" s="2" t="s">
        <v>571</v>
      </c>
      <c r="P821" s="2" t="s">
        <v>60</v>
      </c>
      <c r="R821" s="2" t="s">
        <v>206</v>
      </c>
      <c r="T821" s="2" t="s">
        <v>60</v>
      </c>
    </row>
    <row r="822" spans="1:20" x14ac:dyDescent="0.25">
      <c r="A822" t="s">
        <v>4032</v>
      </c>
      <c r="B822" s="4">
        <f t="shared" si="12"/>
        <v>79513</v>
      </c>
      <c r="C822" t="s">
        <v>4033</v>
      </c>
      <c r="D822" t="s">
        <v>42</v>
      </c>
      <c r="E822" t="s">
        <v>474</v>
      </c>
      <c r="F822">
        <v>3</v>
      </c>
      <c r="G822" t="s">
        <v>26</v>
      </c>
      <c r="H822" s="2" t="s">
        <v>27</v>
      </c>
      <c r="I822" t="s">
        <v>1169</v>
      </c>
      <c r="J822" s="2" t="s">
        <v>428</v>
      </c>
      <c r="L822" s="2" t="s">
        <v>30</v>
      </c>
      <c r="M822" s="2" t="s">
        <v>31</v>
      </c>
      <c r="N822" s="2" t="s">
        <v>32</v>
      </c>
      <c r="O822" s="2" t="s">
        <v>652</v>
      </c>
      <c r="P822" s="2" t="s">
        <v>60</v>
      </c>
      <c r="R822" s="2" t="s">
        <v>206</v>
      </c>
      <c r="T822" s="2" t="s">
        <v>60</v>
      </c>
    </row>
    <row r="823" spans="1:20" x14ac:dyDescent="0.25">
      <c r="A823" t="s">
        <v>4034</v>
      </c>
      <c r="B823" s="4">
        <f t="shared" si="12"/>
        <v>79514</v>
      </c>
      <c r="C823" t="s">
        <v>4035</v>
      </c>
      <c r="D823" t="s">
        <v>42</v>
      </c>
      <c r="E823" t="s">
        <v>474</v>
      </c>
      <c r="F823">
        <v>3</v>
      </c>
      <c r="G823" t="s">
        <v>26</v>
      </c>
      <c r="H823" s="2" t="s">
        <v>27</v>
      </c>
      <c r="I823" t="s">
        <v>4036</v>
      </c>
      <c r="J823" s="2" t="s">
        <v>428</v>
      </c>
      <c r="L823" s="2" t="s">
        <v>30</v>
      </c>
      <c r="M823" s="2" t="s">
        <v>31</v>
      </c>
      <c r="N823" s="2" t="s">
        <v>32</v>
      </c>
      <c r="O823" s="2" t="s">
        <v>652</v>
      </c>
      <c r="P823" s="2" t="s">
        <v>60</v>
      </c>
      <c r="R823" s="2" t="s">
        <v>206</v>
      </c>
      <c r="T823" s="2" t="s">
        <v>60</v>
      </c>
    </row>
    <row r="824" spans="1:20" x14ac:dyDescent="0.25">
      <c r="A824" t="s">
        <v>4037</v>
      </c>
      <c r="B824" s="4">
        <f t="shared" si="12"/>
        <v>79515</v>
      </c>
      <c r="C824" t="s">
        <v>4038</v>
      </c>
      <c r="D824" t="s">
        <v>42</v>
      </c>
      <c r="E824" t="s">
        <v>517</v>
      </c>
      <c r="F824">
        <v>2</v>
      </c>
      <c r="G824" t="s">
        <v>26</v>
      </c>
      <c r="H824" s="2" t="s">
        <v>27</v>
      </c>
      <c r="I824" t="s">
        <v>1169</v>
      </c>
      <c r="J824" s="2" t="s">
        <v>428</v>
      </c>
      <c r="L824" s="2" t="s">
        <v>30</v>
      </c>
      <c r="M824" s="2" t="s">
        <v>31</v>
      </c>
      <c r="N824" s="2" t="s">
        <v>32</v>
      </c>
      <c r="O824" s="2" t="s">
        <v>3040</v>
      </c>
      <c r="P824" s="2" t="s">
        <v>60</v>
      </c>
      <c r="R824" s="2" t="s">
        <v>206</v>
      </c>
      <c r="T824" s="2" t="s">
        <v>60</v>
      </c>
    </row>
    <row r="825" spans="1:20" x14ac:dyDescent="0.25">
      <c r="A825" t="s">
        <v>4039</v>
      </c>
      <c r="B825" s="4">
        <f t="shared" si="12"/>
        <v>79516</v>
      </c>
      <c r="C825" t="s">
        <v>4040</v>
      </c>
      <c r="D825" t="s">
        <v>24</v>
      </c>
      <c r="E825" t="s">
        <v>113</v>
      </c>
      <c r="F825">
        <v>2</v>
      </c>
      <c r="G825" t="s">
        <v>352</v>
      </c>
      <c r="H825" s="2" t="s">
        <v>27</v>
      </c>
      <c r="I825" t="s">
        <v>2251</v>
      </c>
      <c r="J825" s="2" t="s">
        <v>428</v>
      </c>
      <c r="L825" s="2" t="s">
        <v>30</v>
      </c>
      <c r="M825" s="2" t="s">
        <v>31</v>
      </c>
      <c r="N825" s="2" t="s">
        <v>32</v>
      </c>
      <c r="O825" s="2" t="s">
        <v>115</v>
      </c>
      <c r="P825" s="2" t="s">
        <v>60</v>
      </c>
      <c r="R825" s="2" t="s">
        <v>206</v>
      </c>
      <c r="T825" s="2" t="s">
        <v>60</v>
      </c>
    </row>
    <row r="826" spans="1:20" x14ac:dyDescent="0.25">
      <c r="A826" t="s">
        <v>4041</v>
      </c>
      <c r="B826" s="4">
        <f t="shared" si="12"/>
        <v>79517</v>
      </c>
      <c r="C826" t="s">
        <v>4042</v>
      </c>
      <c r="D826" t="s">
        <v>279</v>
      </c>
      <c r="E826" t="s">
        <v>405</v>
      </c>
      <c r="F826">
        <v>1</v>
      </c>
      <c r="G826" t="s">
        <v>352</v>
      </c>
      <c r="H826" s="2" t="s">
        <v>27</v>
      </c>
      <c r="I826" t="s">
        <v>2251</v>
      </c>
      <c r="J826" s="2" t="s">
        <v>428</v>
      </c>
      <c r="L826" s="2" t="s">
        <v>30</v>
      </c>
      <c r="M826" s="2" t="s">
        <v>31</v>
      </c>
      <c r="N826" s="2" t="s">
        <v>32</v>
      </c>
      <c r="O826" s="2" t="s">
        <v>323</v>
      </c>
      <c r="P826" s="2" t="s">
        <v>60</v>
      </c>
      <c r="R826" s="2" t="s">
        <v>206</v>
      </c>
      <c r="T826" s="2" t="s">
        <v>60</v>
      </c>
    </row>
    <row r="827" spans="1:20" x14ac:dyDescent="0.25">
      <c r="A827" t="s">
        <v>4043</v>
      </c>
      <c r="B827" s="4">
        <f t="shared" si="12"/>
        <v>79518</v>
      </c>
      <c r="C827" t="s">
        <v>4044</v>
      </c>
      <c r="D827" t="s">
        <v>42</v>
      </c>
      <c r="E827" t="s">
        <v>830</v>
      </c>
      <c r="F827">
        <v>3</v>
      </c>
      <c r="G827" t="s">
        <v>26</v>
      </c>
      <c r="H827" s="2" t="s">
        <v>27</v>
      </c>
      <c r="I827" t="s">
        <v>1169</v>
      </c>
      <c r="J827" s="2" t="s">
        <v>428</v>
      </c>
      <c r="L827" s="2" t="s">
        <v>30</v>
      </c>
      <c r="M827" s="2" t="s">
        <v>31</v>
      </c>
      <c r="N827" s="2" t="s">
        <v>32</v>
      </c>
      <c r="O827" s="2" t="s">
        <v>2756</v>
      </c>
      <c r="P827" s="2" t="s">
        <v>60</v>
      </c>
      <c r="R827" s="2" t="s">
        <v>206</v>
      </c>
      <c r="T827" s="2" t="s">
        <v>60</v>
      </c>
    </row>
    <row r="828" spans="1:20" x14ac:dyDescent="0.25">
      <c r="A828" t="s">
        <v>4045</v>
      </c>
      <c r="B828" s="4">
        <f t="shared" si="12"/>
        <v>79519</v>
      </c>
      <c r="C828" t="s">
        <v>4046</v>
      </c>
      <c r="D828" t="s">
        <v>185</v>
      </c>
      <c r="E828" t="s">
        <v>909</v>
      </c>
      <c r="F828" t="s">
        <v>543</v>
      </c>
      <c r="G828" t="s">
        <v>26</v>
      </c>
      <c r="H828" s="2" t="s">
        <v>373</v>
      </c>
      <c r="I828" t="s">
        <v>2251</v>
      </c>
      <c r="K828" s="2" t="s">
        <v>3341</v>
      </c>
      <c r="L828" s="2" t="s">
        <v>30</v>
      </c>
      <c r="M828" s="2" t="s">
        <v>31</v>
      </c>
      <c r="N828" s="2" t="s">
        <v>32</v>
      </c>
      <c r="O828" s="2" t="s">
        <v>911</v>
      </c>
      <c r="P828" s="2" t="s">
        <v>34</v>
      </c>
      <c r="Q828" t="s">
        <v>912</v>
      </c>
      <c r="R828" s="2" t="s">
        <v>206</v>
      </c>
      <c r="S828" s="2" t="s">
        <v>913</v>
      </c>
      <c r="T828" s="2" t="s">
        <v>60</v>
      </c>
    </row>
    <row r="829" spans="1:20" x14ac:dyDescent="0.25">
      <c r="A829" t="s">
        <v>4047</v>
      </c>
      <c r="B829" s="4">
        <f t="shared" si="12"/>
        <v>79524</v>
      </c>
      <c r="C829" t="s">
        <v>4048</v>
      </c>
      <c r="D829" t="s">
        <v>279</v>
      </c>
      <c r="E829" t="s">
        <v>405</v>
      </c>
      <c r="F829">
        <v>1</v>
      </c>
      <c r="G829" t="s">
        <v>26</v>
      </c>
      <c r="H829" s="2" t="s">
        <v>27</v>
      </c>
      <c r="I829" t="s">
        <v>2251</v>
      </c>
      <c r="J829" s="2" t="s">
        <v>4049</v>
      </c>
      <c r="L829" s="2" t="s">
        <v>30</v>
      </c>
      <c r="M829" s="2" t="s">
        <v>31</v>
      </c>
      <c r="N829" s="2" t="s">
        <v>32</v>
      </c>
      <c r="O829" s="2" t="s">
        <v>323</v>
      </c>
      <c r="P829" s="2" t="s">
        <v>60</v>
      </c>
      <c r="R829" s="2" t="s">
        <v>206</v>
      </c>
      <c r="T829" s="2" t="s">
        <v>60</v>
      </c>
    </row>
    <row r="830" spans="1:20" x14ac:dyDescent="0.25">
      <c r="A830" t="s">
        <v>4050</v>
      </c>
      <c r="B830" s="4">
        <f t="shared" si="12"/>
        <v>79540</v>
      </c>
      <c r="C830" t="s">
        <v>4051</v>
      </c>
      <c r="D830" t="s">
        <v>365</v>
      </c>
      <c r="E830" t="s">
        <v>2659</v>
      </c>
      <c r="F830" t="s">
        <v>4052</v>
      </c>
      <c r="G830" t="s">
        <v>3564</v>
      </c>
      <c r="H830" s="2" t="s">
        <v>27</v>
      </c>
      <c r="I830" t="s">
        <v>2251</v>
      </c>
      <c r="J830" s="2" t="s">
        <v>428</v>
      </c>
      <c r="L830" s="2" t="s">
        <v>30</v>
      </c>
      <c r="M830" s="2" t="s">
        <v>31</v>
      </c>
      <c r="N830" s="2" t="s">
        <v>32</v>
      </c>
      <c r="O830" s="2" t="s">
        <v>4053</v>
      </c>
      <c r="P830" s="2" t="s">
        <v>60</v>
      </c>
      <c r="R830" s="2" t="s">
        <v>206</v>
      </c>
      <c r="T830" s="2" t="s">
        <v>60</v>
      </c>
    </row>
    <row r="831" spans="1:20" x14ac:dyDescent="0.25">
      <c r="A831" t="s">
        <v>4054</v>
      </c>
      <c r="B831" s="4">
        <f t="shared" si="12"/>
        <v>79541</v>
      </c>
      <c r="C831" t="s">
        <v>4055</v>
      </c>
      <c r="D831" t="s">
        <v>365</v>
      </c>
      <c r="E831" t="s">
        <v>2971</v>
      </c>
      <c r="F831" t="s">
        <v>4052</v>
      </c>
      <c r="G831" t="s">
        <v>3564</v>
      </c>
      <c r="H831" s="2" t="s">
        <v>27</v>
      </c>
      <c r="I831" t="s">
        <v>2251</v>
      </c>
      <c r="J831" s="2" t="s">
        <v>428</v>
      </c>
      <c r="L831" s="2" t="s">
        <v>30</v>
      </c>
      <c r="M831" s="2" t="s">
        <v>31</v>
      </c>
      <c r="N831" s="2" t="s">
        <v>32</v>
      </c>
      <c r="O831" s="2" t="s">
        <v>2730</v>
      </c>
      <c r="P831" s="2" t="s">
        <v>60</v>
      </c>
      <c r="R831" s="2" t="s">
        <v>206</v>
      </c>
      <c r="T831" s="2" t="s">
        <v>60</v>
      </c>
    </row>
    <row r="832" spans="1:20" x14ac:dyDescent="0.25">
      <c r="A832" t="s">
        <v>4056</v>
      </c>
      <c r="B832" s="4">
        <f t="shared" si="12"/>
        <v>79542</v>
      </c>
      <c r="C832" t="s">
        <v>4057</v>
      </c>
      <c r="D832" t="s">
        <v>185</v>
      </c>
      <c r="E832" t="s">
        <v>2791</v>
      </c>
      <c r="F832" t="s">
        <v>4052</v>
      </c>
      <c r="G832" t="s">
        <v>3564</v>
      </c>
      <c r="H832" s="2" t="s">
        <v>27</v>
      </c>
      <c r="I832" t="s">
        <v>2251</v>
      </c>
      <c r="J832" s="2" t="s">
        <v>428</v>
      </c>
      <c r="L832" s="2" t="s">
        <v>30</v>
      </c>
      <c r="M832" s="2" t="s">
        <v>31</v>
      </c>
      <c r="N832" s="2" t="s">
        <v>32</v>
      </c>
      <c r="O832" s="2" t="s">
        <v>381</v>
      </c>
      <c r="P832" s="2" t="s">
        <v>60</v>
      </c>
      <c r="R832" s="2" t="s">
        <v>206</v>
      </c>
      <c r="T832" s="2" t="s">
        <v>60</v>
      </c>
    </row>
    <row r="833" spans="1:23" x14ac:dyDescent="0.25">
      <c r="A833" t="s">
        <v>4058</v>
      </c>
      <c r="B833" s="4">
        <f t="shared" si="12"/>
        <v>79543</v>
      </c>
      <c r="C833" t="s">
        <v>4059</v>
      </c>
      <c r="D833" t="s">
        <v>279</v>
      </c>
      <c r="E833" t="s">
        <v>405</v>
      </c>
      <c r="F833" t="s">
        <v>4052</v>
      </c>
      <c r="G833" t="s">
        <v>3564</v>
      </c>
      <c r="H833" s="2" t="s">
        <v>27</v>
      </c>
      <c r="I833" t="s">
        <v>2251</v>
      </c>
      <c r="J833" s="2" t="s">
        <v>428</v>
      </c>
      <c r="L833" s="2" t="s">
        <v>30</v>
      </c>
      <c r="M833" s="2" t="s">
        <v>31</v>
      </c>
      <c r="N833" s="2" t="s">
        <v>32</v>
      </c>
      <c r="O833" s="2" t="s">
        <v>4014</v>
      </c>
      <c r="P833" s="2" t="s">
        <v>60</v>
      </c>
      <c r="R833" s="2" t="s">
        <v>206</v>
      </c>
      <c r="T833" s="2" t="s">
        <v>60</v>
      </c>
    </row>
    <row r="834" spans="1:23" x14ac:dyDescent="0.25">
      <c r="A834" t="s">
        <v>4060</v>
      </c>
      <c r="B834" s="4">
        <f t="shared" si="12"/>
        <v>79544</v>
      </c>
      <c r="C834" t="s">
        <v>4061</v>
      </c>
      <c r="D834" t="s">
        <v>320</v>
      </c>
      <c r="E834" t="s">
        <v>2101</v>
      </c>
      <c r="F834" t="s">
        <v>4052</v>
      </c>
      <c r="G834" t="s">
        <v>3564</v>
      </c>
      <c r="H834" s="2" t="s">
        <v>27</v>
      </c>
      <c r="I834" t="s">
        <v>2251</v>
      </c>
      <c r="J834" s="2" t="s">
        <v>428</v>
      </c>
      <c r="L834" s="2" t="s">
        <v>30</v>
      </c>
      <c r="M834" s="2" t="s">
        <v>31</v>
      </c>
      <c r="N834" s="2" t="s">
        <v>32</v>
      </c>
      <c r="O834" s="2" t="s">
        <v>323</v>
      </c>
      <c r="P834" s="2" t="s">
        <v>60</v>
      </c>
      <c r="R834" s="2" t="s">
        <v>206</v>
      </c>
      <c r="T834" s="2" t="s">
        <v>60</v>
      </c>
    </row>
    <row r="835" spans="1:23" x14ac:dyDescent="0.25">
      <c r="A835" t="s">
        <v>4062</v>
      </c>
      <c r="B835" s="4">
        <f t="shared" ref="B835:B898" si="13">REPLACE(A835, 1, 1, "")+0</f>
        <v>79545</v>
      </c>
      <c r="C835" t="s">
        <v>4063</v>
      </c>
      <c r="D835" t="s">
        <v>297</v>
      </c>
      <c r="E835" t="s">
        <v>335</v>
      </c>
      <c r="F835" t="s">
        <v>4052</v>
      </c>
      <c r="G835" t="s">
        <v>3564</v>
      </c>
      <c r="H835" s="2" t="s">
        <v>27</v>
      </c>
      <c r="I835" t="s">
        <v>2251</v>
      </c>
      <c r="J835" s="2" t="s">
        <v>428</v>
      </c>
      <c r="L835" s="2" t="s">
        <v>30</v>
      </c>
      <c r="M835" s="2" t="s">
        <v>31</v>
      </c>
      <c r="N835" s="2" t="s">
        <v>32</v>
      </c>
      <c r="O835" s="2" t="s">
        <v>571</v>
      </c>
      <c r="P835" s="2" t="s">
        <v>60</v>
      </c>
      <c r="R835" s="2" t="s">
        <v>206</v>
      </c>
      <c r="T835" s="2" t="s">
        <v>60</v>
      </c>
    </row>
    <row r="836" spans="1:23" x14ac:dyDescent="0.25">
      <c r="A836" t="s">
        <v>4064</v>
      </c>
      <c r="B836" s="4">
        <f t="shared" si="13"/>
        <v>79546</v>
      </c>
      <c r="C836" t="s">
        <v>4065</v>
      </c>
      <c r="D836" t="s">
        <v>103</v>
      </c>
      <c r="E836" t="s">
        <v>238</v>
      </c>
      <c r="F836" t="s">
        <v>4052</v>
      </c>
      <c r="G836" t="s">
        <v>3564</v>
      </c>
      <c r="H836" s="2" t="s">
        <v>27</v>
      </c>
      <c r="I836" t="s">
        <v>2251</v>
      </c>
      <c r="J836" s="2" t="s">
        <v>428</v>
      </c>
      <c r="L836" s="2" t="s">
        <v>30</v>
      </c>
      <c r="M836" s="2" t="s">
        <v>31</v>
      </c>
      <c r="N836" s="2" t="s">
        <v>32</v>
      </c>
      <c r="O836" s="2" t="s">
        <v>571</v>
      </c>
      <c r="P836" s="2" t="s">
        <v>60</v>
      </c>
      <c r="R836" s="2" t="s">
        <v>206</v>
      </c>
      <c r="T836" s="2" t="s">
        <v>60</v>
      </c>
    </row>
    <row r="837" spans="1:23" x14ac:dyDescent="0.25">
      <c r="A837" t="s">
        <v>4066</v>
      </c>
      <c r="B837" s="4">
        <f t="shared" si="13"/>
        <v>79547</v>
      </c>
      <c r="C837" t="s">
        <v>4067</v>
      </c>
      <c r="D837" t="s">
        <v>42</v>
      </c>
      <c r="E837" t="s">
        <v>517</v>
      </c>
      <c r="F837" t="s">
        <v>4052</v>
      </c>
      <c r="G837" t="s">
        <v>3564</v>
      </c>
      <c r="H837" s="2" t="s">
        <v>27</v>
      </c>
      <c r="I837" t="s">
        <v>2251</v>
      </c>
      <c r="J837" s="2" t="s">
        <v>428</v>
      </c>
      <c r="L837" s="2" t="s">
        <v>30</v>
      </c>
      <c r="M837" s="2" t="s">
        <v>31</v>
      </c>
      <c r="N837" s="2" t="s">
        <v>32</v>
      </c>
      <c r="O837" s="2" t="s">
        <v>3040</v>
      </c>
      <c r="P837" s="2" t="s">
        <v>60</v>
      </c>
      <c r="R837" s="2" t="s">
        <v>206</v>
      </c>
      <c r="T837" s="2" t="s">
        <v>60</v>
      </c>
    </row>
    <row r="838" spans="1:23" x14ac:dyDescent="0.25">
      <c r="A838" t="s">
        <v>4068</v>
      </c>
      <c r="B838" s="4">
        <f t="shared" si="13"/>
        <v>79550</v>
      </c>
      <c r="C838" t="s">
        <v>4069</v>
      </c>
      <c r="D838" t="s">
        <v>42</v>
      </c>
      <c r="E838" t="s">
        <v>517</v>
      </c>
      <c r="F838">
        <v>2</v>
      </c>
      <c r="G838" t="s">
        <v>26</v>
      </c>
      <c r="H838" s="2" t="s">
        <v>27</v>
      </c>
      <c r="I838" t="s">
        <v>1169</v>
      </c>
      <c r="J838" s="2" t="s">
        <v>428</v>
      </c>
      <c r="L838" s="2" t="s">
        <v>30</v>
      </c>
      <c r="M838" s="2" t="s">
        <v>31</v>
      </c>
      <c r="N838" s="2" t="s">
        <v>32</v>
      </c>
      <c r="O838" s="2" t="s">
        <v>3040</v>
      </c>
      <c r="P838" s="2" t="s">
        <v>34</v>
      </c>
      <c r="Q838" t="s">
        <v>35</v>
      </c>
      <c r="R838" s="2" t="s">
        <v>36</v>
      </c>
      <c r="T838" s="2" t="s">
        <v>34</v>
      </c>
      <c r="U838" s="2" t="s">
        <v>37</v>
      </c>
      <c r="V838" s="2" t="s">
        <v>1172</v>
      </c>
      <c r="W838" t="s">
        <v>1173</v>
      </c>
    </row>
    <row r="839" spans="1:23" x14ac:dyDescent="0.25">
      <c r="A839" t="s">
        <v>4070</v>
      </c>
      <c r="B839" s="4">
        <f t="shared" si="13"/>
        <v>79551</v>
      </c>
      <c r="C839" t="s">
        <v>4071</v>
      </c>
      <c r="D839" t="s">
        <v>103</v>
      </c>
      <c r="E839" t="s">
        <v>238</v>
      </c>
      <c r="F839">
        <v>1</v>
      </c>
      <c r="G839" t="s">
        <v>26</v>
      </c>
      <c r="H839" s="2" t="s">
        <v>27</v>
      </c>
      <c r="I839" t="s">
        <v>1169</v>
      </c>
      <c r="J839" s="2" t="s">
        <v>428</v>
      </c>
      <c r="L839" s="2" t="s">
        <v>30</v>
      </c>
      <c r="M839" s="2" t="s">
        <v>31</v>
      </c>
      <c r="N839" s="2" t="s">
        <v>32</v>
      </c>
      <c r="O839" s="2" t="s">
        <v>323</v>
      </c>
      <c r="P839" s="2" t="s">
        <v>34</v>
      </c>
      <c r="Q839" t="s">
        <v>35</v>
      </c>
      <c r="R839" s="2" t="s">
        <v>36</v>
      </c>
      <c r="T839" s="2" t="s">
        <v>34</v>
      </c>
      <c r="U839" s="2" t="s">
        <v>37</v>
      </c>
      <c r="V839" s="2" t="s">
        <v>1172</v>
      </c>
      <c r="W839" t="s">
        <v>1173</v>
      </c>
    </row>
    <row r="840" spans="1:23" x14ac:dyDescent="0.25">
      <c r="A840" t="s">
        <v>4072</v>
      </c>
      <c r="B840" s="4">
        <f t="shared" si="13"/>
        <v>79552</v>
      </c>
      <c r="C840" t="s">
        <v>4073</v>
      </c>
      <c r="D840" t="s">
        <v>42</v>
      </c>
      <c r="E840" t="s">
        <v>142</v>
      </c>
      <c r="F840">
        <v>2</v>
      </c>
      <c r="G840" t="s">
        <v>26</v>
      </c>
      <c r="H840" s="2" t="s">
        <v>27</v>
      </c>
      <c r="I840" t="s">
        <v>1169</v>
      </c>
      <c r="J840" s="2" t="s">
        <v>428</v>
      </c>
      <c r="L840" s="2" t="s">
        <v>30</v>
      </c>
      <c r="M840" s="2" t="s">
        <v>31</v>
      </c>
      <c r="N840" s="2" t="s">
        <v>32</v>
      </c>
      <c r="O840" s="2" t="s">
        <v>571</v>
      </c>
      <c r="P840" s="2" t="s">
        <v>34</v>
      </c>
      <c r="Q840" t="s">
        <v>35</v>
      </c>
      <c r="R840" s="2" t="s">
        <v>36</v>
      </c>
      <c r="T840" s="2" t="s">
        <v>34</v>
      </c>
      <c r="U840" s="2" t="s">
        <v>37</v>
      </c>
      <c r="V840" s="2" t="s">
        <v>1172</v>
      </c>
      <c r="W840" t="s">
        <v>1173</v>
      </c>
    </row>
    <row r="841" spans="1:23" x14ac:dyDescent="0.25">
      <c r="A841" t="s">
        <v>4074</v>
      </c>
      <c r="B841" s="4">
        <f t="shared" si="13"/>
        <v>79553</v>
      </c>
      <c r="C841" t="s">
        <v>4075</v>
      </c>
      <c r="D841" t="s">
        <v>297</v>
      </c>
      <c r="E841" t="s">
        <v>313</v>
      </c>
      <c r="F841">
        <v>1</v>
      </c>
      <c r="G841" t="s">
        <v>26</v>
      </c>
      <c r="H841" s="2" t="s">
        <v>27</v>
      </c>
      <c r="I841" t="s">
        <v>1169</v>
      </c>
      <c r="J841" s="2" t="s">
        <v>428</v>
      </c>
      <c r="L841" s="2" t="s">
        <v>30</v>
      </c>
      <c r="M841" s="2" t="s">
        <v>31</v>
      </c>
      <c r="N841" s="2" t="s">
        <v>32</v>
      </c>
      <c r="O841" s="2" t="s">
        <v>497</v>
      </c>
      <c r="P841" s="2" t="s">
        <v>34</v>
      </c>
      <c r="Q841" t="s">
        <v>35</v>
      </c>
      <c r="R841" s="2" t="s">
        <v>36</v>
      </c>
      <c r="T841" s="2" t="s">
        <v>34</v>
      </c>
      <c r="U841" s="2" t="s">
        <v>37</v>
      </c>
      <c r="V841" s="2" t="s">
        <v>3605</v>
      </c>
      <c r="W841" t="s">
        <v>3844</v>
      </c>
    </row>
    <row r="842" spans="1:23" x14ac:dyDescent="0.25">
      <c r="A842" t="s">
        <v>4076</v>
      </c>
      <c r="B842" s="4">
        <f t="shared" si="13"/>
        <v>79554</v>
      </c>
      <c r="C842" t="s">
        <v>4077</v>
      </c>
      <c r="D842" t="s">
        <v>42</v>
      </c>
      <c r="E842" t="s">
        <v>830</v>
      </c>
      <c r="F842">
        <v>3</v>
      </c>
      <c r="G842" t="s">
        <v>26</v>
      </c>
      <c r="H842" s="2" t="s">
        <v>27</v>
      </c>
      <c r="I842" t="s">
        <v>1169</v>
      </c>
      <c r="J842" s="2" t="s">
        <v>428</v>
      </c>
      <c r="L842" s="2" t="s">
        <v>30</v>
      </c>
      <c r="M842" s="2" t="s">
        <v>31</v>
      </c>
      <c r="N842" s="2" t="s">
        <v>32</v>
      </c>
      <c r="O842" s="2" t="s">
        <v>2756</v>
      </c>
      <c r="P842" s="2" t="s">
        <v>34</v>
      </c>
      <c r="Q842" t="s">
        <v>35</v>
      </c>
      <c r="R842" s="2" t="s">
        <v>36</v>
      </c>
      <c r="T842" s="2" t="s">
        <v>34</v>
      </c>
      <c r="U842" s="2" t="s">
        <v>37</v>
      </c>
      <c r="V842" s="2" t="s">
        <v>3605</v>
      </c>
      <c r="W842" t="s">
        <v>3844</v>
      </c>
    </row>
    <row r="843" spans="1:23" x14ac:dyDescent="0.25">
      <c r="A843" t="s">
        <v>4078</v>
      </c>
      <c r="B843" s="4">
        <f t="shared" si="13"/>
        <v>79555</v>
      </c>
      <c r="C843" t="s">
        <v>4079</v>
      </c>
      <c r="D843" t="s">
        <v>42</v>
      </c>
      <c r="E843" t="s">
        <v>517</v>
      </c>
      <c r="F843">
        <v>2</v>
      </c>
      <c r="G843" t="s">
        <v>26</v>
      </c>
      <c r="H843" s="2" t="s">
        <v>27</v>
      </c>
      <c r="I843" t="s">
        <v>1169</v>
      </c>
      <c r="J843" s="2" t="s">
        <v>428</v>
      </c>
      <c r="L843" s="2" t="s">
        <v>30</v>
      </c>
      <c r="M843" s="2" t="s">
        <v>31</v>
      </c>
      <c r="N843" s="2" t="s">
        <v>32</v>
      </c>
      <c r="O843" s="2" t="s">
        <v>3040</v>
      </c>
      <c r="P843" s="2" t="s">
        <v>60</v>
      </c>
      <c r="R843" s="2" t="s">
        <v>206</v>
      </c>
      <c r="T843" s="2" t="s">
        <v>60</v>
      </c>
    </row>
    <row r="844" spans="1:23" x14ac:dyDescent="0.25">
      <c r="A844" t="s">
        <v>4080</v>
      </c>
      <c r="B844" s="4">
        <f t="shared" si="13"/>
        <v>79560</v>
      </c>
      <c r="C844" t="s">
        <v>4081</v>
      </c>
      <c r="D844" t="s">
        <v>42</v>
      </c>
      <c r="E844" t="s">
        <v>474</v>
      </c>
      <c r="F844">
        <v>3</v>
      </c>
      <c r="G844" t="s">
        <v>26</v>
      </c>
      <c r="H844" s="2" t="s">
        <v>27</v>
      </c>
      <c r="I844" t="s">
        <v>1169</v>
      </c>
      <c r="J844" s="2" t="s">
        <v>428</v>
      </c>
      <c r="L844" s="2" t="s">
        <v>30</v>
      </c>
      <c r="M844" s="2" t="s">
        <v>31</v>
      </c>
      <c r="N844" s="2" t="s">
        <v>32</v>
      </c>
      <c r="O844" s="2" t="s">
        <v>652</v>
      </c>
      <c r="P844" s="2" t="s">
        <v>60</v>
      </c>
      <c r="R844" s="2" t="s">
        <v>206</v>
      </c>
      <c r="T844" s="2" t="s">
        <v>60</v>
      </c>
    </row>
    <row r="845" spans="1:23" x14ac:dyDescent="0.25">
      <c r="A845" t="s">
        <v>4082</v>
      </c>
      <c r="B845" s="4">
        <f t="shared" si="13"/>
        <v>79561</v>
      </c>
      <c r="C845" t="s">
        <v>4083</v>
      </c>
      <c r="D845" t="s">
        <v>42</v>
      </c>
      <c r="E845" t="s">
        <v>517</v>
      </c>
      <c r="F845">
        <v>2</v>
      </c>
      <c r="G845" t="s">
        <v>26</v>
      </c>
      <c r="H845" s="2" t="s">
        <v>27</v>
      </c>
      <c r="I845" t="s">
        <v>1169</v>
      </c>
      <c r="J845" s="2" t="s">
        <v>428</v>
      </c>
      <c r="L845" s="2" t="s">
        <v>30</v>
      </c>
      <c r="M845" s="2" t="s">
        <v>31</v>
      </c>
      <c r="N845" s="2" t="s">
        <v>32</v>
      </c>
      <c r="O845" s="2" t="s">
        <v>3040</v>
      </c>
      <c r="P845" s="2" t="s">
        <v>60</v>
      </c>
      <c r="R845" s="2" t="s">
        <v>206</v>
      </c>
      <c r="T845" s="2" t="s">
        <v>60</v>
      </c>
    </row>
    <row r="846" spans="1:23" x14ac:dyDescent="0.25">
      <c r="A846" t="s">
        <v>4084</v>
      </c>
      <c r="B846" s="4">
        <f t="shared" si="13"/>
        <v>79565</v>
      </c>
      <c r="C846" t="s">
        <v>4085</v>
      </c>
      <c r="D846" t="s">
        <v>42</v>
      </c>
      <c r="E846" t="s">
        <v>517</v>
      </c>
      <c r="F846">
        <v>2</v>
      </c>
      <c r="G846" t="s">
        <v>26</v>
      </c>
      <c r="H846" s="2" t="s">
        <v>27</v>
      </c>
      <c r="I846" t="s">
        <v>1169</v>
      </c>
      <c r="J846" s="2" t="s">
        <v>428</v>
      </c>
      <c r="L846" s="2" t="s">
        <v>30</v>
      </c>
      <c r="M846" s="2" t="s">
        <v>31</v>
      </c>
      <c r="N846" s="2" t="s">
        <v>32</v>
      </c>
      <c r="O846" s="2" t="s">
        <v>3040</v>
      </c>
      <c r="P846" s="2" t="s">
        <v>60</v>
      </c>
      <c r="R846" s="2" t="s">
        <v>206</v>
      </c>
      <c r="T846" s="2" t="s">
        <v>60</v>
      </c>
    </row>
    <row r="847" spans="1:23" x14ac:dyDescent="0.25">
      <c r="A847" t="s">
        <v>4086</v>
      </c>
      <c r="B847" s="4">
        <f t="shared" si="13"/>
        <v>79579</v>
      </c>
      <c r="C847" t="s">
        <v>4087</v>
      </c>
      <c r="D847" t="s">
        <v>185</v>
      </c>
      <c r="E847" t="s">
        <v>909</v>
      </c>
      <c r="F847" t="s">
        <v>543</v>
      </c>
      <c r="G847" t="s">
        <v>26</v>
      </c>
      <c r="H847" s="2" t="s">
        <v>27</v>
      </c>
      <c r="I847" t="s">
        <v>368</v>
      </c>
      <c r="J847" s="2" t="s">
        <v>4088</v>
      </c>
      <c r="L847" s="2" t="s">
        <v>30</v>
      </c>
      <c r="M847" s="2" t="s">
        <v>31</v>
      </c>
      <c r="N847" s="2" t="s">
        <v>32</v>
      </c>
      <c r="O847" s="2" t="s">
        <v>4089</v>
      </c>
      <c r="P847" s="2" t="s">
        <v>60</v>
      </c>
      <c r="R847" s="2" t="s">
        <v>206</v>
      </c>
      <c r="T847" s="2" t="s">
        <v>60</v>
      </c>
    </row>
    <row r="848" spans="1:23" x14ac:dyDescent="0.25">
      <c r="A848" t="s">
        <v>4090</v>
      </c>
      <c r="B848" s="4">
        <f t="shared" si="13"/>
        <v>79581</v>
      </c>
      <c r="C848" t="s">
        <v>4091</v>
      </c>
      <c r="D848" t="s">
        <v>365</v>
      </c>
      <c r="E848" t="s">
        <v>1387</v>
      </c>
      <c r="F848" t="s">
        <v>367</v>
      </c>
      <c r="G848" t="s">
        <v>26</v>
      </c>
      <c r="H848" s="2" t="s">
        <v>27</v>
      </c>
      <c r="I848" t="s">
        <v>386</v>
      </c>
      <c r="J848" s="2" t="s">
        <v>428</v>
      </c>
      <c r="L848" s="2" t="s">
        <v>30</v>
      </c>
      <c r="M848" s="2" t="s">
        <v>31</v>
      </c>
      <c r="N848" s="2" t="s">
        <v>32</v>
      </c>
      <c r="O848" s="2" t="s">
        <v>4001</v>
      </c>
      <c r="P848" s="2" t="s">
        <v>60</v>
      </c>
      <c r="R848" s="2" t="s">
        <v>206</v>
      </c>
      <c r="T848" s="2" t="s">
        <v>60</v>
      </c>
    </row>
    <row r="849" spans="1:20" x14ac:dyDescent="0.25">
      <c r="A849" t="s">
        <v>4092</v>
      </c>
      <c r="B849" s="4">
        <f t="shared" si="13"/>
        <v>79582</v>
      </c>
      <c r="C849" t="s">
        <v>4093</v>
      </c>
      <c r="D849" t="s">
        <v>185</v>
      </c>
      <c r="E849" t="s">
        <v>909</v>
      </c>
      <c r="F849" t="s">
        <v>543</v>
      </c>
      <c r="G849" t="s">
        <v>26</v>
      </c>
      <c r="H849" s="2" t="s">
        <v>27</v>
      </c>
      <c r="I849" t="s">
        <v>386</v>
      </c>
      <c r="J849" s="2" t="s">
        <v>428</v>
      </c>
      <c r="L849" s="2" t="s">
        <v>30</v>
      </c>
      <c r="M849" s="2" t="s">
        <v>31</v>
      </c>
      <c r="N849" s="2" t="s">
        <v>32</v>
      </c>
      <c r="O849" s="2" t="s">
        <v>4089</v>
      </c>
      <c r="P849" s="2" t="s">
        <v>60</v>
      </c>
      <c r="R849" s="2" t="s">
        <v>206</v>
      </c>
      <c r="T849" s="2" t="s">
        <v>60</v>
      </c>
    </row>
    <row r="850" spans="1:20" x14ac:dyDescent="0.25">
      <c r="A850" t="s">
        <v>4094</v>
      </c>
      <c r="B850" s="4">
        <f t="shared" si="13"/>
        <v>79590</v>
      </c>
      <c r="C850" t="s">
        <v>4095</v>
      </c>
      <c r="D850" t="s">
        <v>185</v>
      </c>
      <c r="E850" t="s">
        <v>909</v>
      </c>
      <c r="F850" t="s">
        <v>543</v>
      </c>
      <c r="G850" t="s">
        <v>26</v>
      </c>
      <c r="H850" s="2" t="s">
        <v>27</v>
      </c>
      <c r="I850" t="s">
        <v>386</v>
      </c>
      <c r="J850" s="2" t="s">
        <v>4096</v>
      </c>
      <c r="L850" s="2" t="s">
        <v>30</v>
      </c>
      <c r="M850" s="2" t="s">
        <v>31</v>
      </c>
      <c r="N850" s="2" t="s">
        <v>32</v>
      </c>
      <c r="O850" s="2" t="s">
        <v>2733</v>
      </c>
      <c r="P850" s="2" t="s">
        <v>60</v>
      </c>
      <c r="R850" s="2" t="s">
        <v>206</v>
      </c>
      <c r="T850" s="2" t="s">
        <v>60</v>
      </c>
    </row>
    <row r="851" spans="1:20" x14ac:dyDescent="0.25">
      <c r="A851" t="s">
        <v>4097</v>
      </c>
      <c r="B851" s="4">
        <f t="shared" si="13"/>
        <v>79591</v>
      </c>
      <c r="C851" t="s">
        <v>4098</v>
      </c>
      <c r="D851" t="s">
        <v>365</v>
      </c>
      <c r="E851" t="s">
        <v>3926</v>
      </c>
      <c r="F851" t="s">
        <v>367</v>
      </c>
      <c r="G851" t="s">
        <v>352</v>
      </c>
      <c r="H851" s="2" t="s">
        <v>27</v>
      </c>
      <c r="I851" t="s">
        <v>2251</v>
      </c>
      <c r="J851" s="2" t="s">
        <v>4099</v>
      </c>
      <c r="L851" s="2" t="s">
        <v>30</v>
      </c>
      <c r="M851" s="2" t="s">
        <v>31</v>
      </c>
      <c r="N851" s="2" t="s">
        <v>32</v>
      </c>
      <c r="O851" s="2" t="s">
        <v>2730</v>
      </c>
      <c r="P851" s="2" t="s">
        <v>60</v>
      </c>
      <c r="R851" s="2" t="s">
        <v>206</v>
      </c>
      <c r="T851" s="2" t="s">
        <v>60</v>
      </c>
    </row>
    <row r="852" spans="1:20" x14ac:dyDescent="0.25">
      <c r="A852" t="s">
        <v>4100</v>
      </c>
      <c r="B852" s="4">
        <f t="shared" si="13"/>
        <v>79592</v>
      </c>
      <c r="C852" t="s">
        <v>4101</v>
      </c>
      <c r="D852" t="s">
        <v>320</v>
      </c>
      <c r="E852" t="s">
        <v>3926</v>
      </c>
      <c r="F852" t="s">
        <v>187</v>
      </c>
      <c r="G852" t="s">
        <v>26</v>
      </c>
      <c r="H852" s="2" t="s">
        <v>27</v>
      </c>
      <c r="I852" t="s">
        <v>2251</v>
      </c>
      <c r="J852" s="2" t="s">
        <v>4099</v>
      </c>
      <c r="L852" s="2" t="s">
        <v>30</v>
      </c>
      <c r="M852" s="2" t="s">
        <v>31</v>
      </c>
      <c r="N852" s="2" t="s">
        <v>32</v>
      </c>
      <c r="O852" s="2" t="s">
        <v>2103</v>
      </c>
      <c r="P852" s="2" t="s">
        <v>60</v>
      </c>
      <c r="R852" s="2" t="s">
        <v>206</v>
      </c>
      <c r="T852" s="2" t="s">
        <v>60</v>
      </c>
    </row>
    <row r="853" spans="1:20" x14ac:dyDescent="0.25">
      <c r="A853" t="s">
        <v>4102</v>
      </c>
      <c r="B853" s="4">
        <f t="shared" si="13"/>
        <v>79593</v>
      </c>
      <c r="C853" t="s">
        <v>4103</v>
      </c>
      <c r="D853" t="s">
        <v>185</v>
      </c>
      <c r="E853" t="s">
        <v>3926</v>
      </c>
      <c r="F853" t="s">
        <v>680</v>
      </c>
      <c r="G853" t="s">
        <v>26</v>
      </c>
      <c r="H853" s="2" t="s">
        <v>27</v>
      </c>
      <c r="I853" t="s">
        <v>2251</v>
      </c>
      <c r="J853" s="2" t="s">
        <v>4099</v>
      </c>
      <c r="L853" s="2" t="s">
        <v>30</v>
      </c>
      <c r="M853" s="2" t="s">
        <v>31</v>
      </c>
      <c r="N853" s="2" t="s">
        <v>32</v>
      </c>
      <c r="O853" s="2" t="s">
        <v>381</v>
      </c>
      <c r="P853" s="2" t="s">
        <v>60</v>
      </c>
      <c r="R853" s="2" t="s">
        <v>206</v>
      </c>
      <c r="T853" s="2" t="s">
        <v>60</v>
      </c>
    </row>
    <row r="854" spans="1:20" x14ac:dyDescent="0.25">
      <c r="A854" t="s">
        <v>4104</v>
      </c>
      <c r="B854" s="4">
        <f t="shared" si="13"/>
        <v>79594</v>
      </c>
      <c r="C854" t="s">
        <v>4105</v>
      </c>
      <c r="D854" t="s">
        <v>185</v>
      </c>
      <c r="E854" t="s">
        <v>1124</v>
      </c>
      <c r="F854" t="s">
        <v>543</v>
      </c>
      <c r="G854" t="s">
        <v>26</v>
      </c>
      <c r="H854" s="2" t="s">
        <v>27</v>
      </c>
      <c r="I854" t="s">
        <v>2251</v>
      </c>
      <c r="J854" s="2" t="s">
        <v>4099</v>
      </c>
      <c r="L854" s="2" t="s">
        <v>30</v>
      </c>
      <c r="M854" s="2" t="s">
        <v>31</v>
      </c>
      <c r="N854" s="2" t="s">
        <v>32</v>
      </c>
      <c r="O854" s="2" t="s">
        <v>4014</v>
      </c>
      <c r="P854" s="2" t="s">
        <v>60</v>
      </c>
      <c r="R854" s="2" t="s">
        <v>206</v>
      </c>
      <c r="T854" s="2" t="s">
        <v>60</v>
      </c>
    </row>
    <row r="855" spans="1:20" x14ac:dyDescent="0.25">
      <c r="A855" t="s">
        <v>4106</v>
      </c>
      <c r="B855" s="4">
        <f t="shared" si="13"/>
        <v>79595</v>
      </c>
      <c r="C855" t="s">
        <v>4107</v>
      </c>
      <c r="D855" t="s">
        <v>103</v>
      </c>
      <c r="E855" t="s">
        <v>4108</v>
      </c>
      <c r="F855">
        <v>1</v>
      </c>
      <c r="G855" t="s">
        <v>352</v>
      </c>
      <c r="H855" s="2" t="s">
        <v>27</v>
      </c>
      <c r="I855" t="s">
        <v>2251</v>
      </c>
      <c r="J855" s="2" t="s">
        <v>4099</v>
      </c>
      <c r="L855" s="2" t="s">
        <v>30</v>
      </c>
      <c r="M855" s="2" t="s">
        <v>31</v>
      </c>
      <c r="N855" s="2" t="s">
        <v>32</v>
      </c>
      <c r="O855" s="2" t="s">
        <v>497</v>
      </c>
      <c r="P855" s="2" t="s">
        <v>60</v>
      </c>
      <c r="R855" s="2" t="s">
        <v>206</v>
      </c>
      <c r="T855" s="2" t="s">
        <v>60</v>
      </c>
    </row>
    <row r="856" spans="1:20" x14ac:dyDescent="0.25">
      <c r="A856" t="s">
        <v>4109</v>
      </c>
      <c r="B856" s="4">
        <f t="shared" si="13"/>
        <v>79596</v>
      </c>
      <c r="C856" t="s">
        <v>4110</v>
      </c>
      <c r="D856" t="s">
        <v>297</v>
      </c>
      <c r="E856" t="s">
        <v>4108</v>
      </c>
      <c r="F856">
        <v>1</v>
      </c>
      <c r="G856" t="s">
        <v>26</v>
      </c>
      <c r="H856" s="2" t="s">
        <v>27</v>
      </c>
      <c r="I856" t="s">
        <v>2251</v>
      </c>
      <c r="J856" s="2" t="s">
        <v>4099</v>
      </c>
      <c r="L856" s="2" t="s">
        <v>30</v>
      </c>
      <c r="M856" s="2" t="s">
        <v>31</v>
      </c>
      <c r="N856" s="2" t="s">
        <v>32</v>
      </c>
      <c r="O856" s="2" t="s">
        <v>571</v>
      </c>
      <c r="P856" s="2" t="s">
        <v>60</v>
      </c>
      <c r="R856" s="2" t="s">
        <v>206</v>
      </c>
      <c r="T856" s="2" t="s">
        <v>60</v>
      </c>
    </row>
    <row r="857" spans="1:20" x14ac:dyDescent="0.25">
      <c r="A857" t="s">
        <v>4111</v>
      </c>
      <c r="B857" s="4">
        <f t="shared" si="13"/>
        <v>79597</v>
      </c>
      <c r="C857" t="s">
        <v>4112</v>
      </c>
      <c r="D857" t="s">
        <v>24</v>
      </c>
      <c r="E857" t="s">
        <v>3926</v>
      </c>
      <c r="F857">
        <v>2</v>
      </c>
      <c r="G857" t="s">
        <v>26</v>
      </c>
      <c r="H857" s="2" t="s">
        <v>27</v>
      </c>
      <c r="I857" t="s">
        <v>2251</v>
      </c>
      <c r="J857" s="2" t="s">
        <v>4099</v>
      </c>
      <c r="L857" s="2" t="s">
        <v>30</v>
      </c>
      <c r="M857" s="2" t="s">
        <v>31</v>
      </c>
      <c r="N857" s="2" t="s">
        <v>32</v>
      </c>
      <c r="O857" s="2" t="s">
        <v>2374</v>
      </c>
      <c r="P857" s="2" t="s">
        <v>60</v>
      </c>
      <c r="R857" s="2" t="s">
        <v>206</v>
      </c>
      <c r="T857" s="2" t="s">
        <v>60</v>
      </c>
    </row>
    <row r="858" spans="1:20" x14ac:dyDescent="0.25">
      <c r="A858" t="s">
        <v>4113</v>
      </c>
      <c r="B858" s="4">
        <f t="shared" si="13"/>
        <v>79598</v>
      </c>
      <c r="C858" t="s">
        <v>4114</v>
      </c>
      <c r="D858" t="s">
        <v>42</v>
      </c>
      <c r="E858" t="s">
        <v>3926</v>
      </c>
      <c r="F858">
        <v>2</v>
      </c>
      <c r="G858" t="s">
        <v>26</v>
      </c>
      <c r="H858" s="2" t="s">
        <v>27</v>
      </c>
      <c r="I858" t="s">
        <v>2251</v>
      </c>
      <c r="J858" s="2" t="s">
        <v>4099</v>
      </c>
      <c r="L858" s="2" t="s">
        <v>30</v>
      </c>
      <c r="M858" s="2" t="s">
        <v>31</v>
      </c>
      <c r="N858" s="2" t="s">
        <v>32</v>
      </c>
      <c r="O858" s="2" t="s">
        <v>571</v>
      </c>
      <c r="P858" s="2" t="s">
        <v>60</v>
      </c>
      <c r="R858" s="2" t="s">
        <v>206</v>
      </c>
      <c r="T858" s="2" t="s">
        <v>60</v>
      </c>
    </row>
    <row r="859" spans="1:20" x14ac:dyDescent="0.25">
      <c r="A859" t="s">
        <v>4115</v>
      </c>
      <c r="B859" s="4">
        <f t="shared" si="13"/>
        <v>79599</v>
      </c>
      <c r="C859" t="s">
        <v>4116</v>
      </c>
      <c r="D859" t="s">
        <v>42</v>
      </c>
      <c r="E859" t="s">
        <v>4117</v>
      </c>
      <c r="F859">
        <v>3</v>
      </c>
      <c r="G859" t="s">
        <v>352</v>
      </c>
      <c r="H859" s="2" t="s">
        <v>27</v>
      </c>
      <c r="I859" t="s">
        <v>2251</v>
      </c>
      <c r="J859" s="2" t="s">
        <v>4118</v>
      </c>
      <c r="L859" s="2" t="s">
        <v>30</v>
      </c>
      <c r="M859" s="2" t="s">
        <v>31</v>
      </c>
      <c r="N859" s="2" t="s">
        <v>32</v>
      </c>
      <c r="O859" s="2" t="s">
        <v>160</v>
      </c>
      <c r="P859" s="2" t="s">
        <v>60</v>
      </c>
      <c r="R859" s="2" t="s">
        <v>206</v>
      </c>
      <c r="T859" s="2" t="s">
        <v>60</v>
      </c>
    </row>
    <row r="860" spans="1:20" x14ac:dyDescent="0.25">
      <c r="A860" t="s">
        <v>4119</v>
      </c>
      <c r="B860" s="4">
        <f t="shared" si="13"/>
        <v>79611</v>
      </c>
      <c r="C860" t="s">
        <v>4120</v>
      </c>
      <c r="D860" t="s">
        <v>365</v>
      </c>
      <c r="E860" t="s">
        <v>2971</v>
      </c>
      <c r="F860" t="s">
        <v>367</v>
      </c>
      <c r="G860" t="s">
        <v>352</v>
      </c>
      <c r="H860" s="2" t="s">
        <v>27</v>
      </c>
      <c r="I860" t="s">
        <v>4036</v>
      </c>
      <c r="J860" s="2" t="s">
        <v>2498</v>
      </c>
      <c r="L860" s="2" t="s">
        <v>30</v>
      </c>
      <c r="M860" s="2" t="s">
        <v>31</v>
      </c>
      <c r="N860" s="2" t="s">
        <v>32</v>
      </c>
      <c r="O860" s="2" t="s">
        <v>911</v>
      </c>
      <c r="P860" s="2" t="s">
        <v>60</v>
      </c>
      <c r="R860" s="2" t="s">
        <v>206</v>
      </c>
      <c r="T860" s="2" t="s">
        <v>60</v>
      </c>
    </row>
    <row r="861" spans="1:20" x14ac:dyDescent="0.25">
      <c r="A861" t="s">
        <v>4121</v>
      </c>
      <c r="B861" s="4">
        <f t="shared" si="13"/>
        <v>79612</v>
      </c>
      <c r="C861" t="s">
        <v>4122</v>
      </c>
      <c r="D861" t="s">
        <v>365</v>
      </c>
      <c r="E861" t="s">
        <v>738</v>
      </c>
      <c r="F861" t="s">
        <v>187</v>
      </c>
      <c r="G861" t="s">
        <v>352</v>
      </c>
      <c r="H861" s="2" t="s">
        <v>27</v>
      </c>
      <c r="I861" t="s">
        <v>4036</v>
      </c>
      <c r="J861" s="2" t="s">
        <v>2498</v>
      </c>
      <c r="L861" s="2" t="s">
        <v>30</v>
      </c>
      <c r="M861" s="2" t="s">
        <v>31</v>
      </c>
      <c r="N861" s="2" t="s">
        <v>32</v>
      </c>
      <c r="O861" s="2" t="s">
        <v>2103</v>
      </c>
      <c r="P861" s="2" t="s">
        <v>60</v>
      </c>
      <c r="R861" s="2" t="s">
        <v>206</v>
      </c>
      <c r="T861" s="2" t="s">
        <v>60</v>
      </c>
    </row>
    <row r="862" spans="1:20" x14ac:dyDescent="0.25">
      <c r="A862" t="s">
        <v>4123</v>
      </c>
      <c r="B862" s="4">
        <f t="shared" si="13"/>
        <v>79613</v>
      </c>
      <c r="C862" t="s">
        <v>4124</v>
      </c>
      <c r="D862" t="s">
        <v>185</v>
      </c>
      <c r="E862" t="s">
        <v>679</v>
      </c>
      <c r="F862" t="s">
        <v>680</v>
      </c>
      <c r="G862" t="s">
        <v>352</v>
      </c>
      <c r="H862" s="2" t="s">
        <v>27</v>
      </c>
      <c r="I862" t="s">
        <v>4036</v>
      </c>
      <c r="J862" s="2" t="s">
        <v>2498</v>
      </c>
      <c r="L862" s="2" t="s">
        <v>30</v>
      </c>
      <c r="M862" s="2" t="s">
        <v>31</v>
      </c>
      <c r="N862" s="2" t="s">
        <v>32</v>
      </c>
      <c r="O862" s="2" t="s">
        <v>381</v>
      </c>
      <c r="P862" s="2" t="s">
        <v>60</v>
      </c>
      <c r="R862" s="2" t="s">
        <v>206</v>
      </c>
      <c r="T862" s="2" t="s">
        <v>60</v>
      </c>
    </row>
    <row r="863" spans="1:20" x14ac:dyDescent="0.25">
      <c r="A863" t="s">
        <v>4125</v>
      </c>
      <c r="B863" s="4">
        <f t="shared" si="13"/>
        <v>79614</v>
      </c>
      <c r="C863" t="s">
        <v>4126</v>
      </c>
      <c r="D863" t="s">
        <v>185</v>
      </c>
      <c r="E863" t="s">
        <v>1124</v>
      </c>
      <c r="F863" t="s">
        <v>543</v>
      </c>
      <c r="G863" t="s">
        <v>352</v>
      </c>
      <c r="H863" s="2" t="s">
        <v>27</v>
      </c>
      <c r="I863" t="s">
        <v>4036</v>
      </c>
      <c r="J863" s="2" t="s">
        <v>2498</v>
      </c>
      <c r="L863" s="2" t="s">
        <v>30</v>
      </c>
      <c r="M863" s="2" t="s">
        <v>31</v>
      </c>
      <c r="N863" s="2" t="s">
        <v>32</v>
      </c>
      <c r="O863" s="2" t="s">
        <v>4014</v>
      </c>
      <c r="P863" s="2" t="s">
        <v>60</v>
      </c>
      <c r="R863" s="2" t="s">
        <v>206</v>
      </c>
      <c r="T863" s="2" t="s">
        <v>60</v>
      </c>
    </row>
    <row r="864" spans="1:20" x14ac:dyDescent="0.25">
      <c r="A864" t="s">
        <v>4127</v>
      </c>
      <c r="B864" s="4">
        <f t="shared" si="13"/>
        <v>79615</v>
      </c>
      <c r="C864" t="s">
        <v>4128</v>
      </c>
      <c r="D864" t="s">
        <v>320</v>
      </c>
      <c r="E864" t="s">
        <v>2101</v>
      </c>
      <c r="F864">
        <v>1</v>
      </c>
      <c r="G864" t="s">
        <v>352</v>
      </c>
      <c r="H864" s="2" t="s">
        <v>27</v>
      </c>
      <c r="I864" t="s">
        <v>4036</v>
      </c>
      <c r="J864" s="2" t="s">
        <v>2498</v>
      </c>
      <c r="L864" s="2" t="s">
        <v>30</v>
      </c>
      <c r="M864" s="2" t="s">
        <v>31</v>
      </c>
      <c r="N864" s="2" t="s">
        <v>32</v>
      </c>
      <c r="O864" s="2" t="s">
        <v>106</v>
      </c>
      <c r="P864" s="2" t="s">
        <v>60</v>
      </c>
      <c r="R864" s="2" t="s">
        <v>206</v>
      </c>
      <c r="T864" s="2" t="s">
        <v>60</v>
      </c>
    </row>
    <row r="865" spans="1:20" x14ac:dyDescent="0.25">
      <c r="A865" t="s">
        <v>4129</v>
      </c>
      <c r="B865" s="4">
        <f t="shared" si="13"/>
        <v>79616</v>
      </c>
      <c r="C865" t="s">
        <v>4130</v>
      </c>
      <c r="D865" t="s">
        <v>279</v>
      </c>
      <c r="E865" t="s">
        <v>405</v>
      </c>
      <c r="F865">
        <v>1</v>
      </c>
      <c r="G865" t="s">
        <v>352</v>
      </c>
      <c r="H865" s="2" t="s">
        <v>27</v>
      </c>
      <c r="I865" t="s">
        <v>4036</v>
      </c>
      <c r="J865" s="2" t="s">
        <v>2498</v>
      </c>
      <c r="L865" s="2" t="s">
        <v>30</v>
      </c>
      <c r="M865" s="2" t="s">
        <v>31</v>
      </c>
      <c r="N865" s="2" t="s">
        <v>32</v>
      </c>
      <c r="O865" s="2" t="s">
        <v>497</v>
      </c>
      <c r="P865" s="2" t="s">
        <v>60</v>
      </c>
      <c r="R865" s="2" t="s">
        <v>206</v>
      </c>
      <c r="T865" s="2" t="s">
        <v>60</v>
      </c>
    </row>
    <row r="866" spans="1:20" x14ac:dyDescent="0.25">
      <c r="A866" t="s">
        <v>4131</v>
      </c>
      <c r="B866" s="4">
        <f t="shared" si="13"/>
        <v>79617</v>
      </c>
      <c r="C866" t="s">
        <v>4132</v>
      </c>
      <c r="D866" t="s">
        <v>53</v>
      </c>
      <c r="E866" t="s">
        <v>1621</v>
      </c>
      <c r="F866">
        <v>2</v>
      </c>
      <c r="G866" t="s">
        <v>352</v>
      </c>
      <c r="H866" s="2" t="s">
        <v>27</v>
      </c>
      <c r="I866" t="s">
        <v>4036</v>
      </c>
      <c r="J866" s="2" t="s">
        <v>2498</v>
      </c>
      <c r="L866" s="2" t="s">
        <v>30</v>
      </c>
      <c r="M866" s="2" t="s">
        <v>31</v>
      </c>
      <c r="N866" s="2" t="s">
        <v>32</v>
      </c>
      <c r="O866" s="2" t="s">
        <v>2374</v>
      </c>
      <c r="P866" s="2" t="s">
        <v>60</v>
      </c>
      <c r="R866" s="2" t="s">
        <v>206</v>
      </c>
      <c r="T866" s="2" t="s">
        <v>60</v>
      </c>
    </row>
    <row r="867" spans="1:20" x14ac:dyDescent="0.25">
      <c r="A867" t="s">
        <v>4133</v>
      </c>
      <c r="B867" s="4">
        <f t="shared" si="13"/>
        <v>79618</v>
      </c>
      <c r="C867" t="s">
        <v>4134</v>
      </c>
      <c r="D867" t="s">
        <v>53</v>
      </c>
      <c r="E867" t="s">
        <v>1621</v>
      </c>
      <c r="F867">
        <v>2</v>
      </c>
      <c r="G867" t="s">
        <v>352</v>
      </c>
      <c r="H867" s="2" t="s">
        <v>27</v>
      </c>
      <c r="I867" t="s">
        <v>4036</v>
      </c>
      <c r="J867" s="2" t="s">
        <v>2498</v>
      </c>
      <c r="L867" s="2" t="s">
        <v>30</v>
      </c>
      <c r="M867" s="2" t="s">
        <v>31</v>
      </c>
      <c r="N867" s="2" t="s">
        <v>32</v>
      </c>
      <c r="O867" s="2" t="s">
        <v>571</v>
      </c>
      <c r="P867" s="2" t="s">
        <v>60</v>
      </c>
      <c r="R867" s="2" t="s">
        <v>206</v>
      </c>
      <c r="T867" s="2" t="s">
        <v>60</v>
      </c>
    </row>
    <row r="868" spans="1:20" x14ac:dyDescent="0.25">
      <c r="A868" t="s">
        <v>4135</v>
      </c>
      <c r="B868" s="4">
        <f t="shared" si="13"/>
        <v>79619</v>
      </c>
      <c r="C868" t="s">
        <v>4136</v>
      </c>
      <c r="D868" t="s">
        <v>42</v>
      </c>
      <c r="E868" t="s">
        <v>2909</v>
      </c>
      <c r="F868">
        <v>3</v>
      </c>
      <c r="G868" t="s">
        <v>352</v>
      </c>
      <c r="H868" s="2" t="s">
        <v>27</v>
      </c>
      <c r="I868" t="s">
        <v>4036</v>
      </c>
      <c r="J868" s="2" t="s">
        <v>2498</v>
      </c>
      <c r="L868" s="2" t="s">
        <v>30</v>
      </c>
      <c r="M868" s="2" t="s">
        <v>31</v>
      </c>
      <c r="N868" s="2" t="s">
        <v>32</v>
      </c>
      <c r="O868" s="2" t="s">
        <v>160</v>
      </c>
      <c r="P868" s="2" t="s">
        <v>60</v>
      </c>
      <c r="R868" s="2" t="s">
        <v>206</v>
      </c>
      <c r="T868" s="2" t="s">
        <v>60</v>
      </c>
    </row>
    <row r="869" spans="1:20" x14ac:dyDescent="0.25">
      <c r="A869" t="s">
        <v>4137</v>
      </c>
      <c r="B869" s="4">
        <f t="shared" si="13"/>
        <v>79660</v>
      </c>
      <c r="C869" t="s">
        <v>4138</v>
      </c>
      <c r="D869" t="s">
        <v>42</v>
      </c>
      <c r="E869" t="s">
        <v>201</v>
      </c>
      <c r="F869">
        <v>3</v>
      </c>
      <c r="G869" t="s">
        <v>26</v>
      </c>
      <c r="H869" s="2" t="s">
        <v>27</v>
      </c>
      <c r="I869" t="s">
        <v>2251</v>
      </c>
      <c r="J869" s="2" t="s">
        <v>4139</v>
      </c>
      <c r="L869" s="2" t="s">
        <v>30</v>
      </c>
      <c r="M869" s="2" t="s">
        <v>31</v>
      </c>
      <c r="N869" s="2" t="s">
        <v>32</v>
      </c>
      <c r="O869" s="2" t="s">
        <v>144</v>
      </c>
      <c r="P869" s="2" t="s">
        <v>60</v>
      </c>
      <c r="R869" s="2" t="s">
        <v>206</v>
      </c>
      <c r="T869" s="2" t="s">
        <v>60</v>
      </c>
    </row>
    <row r="870" spans="1:20" x14ac:dyDescent="0.25">
      <c r="A870" t="s">
        <v>4140</v>
      </c>
      <c r="B870" s="4">
        <f t="shared" si="13"/>
        <v>79661</v>
      </c>
      <c r="C870" t="s">
        <v>4141</v>
      </c>
      <c r="D870" t="s">
        <v>42</v>
      </c>
      <c r="E870" t="s">
        <v>273</v>
      </c>
      <c r="F870">
        <v>3</v>
      </c>
      <c r="G870" t="s">
        <v>26</v>
      </c>
      <c r="H870" s="2" t="s">
        <v>27</v>
      </c>
      <c r="I870" t="s">
        <v>2251</v>
      </c>
      <c r="J870" s="2" t="s">
        <v>4139</v>
      </c>
      <c r="L870" s="2" t="s">
        <v>30</v>
      </c>
      <c r="M870" s="2" t="s">
        <v>31</v>
      </c>
      <c r="N870" s="2" t="s">
        <v>32</v>
      </c>
      <c r="O870" s="2" t="s">
        <v>275</v>
      </c>
      <c r="P870" s="2" t="s">
        <v>60</v>
      </c>
      <c r="R870" s="2" t="s">
        <v>206</v>
      </c>
      <c r="T870" s="2" t="s">
        <v>60</v>
      </c>
    </row>
    <row r="871" spans="1:20" x14ac:dyDescent="0.25">
      <c r="A871" t="s">
        <v>4142</v>
      </c>
      <c r="B871" s="4">
        <f t="shared" si="13"/>
        <v>79662</v>
      </c>
      <c r="C871" t="s">
        <v>4143</v>
      </c>
      <c r="D871" t="s">
        <v>42</v>
      </c>
      <c r="E871" t="s">
        <v>517</v>
      </c>
      <c r="F871">
        <v>3</v>
      </c>
      <c r="G871" t="s">
        <v>26</v>
      </c>
      <c r="H871" s="2" t="s">
        <v>27</v>
      </c>
      <c r="I871" t="s">
        <v>2251</v>
      </c>
      <c r="J871" s="2" t="s">
        <v>2832</v>
      </c>
      <c r="L871" s="2" t="s">
        <v>30</v>
      </c>
      <c r="M871" s="2" t="s">
        <v>31</v>
      </c>
      <c r="N871" s="2" t="s">
        <v>32</v>
      </c>
      <c r="O871" s="2" t="s">
        <v>3040</v>
      </c>
      <c r="P871" s="2" t="s">
        <v>60</v>
      </c>
      <c r="R871" s="2" t="s">
        <v>206</v>
      </c>
      <c r="T871" s="2" t="s">
        <v>60</v>
      </c>
    </row>
    <row r="872" spans="1:20" x14ac:dyDescent="0.25">
      <c r="A872" t="s">
        <v>4144</v>
      </c>
      <c r="B872" s="4">
        <f t="shared" si="13"/>
        <v>79663</v>
      </c>
      <c r="C872" t="s">
        <v>4145</v>
      </c>
      <c r="D872" t="s">
        <v>279</v>
      </c>
      <c r="E872" t="s">
        <v>405</v>
      </c>
      <c r="F872" t="s">
        <v>4052</v>
      </c>
      <c r="G872" t="s">
        <v>3564</v>
      </c>
      <c r="H872" s="2" t="s">
        <v>27</v>
      </c>
      <c r="I872" t="s">
        <v>2251</v>
      </c>
      <c r="J872" s="2" t="s">
        <v>4146</v>
      </c>
      <c r="L872" s="2" t="s">
        <v>30</v>
      </c>
      <c r="M872" s="2" t="s">
        <v>31</v>
      </c>
      <c r="N872" s="2" t="s">
        <v>32</v>
      </c>
      <c r="O872" s="2" t="s">
        <v>2103</v>
      </c>
      <c r="P872" s="2" t="s">
        <v>60</v>
      </c>
      <c r="R872" s="2" t="s">
        <v>206</v>
      </c>
      <c r="T872" s="2" t="s">
        <v>60</v>
      </c>
    </row>
    <row r="873" spans="1:20" x14ac:dyDescent="0.25">
      <c r="A873" t="s">
        <v>4147</v>
      </c>
      <c r="B873" s="4">
        <f t="shared" si="13"/>
        <v>79664</v>
      </c>
      <c r="C873" t="s">
        <v>4148</v>
      </c>
      <c r="D873" t="s">
        <v>320</v>
      </c>
      <c r="E873" t="s">
        <v>2101</v>
      </c>
      <c r="F873" t="s">
        <v>4052</v>
      </c>
      <c r="G873" t="s">
        <v>3564</v>
      </c>
      <c r="H873" s="2" t="s">
        <v>27</v>
      </c>
      <c r="I873" t="s">
        <v>2251</v>
      </c>
      <c r="J873" s="2" t="s">
        <v>4149</v>
      </c>
      <c r="L873" s="2" t="s">
        <v>30</v>
      </c>
      <c r="M873" s="2" t="s">
        <v>31</v>
      </c>
      <c r="N873" s="2" t="s">
        <v>32</v>
      </c>
      <c r="O873" s="2" t="s">
        <v>2103</v>
      </c>
      <c r="P873" s="2" t="s">
        <v>60</v>
      </c>
      <c r="R873" s="2" t="s">
        <v>206</v>
      </c>
      <c r="T873" s="2" t="s">
        <v>60</v>
      </c>
    </row>
    <row r="874" spans="1:20" x14ac:dyDescent="0.25">
      <c r="A874" t="s">
        <v>4150</v>
      </c>
      <c r="B874" s="4">
        <f t="shared" si="13"/>
        <v>79665</v>
      </c>
      <c r="C874" t="s">
        <v>4151</v>
      </c>
      <c r="D874" t="s">
        <v>297</v>
      </c>
      <c r="E874" t="s">
        <v>335</v>
      </c>
      <c r="F874" t="s">
        <v>4052</v>
      </c>
      <c r="G874" t="s">
        <v>3564</v>
      </c>
      <c r="H874" s="2" t="s">
        <v>27</v>
      </c>
      <c r="I874" t="s">
        <v>2251</v>
      </c>
      <c r="J874" s="2" t="s">
        <v>4149</v>
      </c>
      <c r="L874" s="2" t="s">
        <v>30</v>
      </c>
      <c r="M874" s="2" t="s">
        <v>31</v>
      </c>
      <c r="N874" s="2" t="s">
        <v>32</v>
      </c>
      <c r="O874" s="2" t="s">
        <v>571</v>
      </c>
      <c r="P874" s="2" t="s">
        <v>60</v>
      </c>
      <c r="R874" s="2" t="s">
        <v>206</v>
      </c>
      <c r="T874" s="2" t="s">
        <v>60</v>
      </c>
    </row>
    <row r="875" spans="1:20" x14ac:dyDescent="0.25">
      <c r="A875" t="s">
        <v>4152</v>
      </c>
      <c r="B875" s="4">
        <f t="shared" si="13"/>
        <v>79666</v>
      </c>
      <c r="C875" t="s">
        <v>4153</v>
      </c>
      <c r="D875" t="s">
        <v>103</v>
      </c>
      <c r="E875" t="s">
        <v>238</v>
      </c>
      <c r="F875" t="s">
        <v>4052</v>
      </c>
      <c r="G875" t="s">
        <v>3564</v>
      </c>
      <c r="H875" s="2" t="s">
        <v>27</v>
      </c>
      <c r="I875" t="s">
        <v>2251</v>
      </c>
      <c r="J875" s="2" t="s">
        <v>4149</v>
      </c>
      <c r="L875" s="2" t="s">
        <v>30</v>
      </c>
      <c r="M875" s="2" t="s">
        <v>31</v>
      </c>
      <c r="N875" s="2" t="s">
        <v>32</v>
      </c>
      <c r="O875" s="2" t="s">
        <v>571</v>
      </c>
      <c r="P875" s="2" t="s">
        <v>60</v>
      </c>
      <c r="R875" s="2" t="s">
        <v>206</v>
      </c>
      <c r="T875" s="2" t="s">
        <v>60</v>
      </c>
    </row>
    <row r="876" spans="1:20" x14ac:dyDescent="0.25">
      <c r="A876" t="s">
        <v>4154</v>
      </c>
      <c r="B876" s="4">
        <f t="shared" si="13"/>
        <v>79667</v>
      </c>
      <c r="C876" t="s">
        <v>4155</v>
      </c>
      <c r="D876" t="s">
        <v>42</v>
      </c>
      <c r="E876" t="s">
        <v>517</v>
      </c>
      <c r="F876" t="s">
        <v>4052</v>
      </c>
      <c r="G876" t="s">
        <v>3564</v>
      </c>
      <c r="H876" s="2" t="s">
        <v>27</v>
      </c>
      <c r="I876" t="s">
        <v>2251</v>
      </c>
      <c r="J876" s="2" t="s">
        <v>4149</v>
      </c>
      <c r="L876" s="2" t="s">
        <v>30</v>
      </c>
      <c r="M876" s="2" t="s">
        <v>31</v>
      </c>
      <c r="N876" s="2" t="s">
        <v>32</v>
      </c>
      <c r="O876" s="2" t="s">
        <v>3040</v>
      </c>
      <c r="P876" s="2" t="s">
        <v>60</v>
      </c>
      <c r="R876" s="2" t="s">
        <v>206</v>
      </c>
      <c r="T876" s="2" t="s">
        <v>60</v>
      </c>
    </row>
    <row r="877" spans="1:20" x14ac:dyDescent="0.25">
      <c r="A877" t="s">
        <v>4156</v>
      </c>
      <c r="B877" s="4">
        <f t="shared" si="13"/>
        <v>79668</v>
      </c>
      <c r="C877" t="s">
        <v>4157</v>
      </c>
      <c r="D877" t="s">
        <v>42</v>
      </c>
      <c r="E877" t="s">
        <v>67</v>
      </c>
      <c r="F877">
        <v>2</v>
      </c>
      <c r="G877" t="s">
        <v>352</v>
      </c>
      <c r="H877" s="2" t="s">
        <v>27</v>
      </c>
      <c r="I877" t="s">
        <v>2251</v>
      </c>
      <c r="J877" s="2" t="s">
        <v>4158</v>
      </c>
      <c r="L877" s="2" t="s">
        <v>30</v>
      </c>
      <c r="M877" s="2" t="s">
        <v>31</v>
      </c>
      <c r="N877" s="2" t="s">
        <v>32</v>
      </c>
      <c r="O877" s="2" t="s">
        <v>2479</v>
      </c>
      <c r="P877" s="2" t="s">
        <v>60</v>
      </c>
      <c r="R877" s="2" t="s">
        <v>206</v>
      </c>
      <c r="T877" s="2" t="s">
        <v>60</v>
      </c>
    </row>
    <row r="878" spans="1:20" x14ac:dyDescent="0.25">
      <c r="A878" t="s">
        <v>4159</v>
      </c>
      <c r="B878" s="4">
        <f t="shared" si="13"/>
        <v>79669</v>
      </c>
      <c r="C878" t="s">
        <v>4160</v>
      </c>
      <c r="D878" t="s">
        <v>42</v>
      </c>
      <c r="E878" t="s">
        <v>67</v>
      </c>
      <c r="F878">
        <v>2</v>
      </c>
      <c r="G878" t="s">
        <v>352</v>
      </c>
      <c r="H878" s="2" t="s">
        <v>27</v>
      </c>
      <c r="I878" t="s">
        <v>2251</v>
      </c>
      <c r="J878" s="2" t="s">
        <v>4158</v>
      </c>
      <c r="L878" s="2" t="s">
        <v>30</v>
      </c>
      <c r="M878" s="2" t="s">
        <v>31</v>
      </c>
      <c r="N878" s="2" t="s">
        <v>32</v>
      </c>
      <c r="O878" s="2" t="s">
        <v>85</v>
      </c>
      <c r="P878" s="2" t="s">
        <v>60</v>
      </c>
      <c r="R878" s="2" t="s">
        <v>206</v>
      </c>
      <c r="T878" s="2" t="s">
        <v>60</v>
      </c>
    </row>
    <row r="879" spans="1:20" x14ac:dyDescent="0.25">
      <c r="A879" t="s">
        <v>4161</v>
      </c>
      <c r="B879" s="4">
        <f t="shared" si="13"/>
        <v>79671</v>
      </c>
      <c r="C879" t="s">
        <v>4162</v>
      </c>
      <c r="D879" t="s">
        <v>365</v>
      </c>
      <c r="E879" t="s">
        <v>2659</v>
      </c>
      <c r="F879" t="s">
        <v>4052</v>
      </c>
      <c r="G879" t="s">
        <v>3564</v>
      </c>
      <c r="H879" s="2" t="s">
        <v>27</v>
      </c>
      <c r="I879" t="s">
        <v>2251</v>
      </c>
      <c r="J879" s="2" t="s">
        <v>4163</v>
      </c>
      <c r="L879" s="2" t="s">
        <v>30</v>
      </c>
      <c r="M879" s="2" t="s">
        <v>31</v>
      </c>
      <c r="N879" s="2" t="s">
        <v>32</v>
      </c>
      <c r="O879" s="2" t="s">
        <v>370</v>
      </c>
      <c r="P879" s="2" t="s">
        <v>60</v>
      </c>
      <c r="R879" s="2" t="s">
        <v>206</v>
      </c>
      <c r="T879" s="2" t="s">
        <v>60</v>
      </c>
    </row>
    <row r="880" spans="1:20" x14ac:dyDescent="0.25">
      <c r="A880" t="s">
        <v>4164</v>
      </c>
      <c r="B880" s="4">
        <f t="shared" si="13"/>
        <v>79672</v>
      </c>
      <c r="C880" t="s">
        <v>4165</v>
      </c>
      <c r="D880" t="s">
        <v>185</v>
      </c>
      <c r="E880" t="s">
        <v>2791</v>
      </c>
      <c r="F880" t="s">
        <v>4052</v>
      </c>
      <c r="G880" t="s">
        <v>3564</v>
      </c>
      <c r="H880" s="2" t="s">
        <v>27</v>
      </c>
      <c r="I880" t="s">
        <v>2251</v>
      </c>
      <c r="J880" s="2" t="s">
        <v>4163</v>
      </c>
      <c r="L880" s="2" t="s">
        <v>30</v>
      </c>
      <c r="M880" s="2" t="s">
        <v>31</v>
      </c>
      <c r="N880" s="2" t="s">
        <v>32</v>
      </c>
      <c r="O880" s="2" t="s">
        <v>381</v>
      </c>
      <c r="P880" s="2" t="s">
        <v>60</v>
      </c>
      <c r="R880" s="2" t="s">
        <v>206</v>
      </c>
      <c r="T880" s="2" t="s">
        <v>60</v>
      </c>
    </row>
    <row r="881" spans="1:23" x14ac:dyDescent="0.25">
      <c r="A881" t="s">
        <v>4166</v>
      </c>
      <c r="B881" s="4">
        <f t="shared" si="13"/>
        <v>79673</v>
      </c>
      <c r="C881" t="s">
        <v>4167</v>
      </c>
      <c r="D881" t="s">
        <v>365</v>
      </c>
      <c r="E881" t="s">
        <v>2971</v>
      </c>
      <c r="F881" t="s">
        <v>4052</v>
      </c>
      <c r="G881" t="s">
        <v>3564</v>
      </c>
      <c r="H881" s="2" t="s">
        <v>27</v>
      </c>
      <c r="I881" t="s">
        <v>2251</v>
      </c>
      <c r="J881" s="2" t="s">
        <v>4163</v>
      </c>
      <c r="L881" s="2" t="s">
        <v>30</v>
      </c>
      <c r="M881" s="2" t="s">
        <v>31</v>
      </c>
      <c r="N881" s="2" t="s">
        <v>32</v>
      </c>
      <c r="O881" s="2" t="s">
        <v>911</v>
      </c>
      <c r="P881" s="2" t="s">
        <v>60</v>
      </c>
      <c r="R881" s="2" t="s">
        <v>206</v>
      </c>
      <c r="T881" s="2" t="s">
        <v>60</v>
      </c>
    </row>
    <row r="882" spans="1:23" x14ac:dyDescent="0.25">
      <c r="A882" t="s">
        <v>4168</v>
      </c>
      <c r="B882" s="4">
        <f t="shared" si="13"/>
        <v>79675</v>
      </c>
      <c r="C882" t="s">
        <v>4169</v>
      </c>
      <c r="D882" t="s">
        <v>185</v>
      </c>
      <c r="E882" t="s">
        <v>393</v>
      </c>
      <c r="F882" t="s">
        <v>187</v>
      </c>
      <c r="G882" t="s">
        <v>352</v>
      </c>
      <c r="H882" s="2" t="s">
        <v>27</v>
      </c>
      <c r="I882" t="s">
        <v>2251</v>
      </c>
      <c r="J882" s="2" t="s">
        <v>4170</v>
      </c>
      <c r="L882" s="2" t="s">
        <v>30</v>
      </c>
      <c r="M882" s="2" t="s">
        <v>31</v>
      </c>
      <c r="N882" s="2" t="s">
        <v>32</v>
      </c>
      <c r="O882" s="2" t="s">
        <v>4171</v>
      </c>
      <c r="P882" s="2" t="s">
        <v>60</v>
      </c>
      <c r="R882" s="2" t="s">
        <v>206</v>
      </c>
      <c r="T882" s="2" t="s">
        <v>60</v>
      </c>
    </row>
    <row r="883" spans="1:23" x14ac:dyDescent="0.25">
      <c r="A883" t="s">
        <v>4172</v>
      </c>
      <c r="B883" s="4">
        <f t="shared" si="13"/>
        <v>79700</v>
      </c>
      <c r="C883" t="s">
        <v>4173</v>
      </c>
      <c r="D883" t="s">
        <v>149</v>
      </c>
      <c r="E883" t="s">
        <v>229</v>
      </c>
      <c r="F883">
        <v>3</v>
      </c>
      <c r="G883" t="s">
        <v>26</v>
      </c>
      <c r="H883" s="2" t="s">
        <v>27</v>
      </c>
      <c r="I883" t="s">
        <v>28</v>
      </c>
      <c r="J883" s="2" t="s">
        <v>428</v>
      </c>
      <c r="L883" s="2" t="s">
        <v>30</v>
      </c>
      <c r="M883" s="2" t="s">
        <v>31</v>
      </c>
      <c r="N883" s="2" t="s">
        <v>32</v>
      </c>
      <c r="O883" s="2" t="s">
        <v>711</v>
      </c>
      <c r="P883" s="2" t="s">
        <v>34</v>
      </c>
      <c r="Q883" t="s">
        <v>232</v>
      </c>
      <c r="R883" s="2" t="s">
        <v>233</v>
      </c>
      <c r="T883" s="2" t="s">
        <v>34</v>
      </c>
      <c r="U883" s="2" t="s">
        <v>234</v>
      </c>
      <c r="V883" s="2" t="s">
        <v>4174</v>
      </c>
      <c r="W883" t="s">
        <v>3701</v>
      </c>
    </row>
    <row r="884" spans="1:23" x14ac:dyDescent="0.25">
      <c r="A884" t="s">
        <v>4175</v>
      </c>
      <c r="B884" s="4">
        <f t="shared" si="13"/>
        <v>79701</v>
      </c>
      <c r="C884" t="s">
        <v>4176</v>
      </c>
      <c r="D884" t="s">
        <v>42</v>
      </c>
      <c r="E884" t="s">
        <v>273</v>
      </c>
      <c r="F884">
        <v>3</v>
      </c>
      <c r="G884" t="s">
        <v>26</v>
      </c>
      <c r="H884" s="2" t="s">
        <v>373</v>
      </c>
      <c r="I884" t="s">
        <v>55</v>
      </c>
      <c r="K884" s="2" t="s">
        <v>4177</v>
      </c>
      <c r="L884" s="2" t="s">
        <v>30</v>
      </c>
      <c r="M884" s="2" t="s">
        <v>31</v>
      </c>
      <c r="N884" s="2" t="s">
        <v>32</v>
      </c>
      <c r="O884" s="2" t="s">
        <v>4178</v>
      </c>
      <c r="P884" s="2" t="s">
        <v>34</v>
      </c>
      <c r="Q884" t="s">
        <v>203</v>
      </c>
      <c r="R884" s="2" t="s">
        <v>204</v>
      </c>
      <c r="T884" s="2" t="s">
        <v>34</v>
      </c>
      <c r="U884" s="2" t="s">
        <v>205</v>
      </c>
      <c r="V884" s="2" t="s">
        <v>824</v>
      </c>
      <c r="W884" t="s">
        <v>4179</v>
      </c>
    </row>
    <row r="885" spans="1:23" x14ac:dyDescent="0.25">
      <c r="A885" t="s">
        <v>4180</v>
      </c>
      <c r="B885" s="4">
        <f t="shared" si="13"/>
        <v>79702</v>
      </c>
      <c r="C885" t="s">
        <v>4181</v>
      </c>
      <c r="D885" t="s">
        <v>320</v>
      </c>
      <c r="E885" t="s">
        <v>321</v>
      </c>
      <c r="F885">
        <v>1</v>
      </c>
      <c r="G885" t="s">
        <v>26</v>
      </c>
      <c r="H885" s="2" t="s">
        <v>27</v>
      </c>
      <c r="I885" t="s">
        <v>55</v>
      </c>
      <c r="J885" s="2" t="s">
        <v>428</v>
      </c>
      <c r="L885" s="2" t="s">
        <v>30</v>
      </c>
      <c r="M885" s="2" t="s">
        <v>31</v>
      </c>
      <c r="N885" s="2" t="s">
        <v>32</v>
      </c>
      <c r="O885" s="2" t="s">
        <v>323</v>
      </c>
      <c r="P885" s="2" t="s">
        <v>34</v>
      </c>
      <c r="Q885" t="s">
        <v>324</v>
      </c>
      <c r="R885" s="2" t="s">
        <v>206</v>
      </c>
      <c r="S885" s="2" t="s">
        <v>325</v>
      </c>
      <c r="T885" s="2" t="s">
        <v>60</v>
      </c>
    </row>
    <row r="886" spans="1:23" x14ac:dyDescent="0.25">
      <c r="A886" t="s">
        <v>4182</v>
      </c>
      <c r="B886" s="4">
        <f t="shared" si="13"/>
        <v>79703</v>
      </c>
      <c r="C886" t="s">
        <v>4183</v>
      </c>
      <c r="D886" t="s">
        <v>320</v>
      </c>
      <c r="E886" t="s">
        <v>67</v>
      </c>
      <c r="F886">
        <v>1</v>
      </c>
      <c r="G886" t="s">
        <v>26</v>
      </c>
      <c r="H886" s="2" t="s">
        <v>27</v>
      </c>
      <c r="I886" t="s">
        <v>55</v>
      </c>
      <c r="J886" s="2" t="s">
        <v>428</v>
      </c>
      <c r="L886" s="2" t="s">
        <v>30</v>
      </c>
      <c r="M886" s="2" t="s">
        <v>31</v>
      </c>
      <c r="N886" s="2" t="s">
        <v>32</v>
      </c>
      <c r="O886" s="2" t="s">
        <v>220</v>
      </c>
      <c r="P886" s="2" t="s">
        <v>34</v>
      </c>
      <c r="Q886" t="s">
        <v>331</v>
      </c>
      <c r="R886" s="2" t="s">
        <v>206</v>
      </c>
      <c r="S886" s="2" t="s">
        <v>332</v>
      </c>
      <c r="T886" s="2" t="s">
        <v>60</v>
      </c>
    </row>
    <row r="887" spans="1:23" x14ac:dyDescent="0.25">
      <c r="A887" t="s">
        <v>4184</v>
      </c>
      <c r="B887" s="4">
        <f t="shared" si="13"/>
        <v>79704</v>
      </c>
      <c r="C887" t="s">
        <v>4185</v>
      </c>
      <c r="D887" t="s">
        <v>120</v>
      </c>
      <c r="E887" t="s">
        <v>121</v>
      </c>
      <c r="F887">
        <v>1</v>
      </c>
      <c r="G887" t="s">
        <v>26</v>
      </c>
      <c r="H887" s="2" t="s">
        <v>27</v>
      </c>
      <c r="I887" t="s">
        <v>55</v>
      </c>
      <c r="J887" s="2" t="s">
        <v>428</v>
      </c>
      <c r="L887" s="2" t="s">
        <v>30</v>
      </c>
      <c r="M887" s="2" t="s">
        <v>31</v>
      </c>
      <c r="N887" s="2" t="s">
        <v>32</v>
      </c>
      <c r="O887" s="2" t="s">
        <v>130</v>
      </c>
      <c r="P887" s="2" t="s">
        <v>34</v>
      </c>
      <c r="Q887" t="s">
        <v>337</v>
      </c>
      <c r="R887" s="2" t="s">
        <v>206</v>
      </c>
      <c r="S887" s="2" t="s">
        <v>338</v>
      </c>
      <c r="T887" s="2" t="s">
        <v>34</v>
      </c>
      <c r="U887" s="2" t="s">
        <v>339</v>
      </c>
      <c r="V887" s="2" t="s">
        <v>4184</v>
      </c>
      <c r="W887" t="s">
        <v>4185</v>
      </c>
    </row>
    <row r="888" spans="1:23" x14ac:dyDescent="0.25">
      <c r="A888" t="s">
        <v>4186</v>
      </c>
      <c r="B888" s="4">
        <f t="shared" si="13"/>
        <v>79705</v>
      </c>
      <c r="C888" t="s">
        <v>4187</v>
      </c>
      <c r="D888" t="s">
        <v>42</v>
      </c>
      <c r="E888" t="s">
        <v>67</v>
      </c>
      <c r="F888">
        <v>2</v>
      </c>
      <c r="G888" t="s">
        <v>26</v>
      </c>
      <c r="H888" s="2" t="s">
        <v>27</v>
      </c>
      <c r="I888" t="s">
        <v>28</v>
      </c>
      <c r="J888" s="2" t="s">
        <v>428</v>
      </c>
      <c r="L888" s="2" t="s">
        <v>30</v>
      </c>
      <c r="M888" s="2" t="s">
        <v>31</v>
      </c>
      <c r="N888" s="2" t="s">
        <v>32</v>
      </c>
      <c r="O888" s="2" t="s">
        <v>4188</v>
      </c>
      <c r="P888" s="2" t="s">
        <v>34</v>
      </c>
      <c r="Q888" t="s">
        <v>3618</v>
      </c>
      <c r="R888" s="2" t="s">
        <v>3619</v>
      </c>
      <c r="T888" s="2" t="s">
        <v>60</v>
      </c>
    </row>
    <row r="889" spans="1:23" x14ac:dyDescent="0.25">
      <c r="A889" t="s">
        <v>4189</v>
      </c>
      <c r="B889" s="4">
        <f t="shared" si="13"/>
        <v>79706</v>
      </c>
      <c r="C889" t="s">
        <v>4190</v>
      </c>
      <c r="D889" t="s">
        <v>103</v>
      </c>
      <c r="E889" t="s">
        <v>444</v>
      </c>
      <c r="F889">
        <v>1</v>
      </c>
      <c r="G889" t="s">
        <v>26</v>
      </c>
      <c r="H889" s="2" t="s">
        <v>27</v>
      </c>
      <c r="I889" t="s">
        <v>55</v>
      </c>
      <c r="J889" s="2" t="s">
        <v>428</v>
      </c>
      <c r="L889" s="2" t="s">
        <v>30</v>
      </c>
      <c r="M889" s="2" t="s">
        <v>31</v>
      </c>
      <c r="N889" s="2" t="s">
        <v>32</v>
      </c>
      <c r="O889" s="2" t="s">
        <v>123</v>
      </c>
      <c r="P889" s="2" t="s">
        <v>34</v>
      </c>
      <c r="Q889" t="s">
        <v>959</v>
      </c>
      <c r="R889" s="2" t="s">
        <v>960</v>
      </c>
      <c r="T889" s="2" t="s">
        <v>34</v>
      </c>
      <c r="U889" s="2" t="s">
        <v>961</v>
      </c>
      <c r="V889" s="2" t="s">
        <v>4189</v>
      </c>
      <c r="W889" t="s">
        <v>4190</v>
      </c>
    </row>
    <row r="890" spans="1:23" x14ac:dyDescent="0.25">
      <c r="A890" t="s">
        <v>4191</v>
      </c>
      <c r="B890" s="4">
        <f t="shared" si="13"/>
        <v>79710</v>
      </c>
      <c r="C890" t="s">
        <v>4192</v>
      </c>
      <c r="D890" t="s">
        <v>42</v>
      </c>
      <c r="E890" t="s">
        <v>43</v>
      </c>
      <c r="F890">
        <v>3</v>
      </c>
      <c r="G890" t="s">
        <v>26</v>
      </c>
      <c r="H890" s="2" t="s">
        <v>27</v>
      </c>
      <c r="I890" t="s">
        <v>28</v>
      </c>
      <c r="J890" s="2" t="s">
        <v>428</v>
      </c>
      <c r="L890" s="2" t="s">
        <v>30</v>
      </c>
      <c r="M890" s="2" t="s">
        <v>31</v>
      </c>
      <c r="N890" s="2" t="s">
        <v>32</v>
      </c>
      <c r="O890" s="2" t="s">
        <v>144</v>
      </c>
      <c r="P890" s="2" t="s">
        <v>34</v>
      </c>
      <c r="Q890" t="s">
        <v>46</v>
      </c>
      <c r="R890" s="2" t="s">
        <v>47</v>
      </c>
      <c r="T890" s="2" t="s">
        <v>34</v>
      </c>
      <c r="U890" s="2" t="s">
        <v>48</v>
      </c>
      <c r="V890" s="2" t="s">
        <v>824</v>
      </c>
      <c r="W890" t="s">
        <v>4179</v>
      </c>
    </row>
    <row r="891" spans="1:23" x14ac:dyDescent="0.25">
      <c r="A891" t="s">
        <v>4193</v>
      </c>
      <c r="B891" s="4">
        <f t="shared" si="13"/>
        <v>79711</v>
      </c>
      <c r="C891" t="s">
        <v>4194</v>
      </c>
      <c r="D891" t="s">
        <v>42</v>
      </c>
      <c r="E891" t="s">
        <v>67</v>
      </c>
      <c r="F891">
        <v>2</v>
      </c>
      <c r="G891" t="s">
        <v>26</v>
      </c>
      <c r="H891" s="2" t="s">
        <v>27</v>
      </c>
      <c r="I891" t="s">
        <v>28</v>
      </c>
      <c r="J891" s="2" t="s">
        <v>428</v>
      </c>
      <c r="L891" s="2" t="s">
        <v>30</v>
      </c>
      <c r="M891" s="2" t="s">
        <v>31</v>
      </c>
      <c r="N891" s="2" t="s">
        <v>32</v>
      </c>
      <c r="O891" s="2" t="s">
        <v>69</v>
      </c>
      <c r="P891" s="2" t="s">
        <v>34</v>
      </c>
      <c r="Q891" t="s">
        <v>70</v>
      </c>
      <c r="R891" s="2" t="s">
        <v>71</v>
      </c>
      <c r="T891" s="2" t="s">
        <v>34</v>
      </c>
      <c r="U891" s="2" t="s">
        <v>72</v>
      </c>
      <c r="V891" s="2" t="s">
        <v>824</v>
      </c>
      <c r="W891" t="s">
        <v>4179</v>
      </c>
    </row>
    <row r="892" spans="1:23" x14ac:dyDescent="0.25">
      <c r="A892" t="s">
        <v>4195</v>
      </c>
      <c r="B892" s="4">
        <f t="shared" si="13"/>
        <v>79712</v>
      </c>
      <c r="C892" t="s">
        <v>4196</v>
      </c>
      <c r="D892" t="s">
        <v>297</v>
      </c>
      <c r="E892" t="s">
        <v>298</v>
      </c>
      <c r="F892">
        <v>1</v>
      </c>
      <c r="G892" t="s">
        <v>26</v>
      </c>
      <c r="H892" s="2" t="s">
        <v>373</v>
      </c>
      <c r="I892" t="s">
        <v>55</v>
      </c>
      <c r="K892" s="2" t="s">
        <v>4197</v>
      </c>
      <c r="L892" s="2" t="s">
        <v>30</v>
      </c>
      <c r="M892" s="2" t="s">
        <v>31</v>
      </c>
      <c r="N892" s="2" t="s">
        <v>32</v>
      </c>
      <c r="O892" s="2" t="s">
        <v>4198</v>
      </c>
      <c r="P892" s="2" t="s">
        <v>34</v>
      </c>
      <c r="Q892" t="s">
        <v>300</v>
      </c>
      <c r="R892" s="2" t="s">
        <v>301</v>
      </c>
      <c r="T892" s="2" t="s">
        <v>60</v>
      </c>
    </row>
    <row r="893" spans="1:23" x14ac:dyDescent="0.25">
      <c r="A893" t="s">
        <v>4199</v>
      </c>
      <c r="B893" s="4">
        <f t="shared" si="13"/>
        <v>79713</v>
      </c>
      <c r="C893" t="s">
        <v>4200</v>
      </c>
      <c r="D893" t="s">
        <v>297</v>
      </c>
      <c r="E893" t="s">
        <v>1653</v>
      </c>
      <c r="F893">
        <v>1</v>
      </c>
      <c r="G893" t="s">
        <v>26</v>
      </c>
      <c r="H893" s="2" t="s">
        <v>27</v>
      </c>
      <c r="I893" t="s">
        <v>368</v>
      </c>
      <c r="J893" s="2" t="s">
        <v>428</v>
      </c>
      <c r="L893" s="2" t="s">
        <v>30</v>
      </c>
      <c r="M893" s="2" t="s">
        <v>31</v>
      </c>
      <c r="N893" s="2" t="s">
        <v>32</v>
      </c>
      <c r="O893" s="2" t="s">
        <v>1655</v>
      </c>
      <c r="P893" s="2" t="s">
        <v>34</v>
      </c>
      <c r="Q893" t="s">
        <v>1656</v>
      </c>
      <c r="R893" s="2" t="s">
        <v>1657</v>
      </c>
      <c r="T893" s="2" t="s">
        <v>60</v>
      </c>
    </row>
    <row r="894" spans="1:23" x14ac:dyDescent="0.25">
      <c r="A894" t="s">
        <v>4201</v>
      </c>
      <c r="B894" s="4">
        <f t="shared" si="13"/>
        <v>79714</v>
      </c>
      <c r="C894" t="s">
        <v>4202</v>
      </c>
      <c r="D894" t="s">
        <v>53</v>
      </c>
      <c r="E894" t="s">
        <v>63</v>
      </c>
      <c r="F894">
        <v>2</v>
      </c>
      <c r="G894" t="s">
        <v>26</v>
      </c>
      <c r="H894" s="2" t="s">
        <v>27</v>
      </c>
      <c r="I894" t="s">
        <v>55</v>
      </c>
      <c r="J894" s="2" t="s">
        <v>428</v>
      </c>
      <c r="L894" s="2" t="s">
        <v>30</v>
      </c>
      <c r="M894" s="2" t="s">
        <v>31</v>
      </c>
      <c r="N894" s="2" t="s">
        <v>32</v>
      </c>
      <c r="O894" s="2" t="s">
        <v>699</v>
      </c>
      <c r="P894" s="2" t="s">
        <v>34</v>
      </c>
      <c r="Q894" t="s">
        <v>700</v>
      </c>
      <c r="R894" s="2" t="s">
        <v>701</v>
      </c>
      <c r="T894" s="2" t="s">
        <v>60</v>
      </c>
    </row>
    <row r="895" spans="1:23" x14ac:dyDescent="0.25">
      <c r="A895" t="s">
        <v>4203</v>
      </c>
      <c r="B895" s="4">
        <f t="shared" si="13"/>
        <v>79715</v>
      </c>
      <c r="C895" t="s">
        <v>4204</v>
      </c>
      <c r="D895" t="s">
        <v>279</v>
      </c>
      <c r="E895" t="s">
        <v>25</v>
      </c>
      <c r="F895">
        <v>1</v>
      </c>
      <c r="G895" t="s">
        <v>26</v>
      </c>
      <c r="H895" s="2" t="s">
        <v>373</v>
      </c>
      <c r="I895" t="s">
        <v>55</v>
      </c>
      <c r="K895" s="2" t="s">
        <v>4197</v>
      </c>
      <c r="L895" s="2" t="s">
        <v>30</v>
      </c>
      <c r="M895" s="2" t="s">
        <v>31</v>
      </c>
      <c r="N895" s="2" t="s">
        <v>32</v>
      </c>
      <c r="O895" s="2" t="s">
        <v>4205</v>
      </c>
      <c r="P895" s="2" t="s">
        <v>34</v>
      </c>
      <c r="Q895" t="s">
        <v>4206</v>
      </c>
      <c r="R895" s="2" t="s">
        <v>206</v>
      </c>
      <c r="S895" s="2" t="s">
        <v>4207</v>
      </c>
      <c r="T895" s="2" t="s">
        <v>60</v>
      </c>
    </row>
    <row r="896" spans="1:23" x14ac:dyDescent="0.25">
      <c r="A896" t="s">
        <v>4208</v>
      </c>
      <c r="B896" s="4">
        <f t="shared" si="13"/>
        <v>79716</v>
      </c>
      <c r="C896" t="s">
        <v>4209</v>
      </c>
      <c r="D896" t="s">
        <v>24</v>
      </c>
      <c r="E896" t="s">
        <v>171</v>
      </c>
      <c r="F896">
        <v>2</v>
      </c>
      <c r="G896" t="s">
        <v>26</v>
      </c>
      <c r="H896" s="2" t="s">
        <v>27</v>
      </c>
      <c r="I896" t="s">
        <v>55</v>
      </c>
      <c r="J896" s="2" t="s">
        <v>428</v>
      </c>
      <c r="L896" s="2" t="s">
        <v>30</v>
      </c>
      <c r="M896" s="2" t="s">
        <v>31</v>
      </c>
      <c r="N896" s="2" t="s">
        <v>32</v>
      </c>
      <c r="O896" s="2" t="s">
        <v>173</v>
      </c>
      <c r="P896" s="2" t="s">
        <v>34</v>
      </c>
      <c r="Q896" t="s">
        <v>174</v>
      </c>
      <c r="R896" s="2" t="s">
        <v>175</v>
      </c>
      <c r="T896" s="2" t="s">
        <v>60</v>
      </c>
    </row>
    <row r="897" spans="1:23" x14ac:dyDescent="0.25">
      <c r="A897" t="s">
        <v>4210</v>
      </c>
      <c r="B897" s="4">
        <f t="shared" si="13"/>
        <v>79717</v>
      </c>
      <c r="C897" t="s">
        <v>4211</v>
      </c>
      <c r="D897" t="s">
        <v>149</v>
      </c>
      <c r="E897" t="s">
        <v>150</v>
      </c>
      <c r="F897">
        <v>3</v>
      </c>
      <c r="G897" t="s">
        <v>26</v>
      </c>
      <c r="H897" s="2" t="s">
        <v>27</v>
      </c>
      <c r="I897" t="s">
        <v>55</v>
      </c>
      <c r="J897" s="2" t="s">
        <v>428</v>
      </c>
      <c r="L897" s="2" t="s">
        <v>30</v>
      </c>
      <c r="M897" s="2" t="s">
        <v>31</v>
      </c>
      <c r="N897" s="2" t="s">
        <v>32</v>
      </c>
      <c r="O897" s="2" t="s">
        <v>198</v>
      </c>
      <c r="P897" s="2" t="s">
        <v>34</v>
      </c>
      <c r="Q897" t="s">
        <v>794</v>
      </c>
      <c r="R897" s="2" t="s">
        <v>795</v>
      </c>
      <c r="T897" s="2" t="s">
        <v>60</v>
      </c>
    </row>
    <row r="898" spans="1:23" x14ac:dyDescent="0.25">
      <c r="A898" t="s">
        <v>4212</v>
      </c>
      <c r="B898" s="4">
        <f t="shared" si="13"/>
        <v>79718</v>
      </c>
      <c r="C898" t="s">
        <v>4213</v>
      </c>
      <c r="D898" t="s">
        <v>42</v>
      </c>
      <c r="E898" t="s">
        <v>43</v>
      </c>
      <c r="F898">
        <v>3</v>
      </c>
      <c r="G898" t="s">
        <v>26</v>
      </c>
      <c r="H898" s="2" t="s">
        <v>27</v>
      </c>
      <c r="I898" t="s">
        <v>55</v>
      </c>
      <c r="J898" s="2" t="s">
        <v>428</v>
      </c>
      <c r="L898" s="2" t="s">
        <v>30</v>
      </c>
      <c r="M898" s="2" t="s">
        <v>31</v>
      </c>
      <c r="N898" s="2" t="s">
        <v>32</v>
      </c>
      <c r="O898" s="2" t="s">
        <v>144</v>
      </c>
      <c r="P898" s="2" t="s">
        <v>34</v>
      </c>
      <c r="Q898" t="s">
        <v>86</v>
      </c>
      <c r="R898" s="2" t="s">
        <v>87</v>
      </c>
      <c r="T898" s="2" t="s">
        <v>60</v>
      </c>
    </row>
    <row r="899" spans="1:23" x14ac:dyDescent="0.25">
      <c r="A899" t="s">
        <v>4214</v>
      </c>
      <c r="B899" s="4">
        <f t="shared" ref="B899:B957" si="14">REPLACE(A899, 1, 1, "")+0</f>
        <v>79719</v>
      </c>
      <c r="C899" t="s">
        <v>4215</v>
      </c>
      <c r="D899" t="s">
        <v>42</v>
      </c>
      <c r="E899" t="s">
        <v>77</v>
      </c>
      <c r="F899">
        <v>3</v>
      </c>
      <c r="G899" t="s">
        <v>26</v>
      </c>
      <c r="H899" s="2" t="s">
        <v>27</v>
      </c>
      <c r="I899" t="s">
        <v>55</v>
      </c>
      <c r="J899" s="2" t="s">
        <v>428</v>
      </c>
      <c r="L899" s="2" t="s">
        <v>30</v>
      </c>
      <c r="M899" s="2" t="s">
        <v>31</v>
      </c>
      <c r="N899" s="2" t="s">
        <v>32</v>
      </c>
      <c r="O899" s="2" t="s">
        <v>144</v>
      </c>
      <c r="P899" s="2" t="s">
        <v>34</v>
      </c>
      <c r="Q899" t="s">
        <v>80</v>
      </c>
      <c r="R899" s="2" t="s">
        <v>81</v>
      </c>
      <c r="T899" s="2" t="s">
        <v>60</v>
      </c>
    </row>
    <row r="900" spans="1:23" x14ac:dyDescent="0.25">
      <c r="A900" t="s">
        <v>4216</v>
      </c>
      <c r="B900" s="4">
        <f t="shared" si="14"/>
        <v>79720</v>
      </c>
      <c r="C900" t="s">
        <v>4217</v>
      </c>
      <c r="D900" t="s">
        <v>149</v>
      </c>
      <c r="E900" t="s">
        <v>347</v>
      </c>
      <c r="F900">
        <v>3</v>
      </c>
      <c r="G900" t="s">
        <v>26</v>
      </c>
      <c r="H900" s="2" t="s">
        <v>27</v>
      </c>
      <c r="I900" t="s">
        <v>55</v>
      </c>
      <c r="J900" s="2" t="s">
        <v>428</v>
      </c>
      <c r="L900" s="2" t="s">
        <v>30</v>
      </c>
      <c r="M900" s="2" t="s">
        <v>31</v>
      </c>
      <c r="N900" s="2" t="s">
        <v>32</v>
      </c>
      <c r="O900" s="2" t="s">
        <v>198</v>
      </c>
      <c r="P900" s="2" t="s">
        <v>34</v>
      </c>
      <c r="Q900" t="s">
        <v>153</v>
      </c>
      <c r="R900" s="2" t="s">
        <v>154</v>
      </c>
      <c r="T900" s="2" t="s">
        <v>60</v>
      </c>
    </row>
    <row r="901" spans="1:23" x14ac:dyDescent="0.25">
      <c r="A901" t="s">
        <v>4218</v>
      </c>
      <c r="B901" s="4">
        <f t="shared" si="14"/>
        <v>79721</v>
      </c>
      <c r="C901" t="s">
        <v>4219</v>
      </c>
      <c r="D901" t="s">
        <v>297</v>
      </c>
      <c r="E901" t="s">
        <v>304</v>
      </c>
      <c r="F901">
        <v>1</v>
      </c>
      <c r="G901" t="s">
        <v>26</v>
      </c>
      <c r="H901" s="2" t="s">
        <v>27</v>
      </c>
      <c r="I901" t="s">
        <v>55</v>
      </c>
      <c r="J901" s="2" t="s">
        <v>428</v>
      </c>
      <c r="L901" s="2" t="s">
        <v>30</v>
      </c>
      <c r="M901" s="2" t="s">
        <v>31</v>
      </c>
      <c r="N901" s="2" t="s">
        <v>32</v>
      </c>
      <c r="O901" s="2" t="s">
        <v>491</v>
      </c>
      <c r="P901" s="2" t="s">
        <v>34</v>
      </c>
      <c r="Q901" t="s">
        <v>492</v>
      </c>
      <c r="R901" s="2" t="s">
        <v>493</v>
      </c>
      <c r="T901" s="2" t="s">
        <v>60</v>
      </c>
    </row>
    <row r="902" spans="1:23" x14ac:dyDescent="0.25">
      <c r="A902" t="s">
        <v>4220</v>
      </c>
      <c r="B902" s="4">
        <f t="shared" si="14"/>
        <v>79722</v>
      </c>
      <c r="C902" t="s">
        <v>4221</v>
      </c>
      <c r="D902" t="s">
        <v>245</v>
      </c>
      <c r="E902" t="s">
        <v>246</v>
      </c>
      <c r="F902">
        <v>2</v>
      </c>
      <c r="G902" t="s">
        <v>26</v>
      </c>
      <c r="H902" s="2" t="s">
        <v>27</v>
      </c>
      <c r="I902" t="s">
        <v>55</v>
      </c>
      <c r="J902" s="2" t="s">
        <v>428</v>
      </c>
      <c r="L902" s="2" t="s">
        <v>30</v>
      </c>
      <c r="M902" s="2" t="s">
        <v>31</v>
      </c>
      <c r="N902" s="2" t="s">
        <v>32</v>
      </c>
      <c r="O902" s="2" t="s">
        <v>4222</v>
      </c>
      <c r="P902" s="2" t="s">
        <v>34</v>
      </c>
      <c r="Q902" t="s">
        <v>4223</v>
      </c>
      <c r="R902" s="2" t="s">
        <v>4224</v>
      </c>
      <c r="T902" s="2" t="s">
        <v>60</v>
      </c>
    </row>
    <row r="903" spans="1:23" x14ac:dyDescent="0.25">
      <c r="A903" t="s">
        <v>4225</v>
      </c>
      <c r="B903" s="4">
        <f t="shared" si="14"/>
        <v>79723</v>
      </c>
      <c r="C903" t="s">
        <v>4226</v>
      </c>
      <c r="D903" t="s">
        <v>42</v>
      </c>
      <c r="E903" t="s">
        <v>517</v>
      </c>
      <c r="F903">
        <v>3</v>
      </c>
      <c r="G903" t="s">
        <v>26</v>
      </c>
      <c r="H903" s="2" t="s">
        <v>373</v>
      </c>
      <c r="I903" t="s">
        <v>55</v>
      </c>
      <c r="K903" s="2" t="s">
        <v>4197</v>
      </c>
      <c r="L903" s="2" t="s">
        <v>30</v>
      </c>
      <c r="M903" s="2" t="s">
        <v>31</v>
      </c>
      <c r="N903" s="2" t="s">
        <v>32</v>
      </c>
      <c r="O903" s="2" t="s">
        <v>839</v>
      </c>
      <c r="P903" s="2" t="s">
        <v>34</v>
      </c>
      <c r="Q903" t="s">
        <v>840</v>
      </c>
      <c r="R903" s="2" t="s">
        <v>206</v>
      </c>
      <c r="S903" s="2" t="s">
        <v>841</v>
      </c>
      <c r="T903" s="2" t="s">
        <v>60</v>
      </c>
    </row>
    <row r="904" spans="1:23" x14ac:dyDescent="0.25">
      <c r="A904" t="s">
        <v>4227</v>
      </c>
      <c r="B904" s="4">
        <f t="shared" si="14"/>
        <v>79724</v>
      </c>
      <c r="C904" t="s">
        <v>4228</v>
      </c>
      <c r="D904" t="s">
        <v>120</v>
      </c>
      <c r="E904" t="s">
        <v>121</v>
      </c>
      <c r="F904">
        <v>1</v>
      </c>
      <c r="G904" t="s">
        <v>26</v>
      </c>
      <c r="H904" s="2" t="s">
        <v>27</v>
      </c>
      <c r="I904" t="s">
        <v>55</v>
      </c>
      <c r="J904" s="2" t="s">
        <v>428</v>
      </c>
      <c r="L904" s="2" t="s">
        <v>30</v>
      </c>
      <c r="M904" s="2" t="s">
        <v>31</v>
      </c>
      <c r="N904" s="2" t="s">
        <v>32</v>
      </c>
      <c r="O904" s="2" t="s">
        <v>123</v>
      </c>
      <c r="P904" s="2" t="s">
        <v>34</v>
      </c>
      <c r="Q904" t="s">
        <v>124</v>
      </c>
      <c r="R904" s="2" t="s">
        <v>125</v>
      </c>
      <c r="T904" s="2" t="s">
        <v>60</v>
      </c>
    </row>
    <row r="905" spans="1:23" x14ac:dyDescent="0.25">
      <c r="A905" t="s">
        <v>4229</v>
      </c>
      <c r="B905" s="4">
        <f t="shared" si="14"/>
        <v>79725</v>
      </c>
      <c r="C905" t="s">
        <v>4230</v>
      </c>
      <c r="D905" t="s">
        <v>297</v>
      </c>
      <c r="E905" t="s">
        <v>304</v>
      </c>
      <c r="F905">
        <v>1</v>
      </c>
      <c r="G905" t="s">
        <v>26</v>
      </c>
      <c r="H905" s="2" t="s">
        <v>27</v>
      </c>
      <c r="I905" t="s">
        <v>55</v>
      </c>
      <c r="J905" s="2" t="s">
        <v>428</v>
      </c>
      <c r="L905" s="2" t="s">
        <v>30</v>
      </c>
      <c r="M905" s="2" t="s">
        <v>31</v>
      </c>
      <c r="N905" s="2" t="s">
        <v>32</v>
      </c>
      <c r="O905" s="2" t="s">
        <v>306</v>
      </c>
      <c r="P905" s="2" t="s">
        <v>34</v>
      </c>
      <c r="Q905" t="s">
        <v>307</v>
      </c>
      <c r="R905" s="2" t="s">
        <v>308</v>
      </c>
      <c r="T905" s="2" t="s">
        <v>34</v>
      </c>
      <c r="U905" s="2" t="s">
        <v>309</v>
      </c>
      <c r="V905" s="2" t="s">
        <v>824</v>
      </c>
      <c r="W905" t="s">
        <v>4179</v>
      </c>
    </row>
    <row r="906" spans="1:23" x14ac:dyDescent="0.25">
      <c r="A906" t="s">
        <v>4231</v>
      </c>
      <c r="B906" s="4">
        <f t="shared" si="14"/>
        <v>79726</v>
      </c>
      <c r="C906" t="s">
        <v>4232</v>
      </c>
      <c r="D906" t="s">
        <v>149</v>
      </c>
      <c r="E906" t="s">
        <v>4233</v>
      </c>
      <c r="F906">
        <v>3</v>
      </c>
      <c r="G906" t="s">
        <v>26</v>
      </c>
      <c r="H906" s="2" t="s">
        <v>27</v>
      </c>
      <c r="I906" t="s">
        <v>55</v>
      </c>
      <c r="J906" s="2" t="s">
        <v>428</v>
      </c>
      <c r="L906" s="2" t="s">
        <v>30</v>
      </c>
      <c r="M906" s="2" t="s">
        <v>31</v>
      </c>
      <c r="N906" s="2" t="s">
        <v>32</v>
      </c>
      <c r="O906" s="2" t="s">
        <v>152</v>
      </c>
      <c r="P906" s="2" t="s">
        <v>34</v>
      </c>
      <c r="Q906" t="s">
        <v>440</v>
      </c>
      <c r="R906" s="2" t="s">
        <v>441</v>
      </c>
      <c r="T906" s="2" t="s">
        <v>60</v>
      </c>
    </row>
    <row r="907" spans="1:23" x14ac:dyDescent="0.25">
      <c r="A907" t="s">
        <v>4234</v>
      </c>
      <c r="B907" s="4">
        <f t="shared" si="14"/>
        <v>79728</v>
      </c>
      <c r="C907" t="s">
        <v>4235</v>
      </c>
      <c r="D907" t="s">
        <v>42</v>
      </c>
      <c r="E907" t="s">
        <v>201</v>
      </c>
      <c r="F907">
        <v>3</v>
      </c>
      <c r="G907" t="s">
        <v>26</v>
      </c>
      <c r="H907" s="2" t="s">
        <v>27</v>
      </c>
      <c r="I907" t="s">
        <v>55</v>
      </c>
      <c r="J907" s="2" t="s">
        <v>428</v>
      </c>
      <c r="L907" s="2" t="s">
        <v>30</v>
      </c>
      <c r="M907" s="2" t="s">
        <v>31</v>
      </c>
      <c r="N907" s="2" t="s">
        <v>32</v>
      </c>
      <c r="O907" s="2" t="s">
        <v>275</v>
      </c>
      <c r="P907" s="2" t="s">
        <v>34</v>
      </c>
      <c r="Q907" t="s">
        <v>203</v>
      </c>
      <c r="R907" s="2" t="s">
        <v>204</v>
      </c>
      <c r="T907" s="2" t="s">
        <v>34</v>
      </c>
      <c r="U907" s="2" t="s">
        <v>205</v>
      </c>
      <c r="V907" s="2" t="s">
        <v>824</v>
      </c>
      <c r="W907" t="s">
        <v>4179</v>
      </c>
    </row>
    <row r="908" spans="1:23" x14ac:dyDescent="0.25">
      <c r="A908" t="s">
        <v>4236</v>
      </c>
      <c r="B908" s="4">
        <f t="shared" si="14"/>
        <v>79729</v>
      </c>
      <c r="C908" t="s">
        <v>4237</v>
      </c>
      <c r="D908" t="s">
        <v>24</v>
      </c>
      <c r="E908" t="s">
        <v>655</v>
      </c>
      <c r="F908">
        <v>2</v>
      </c>
      <c r="G908" t="s">
        <v>26</v>
      </c>
      <c r="H908" s="2" t="s">
        <v>373</v>
      </c>
      <c r="I908" t="s">
        <v>55</v>
      </c>
      <c r="K908" s="2" t="s">
        <v>4197</v>
      </c>
      <c r="L908" s="2" t="s">
        <v>30</v>
      </c>
      <c r="M908" s="2" t="s">
        <v>31</v>
      </c>
      <c r="N908" s="2" t="s">
        <v>32</v>
      </c>
      <c r="O908" s="2" t="s">
        <v>4238</v>
      </c>
      <c r="P908" s="2" t="s">
        <v>34</v>
      </c>
      <c r="Q908" t="s">
        <v>658</v>
      </c>
      <c r="R908" s="2" t="s">
        <v>659</v>
      </c>
      <c r="T908" s="2" t="s">
        <v>34</v>
      </c>
      <c r="U908" s="2" t="s">
        <v>660</v>
      </c>
      <c r="V908" s="2" t="s">
        <v>824</v>
      </c>
      <c r="W908" t="s">
        <v>4179</v>
      </c>
    </row>
    <row r="909" spans="1:23" x14ac:dyDescent="0.25">
      <c r="A909" t="s">
        <v>4239</v>
      </c>
      <c r="B909" s="4">
        <f t="shared" si="14"/>
        <v>79730</v>
      </c>
      <c r="C909" t="s">
        <v>4240</v>
      </c>
      <c r="D909" t="s">
        <v>53</v>
      </c>
      <c r="E909" t="s">
        <v>672</v>
      </c>
      <c r="F909">
        <v>2</v>
      </c>
      <c r="G909" t="s">
        <v>26</v>
      </c>
      <c r="H909" s="2" t="s">
        <v>27</v>
      </c>
      <c r="I909" t="s">
        <v>55</v>
      </c>
      <c r="J909" s="2" t="s">
        <v>428</v>
      </c>
      <c r="L909" s="2" t="s">
        <v>30</v>
      </c>
      <c r="M909" s="2" t="s">
        <v>31</v>
      </c>
      <c r="N909" s="2" t="s">
        <v>32</v>
      </c>
      <c r="O909" s="2" t="s">
        <v>674</v>
      </c>
      <c r="P909" s="2" t="s">
        <v>34</v>
      </c>
      <c r="Q909" t="s">
        <v>675</v>
      </c>
      <c r="R909" s="2" t="s">
        <v>676</v>
      </c>
      <c r="T909" s="2" t="s">
        <v>60</v>
      </c>
    </row>
    <row r="910" spans="1:23" x14ac:dyDescent="0.25">
      <c r="A910" t="s">
        <v>4241</v>
      </c>
      <c r="B910" s="4">
        <f t="shared" si="14"/>
        <v>79731</v>
      </c>
      <c r="C910" t="s">
        <v>4242</v>
      </c>
      <c r="D910" t="s">
        <v>103</v>
      </c>
      <c r="E910" t="s">
        <v>104</v>
      </c>
      <c r="F910">
        <v>1</v>
      </c>
      <c r="G910" t="s">
        <v>26</v>
      </c>
      <c r="H910" s="2" t="s">
        <v>27</v>
      </c>
      <c r="I910" t="s">
        <v>55</v>
      </c>
      <c r="J910" s="2" t="s">
        <v>428</v>
      </c>
      <c r="L910" s="2" t="s">
        <v>30</v>
      </c>
      <c r="M910" s="2" t="s">
        <v>31</v>
      </c>
      <c r="N910" s="2" t="s">
        <v>32</v>
      </c>
      <c r="O910" s="2" t="s">
        <v>106</v>
      </c>
      <c r="P910" s="2" t="s">
        <v>34</v>
      </c>
      <c r="Q910" t="s">
        <v>107</v>
      </c>
      <c r="R910" s="2" t="s">
        <v>108</v>
      </c>
      <c r="T910" s="2" t="s">
        <v>34</v>
      </c>
      <c r="U910" s="2" t="s">
        <v>109</v>
      </c>
      <c r="V910" s="2" t="s">
        <v>824</v>
      </c>
      <c r="W910" t="s">
        <v>4179</v>
      </c>
    </row>
    <row r="911" spans="1:23" x14ac:dyDescent="0.25">
      <c r="A911" t="s">
        <v>4243</v>
      </c>
      <c r="B911" s="4">
        <f t="shared" si="14"/>
        <v>79732</v>
      </c>
      <c r="C911" t="s">
        <v>4244</v>
      </c>
      <c r="D911" t="s">
        <v>185</v>
      </c>
      <c r="E911" t="s">
        <v>969</v>
      </c>
      <c r="F911" t="s">
        <v>543</v>
      </c>
      <c r="G911" t="s">
        <v>26</v>
      </c>
      <c r="H911" s="2" t="s">
        <v>27</v>
      </c>
      <c r="I911" t="s">
        <v>55</v>
      </c>
      <c r="J911" s="2" t="s">
        <v>428</v>
      </c>
      <c r="L911" s="2" t="s">
        <v>30</v>
      </c>
      <c r="M911" s="2" t="s">
        <v>31</v>
      </c>
      <c r="N911" s="2" t="s">
        <v>32</v>
      </c>
      <c r="O911" s="2" t="s">
        <v>4245</v>
      </c>
      <c r="P911" s="2" t="s">
        <v>34</v>
      </c>
      <c r="Q911" t="s">
        <v>971</v>
      </c>
      <c r="R911" s="2" t="s">
        <v>206</v>
      </c>
      <c r="S911" s="2" t="s">
        <v>972</v>
      </c>
      <c r="T911" s="2" t="s">
        <v>60</v>
      </c>
    </row>
    <row r="912" spans="1:23" x14ac:dyDescent="0.25">
      <c r="A912" t="s">
        <v>4246</v>
      </c>
      <c r="B912" s="4">
        <f t="shared" si="14"/>
        <v>79733</v>
      </c>
      <c r="C912" t="s">
        <v>4247</v>
      </c>
      <c r="D912" t="s">
        <v>185</v>
      </c>
      <c r="E912" t="s">
        <v>1118</v>
      </c>
      <c r="F912" t="s">
        <v>680</v>
      </c>
      <c r="G912" t="s">
        <v>352</v>
      </c>
      <c r="H912" s="2" t="s">
        <v>373</v>
      </c>
      <c r="I912" t="s">
        <v>28</v>
      </c>
      <c r="K912" s="2" t="s">
        <v>3130</v>
      </c>
      <c r="L912" s="2" t="s">
        <v>30</v>
      </c>
      <c r="M912" s="2" t="s">
        <v>31</v>
      </c>
      <c r="N912" s="2" t="s">
        <v>32</v>
      </c>
      <c r="O912" s="2" t="s">
        <v>4248</v>
      </c>
      <c r="P912" s="2" t="s">
        <v>34</v>
      </c>
      <c r="Q912" t="s">
        <v>446</v>
      </c>
      <c r="R912" s="2" t="s">
        <v>447</v>
      </c>
      <c r="T912" s="2" t="s">
        <v>34</v>
      </c>
      <c r="U912" s="2" t="s">
        <v>448</v>
      </c>
      <c r="V912" s="2" t="s">
        <v>824</v>
      </c>
      <c r="W912" t="s">
        <v>4179</v>
      </c>
    </row>
    <row r="913" spans="1:23" x14ac:dyDescent="0.25">
      <c r="A913" t="s">
        <v>4249</v>
      </c>
      <c r="B913" s="4">
        <f t="shared" si="14"/>
        <v>79734</v>
      </c>
      <c r="C913" t="s">
        <v>4250</v>
      </c>
      <c r="D913" t="s">
        <v>245</v>
      </c>
      <c r="E913" t="s">
        <v>563</v>
      </c>
      <c r="F913">
        <v>2</v>
      </c>
      <c r="G913" t="s">
        <v>26</v>
      </c>
      <c r="H913" s="2" t="s">
        <v>27</v>
      </c>
      <c r="I913" t="s">
        <v>55</v>
      </c>
      <c r="J913" s="2" t="s">
        <v>428</v>
      </c>
      <c r="L913" s="2" t="s">
        <v>30</v>
      </c>
      <c r="M913" s="2" t="s">
        <v>31</v>
      </c>
      <c r="N913" s="2" t="s">
        <v>32</v>
      </c>
      <c r="O913" s="2" t="s">
        <v>565</v>
      </c>
      <c r="P913" s="2" t="s">
        <v>34</v>
      </c>
      <c r="Q913" t="s">
        <v>566</v>
      </c>
      <c r="R913" s="2" t="s">
        <v>567</v>
      </c>
      <c r="T913" s="2" t="s">
        <v>60</v>
      </c>
    </row>
    <row r="914" spans="1:23" x14ac:dyDescent="0.25">
      <c r="A914" t="s">
        <v>4251</v>
      </c>
      <c r="B914" s="4">
        <f t="shared" si="14"/>
        <v>79735</v>
      </c>
      <c r="C914" t="s">
        <v>4196</v>
      </c>
      <c r="D914" t="s">
        <v>297</v>
      </c>
      <c r="E914" t="s">
        <v>298</v>
      </c>
      <c r="F914">
        <v>1</v>
      </c>
      <c r="G914" t="s">
        <v>26</v>
      </c>
      <c r="H914" s="2" t="s">
        <v>27</v>
      </c>
      <c r="I914" t="s">
        <v>55</v>
      </c>
      <c r="J914" s="2" t="s">
        <v>428</v>
      </c>
      <c r="L914" s="2" t="s">
        <v>30</v>
      </c>
      <c r="M914" s="2" t="s">
        <v>31</v>
      </c>
      <c r="N914" s="2" t="s">
        <v>32</v>
      </c>
      <c r="O914" s="2" t="s">
        <v>123</v>
      </c>
      <c r="P914" s="2" t="s">
        <v>34</v>
      </c>
      <c r="Q914" t="s">
        <v>300</v>
      </c>
      <c r="R914" s="2" t="s">
        <v>301</v>
      </c>
      <c r="T914" s="2" t="s">
        <v>60</v>
      </c>
    </row>
    <row r="915" spans="1:23" x14ac:dyDescent="0.25">
      <c r="A915" t="s">
        <v>4252</v>
      </c>
      <c r="B915" s="4">
        <f t="shared" si="14"/>
        <v>79736</v>
      </c>
      <c r="C915" t="s">
        <v>4253</v>
      </c>
      <c r="D915" t="s">
        <v>53</v>
      </c>
      <c r="E915" t="s">
        <v>54</v>
      </c>
      <c r="F915">
        <v>2</v>
      </c>
      <c r="G915" t="s">
        <v>26</v>
      </c>
      <c r="H915" s="2" t="s">
        <v>27</v>
      </c>
      <c r="I915" t="s">
        <v>55</v>
      </c>
      <c r="J915" s="2" t="s">
        <v>428</v>
      </c>
      <c r="L915" s="2" t="s">
        <v>30</v>
      </c>
      <c r="M915" s="2" t="s">
        <v>31</v>
      </c>
      <c r="N915" s="2" t="s">
        <v>32</v>
      </c>
      <c r="O915" s="2" t="s">
        <v>57</v>
      </c>
      <c r="P915" s="2" t="s">
        <v>34</v>
      </c>
      <c r="Q915" t="s">
        <v>58</v>
      </c>
      <c r="R915" s="2" t="s">
        <v>59</v>
      </c>
      <c r="T915" s="2" t="s">
        <v>60</v>
      </c>
    </row>
    <row r="916" spans="1:23" x14ac:dyDescent="0.25">
      <c r="A916" t="s">
        <v>4254</v>
      </c>
      <c r="B916" s="4">
        <f t="shared" si="14"/>
        <v>79737</v>
      </c>
      <c r="C916" t="s">
        <v>4255</v>
      </c>
      <c r="D916" t="s">
        <v>297</v>
      </c>
      <c r="E916" t="s">
        <v>444</v>
      </c>
      <c r="F916">
        <v>1</v>
      </c>
      <c r="G916" t="s">
        <v>26</v>
      </c>
      <c r="H916" s="2" t="s">
        <v>27</v>
      </c>
      <c r="I916" t="s">
        <v>55</v>
      </c>
      <c r="J916" s="2" t="s">
        <v>428</v>
      </c>
      <c r="L916" s="2" t="s">
        <v>30</v>
      </c>
      <c r="M916" s="2" t="s">
        <v>31</v>
      </c>
      <c r="N916" s="2" t="s">
        <v>32</v>
      </c>
      <c r="O916" s="2" t="s">
        <v>106</v>
      </c>
      <c r="P916" s="2" t="s">
        <v>34</v>
      </c>
      <c r="Q916" t="s">
        <v>640</v>
      </c>
      <c r="R916" s="2" t="s">
        <v>641</v>
      </c>
      <c r="T916" s="2" t="s">
        <v>60</v>
      </c>
    </row>
    <row r="917" spans="1:23" x14ac:dyDescent="0.25">
      <c r="A917" t="s">
        <v>4256</v>
      </c>
      <c r="B917" s="4">
        <f t="shared" si="14"/>
        <v>79738</v>
      </c>
      <c r="C917" t="s">
        <v>4257</v>
      </c>
      <c r="D917" t="s">
        <v>185</v>
      </c>
      <c r="E917" t="s">
        <v>1593</v>
      </c>
      <c r="F917" t="s">
        <v>543</v>
      </c>
      <c r="G917" t="s">
        <v>352</v>
      </c>
      <c r="H917" s="2" t="s">
        <v>27</v>
      </c>
      <c r="I917" t="s">
        <v>379</v>
      </c>
      <c r="J917" s="2" t="s">
        <v>428</v>
      </c>
      <c r="L917" s="2" t="s">
        <v>30</v>
      </c>
      <c r="M917" s="2" t="s">
        <v>31</v>
      </c>
      <c r="N917" s="2" t="s">
        <v>32</v>
      </c>
      <c r="O917" s="2" t="s">
        <v>2730</v>
      </c>
      <c r="P917" s="2" t="s">
        <v>34</v>
      </c>
      <c r="Q917" t="s">
        <v>1975</v>
      </c>
      <c r="R917" s="2" t="s">
        <v>206</v>
      </c>
      <c r="S917" s="2" t="s">
        <v>1976</v>
      </c>
      <c r="T917" s="2" t="s">
        <v>60</v>
      </c>
    </row>
    <row r="918" spans="1:23" x14ac:dyDescent="0.25">
      <c r="A918" t="s">
        <v>4258</v>
      </c>
      <c r="B918" s="4">
        <f t="shared" si="14"/>
        <v>79739</v>
      </c>
      <c r="C918" t="s">
        <v>4259</v>
      </c>
      <c r="D918" t="s">
        <v>157</v>
      </c>
      <c r="E918" t="s">
        <v>158</v>
      </c>
      <c r="F918">
        <v>3</v>
      </c>
      <c r="G918" t="s">
        <v>26</v>
      </c>
      <c r="H918" s="2" t="s">
        <v>27</v>
      </c>
      <c r="I918" t="s">
        <v>55</v>
      </c>
      <c r="J918" s="2" t="s">
        <v>428</v>
      </c>
      <c r="L918" s="2" t="s">
        <v>30</v>
      </c>
      <c r="M918" s="2" t="s">
        <v>31</v>
      </c>
      <c r="N918" s="2" t="s">
        <v>32</v>
      </c>
      <c r="O918" s="2" t="s">
        <v>160</v>
      </c>
      <c r="P918" s="2" t="s">
        <v>34</v>
      </c>
      <c r="Q918" t="s">
        <v>161</v>
      </c>
      <c r="R918" s="2" t="s">
        <v>162</v>
      </c>
      <c r="T918" s="2" t="s">
        <v>34</v>
      </c>
      <c r="U918" s="2" t="s">
        <v>163</v>
      </c>
      <c r="V918" s="2" t="s">
        <v>824</v>
      </c>
      <c r="W918" t="s">
        <v>4179</v>
      </c>
    </row>
    <row r="919" spans="1:23" x14ac:dyDescent="0.25">
      <c r="A919" t="s">
        <v>4260</v>
      </c>
      <c r="B919" s="4">
        <f t="shared" si="14"/>
        <v>79740</v>
      </c>
      <c r="C919" t="s">
        <v>4261</v>
      </c>
      <c r="D919" t="s">
        <v>103</v>
      </c>
      <c r="E919" t="s">
        <v>444</v>
      </c>
      <c r="F919">
        <v>1</v>
      </c>
      <c r="G919" t="s">
        <v>26</v>
      </c>
      <c r="H919" s="2" t="s">
        <v>373</v>
      </c>
      <c r="I919" t="s">
        <v>55</v>
      </c>
      <c r="K919" s="2" t="s">
        <v>4197</v>
      </c>
      <c r="L919" s="2" t="s">
        <v>30</v>
      </c>
      <c r="M919" s="2" t="s">
        <v>31</v>
      </c>
      <c r="N919" s="2" t="s">
        <v>32</v>
      </c>
      <c r="O919" s="2" t="s">
        <v>4262</v>
      </c>
      <c r="P919" s="2" t="s">
        <v>34</v>
      </c>
      <c r="Q919" t="s">
        <v>4263</v>
      </c>
      <c r="R919" s="2" t="s">
        <v>4264</v>
      </c>
      <c r="T919" s="2" t="s">
        <v>60</v>
      </c>
    </row>
    <row r="920" spans="1:23" x14ac:dyDescent="0.25">
      <c r="A920" t="s">
        <v>4265</v>
      </c>
      <c r="B920" s="4">
        <f t="shared" si="14"/>
        <v>79741</v>
      </c>
      <c r="C920" t="s">
        <v>4266</v>
      </c>
      <c r="D920" t="s">
        <v>120</v>
      </c>
      <c r="E920" t="s">
        <v>121</v>
      </c>
      <c r="F920">
        <v>1</v>
      </c>
      <c r="G920" t="s">
        <v>26</v>
      </c>
      <c r="H920" s="2" t="s">
        <v>27</v>
      </c>
      <c r="I920" t="s">
        <v>55</v>
      </c>
      <c r="J920" s="2" t="s">
        <v>428</v>
      </c>
      <c r="L920" s="2" t="s">
        <v>30</v>
      </c>
      <c r="M920" s="2" t="s">
        <v>31</v>
      </c>
      <c r="N920" s="2" t="s">
        <v>32</v>
      </c>
      <c r="O920" s="2" t="s">
        <v>130</v>
      </c>
      <c r="P920" s="2" t="s">
        <v>34</v>
      </c>
      <c r="Q920" t="s">
        <v>107</v>
      </c>
      <c r="R920" s="2" t="s">
        <v>108</v>
      </c>
      <c r="T920" s="2" t="s">
        <v>34</v>
      </c>
      <c r="U920" s="2" t="s">
        <v>109</v>
      </c>
      <c r="V920" s="2" t="s">
        <v>824</v>
      </c>
      <c r="W920" t="s">
        <v>4179</v>
      </c>
    </row>
    <row r="921" spans="1:23" x14ac:dyDescent="0.25">
      <c r="A921" t="s">
        <v>4267</v>
      </c>
      <c r="B921" s="4">
        <f t="shared" si="14"/>
        <v>79742</v>
      </c>
      <c r="C921" t="s">
        <v>4268</v>
      </c>
      <c r="D921" t="s">
        <v>24</v>
      </c>
      <c r="E921" t="s">
        <v>25</v>
      </c>
      <c r="F921">
        <v>2</v>
      </c>
      <c r="G921" t="s">
        <v>26</v>
      </c>
      <c r="H921" s="2" t="s">
        <v>27</v>
      </c>
      <c r="I921" t="s">
        <v>55</v>
      </c>
      <c r="J921" s="2" t="s">
        <v>428</v>
      </c>
      <c r="L921" s="2" t="s">
        <v>30</v>
      </c>
      <c r="M921" s="2" t="s">
        <v>31</v>
      </c>
      <c r="N921" s="2" t="s">
        <v>32</v>
      </c>
      <c r="O921" s="2" t="s">
        <v>614</v>
      </c>
      <c r="P921" s="2" t="s">
        <v>34</v>
      </c>
      <c r="Q921" t="s">
        <v>615</v>
      </c>
      <c r="R921" s="2" t="s">
        <v>616</v>
      </c>
      <c r="T921" s="2" t="s">
        <v>60</v>
      </c>
    </row>
    <row r="922" spans="1:23" x14ac:dyDescent="0.25">
      <c r="A922" t="s">
        <v>4269</v>
      </c>
      <c r="B922" s="4">
        <f t="shared" si="14"/>
        <v>79743</v>
      </c>
      <c r="C922" t="s">
        <v>4270</v>
      </c>
      <c r="D922" t="s">
        <v>42</v>
      </c>
      <c r="E922" t="s">
        <v>509</v>
      </c>
      <c r="F922">
        <v>3</v>
      </c>
      <c r="G922" t="s">
        <v>352</v>
      </c>
      <c r="H922" s="2" t="s">
        <v>27</v>
      </c>
      <c r="I922" t="s">
        <v>55</v>
      </c>
      <c r="J922" s="2" t="s">
        <v>428</v>
      </c>
      <c r="L922" s="2" t="s">
        <v>30</v>
      </c>
      <c r="M922" s="2" t="s">
        <v>31</v>
      </c>
      <c r="N922" s="2" t="s">
        <v>32</v>
      </c>
      <c r="O922" s="2" t="s">
        <v>135</v>
      </c>
      <c r="P922" s="2" t="s">
        <v>34</v>
      </c>
      <c r="Q922" t="s">
        <v>136</v>
      </c>
      <c r="R922" s="2" t="s">
        <v>137</v>
      </c>
      <c r="T922" s="2" t="s">
        <v>34</v>
      </c>
      <c r="U922" s="2" t="s">
        <v>138</v>
      </c>
      <c r="V922" s="2" t="s">
        <v>824</v>
      </c>
      <c r="W922" t="s">
        <v>4179</v>
      </c>
    </row>
    <row r="923" spans="1:23" x14ac:dyDescent="0.25">
      <c r="A923" t="s">
        <v>4271</v>
      </c>
      <c r="B923" s="4">
        <f t="shared" si="14"/>
        <v>79744</v>
      </c>
      <c r="C923" t="s">
        <v>4272</v>
      </c>
      <c r="D923" t="s">
        <v>297</v>
      </c>
      <c r="E923" t="s">
        <v>3926</v>
      </c>
      <c r="F923">
        <v>1</v>
      </c>
      <c r="G923" t="s">
        <v>26</v>
      </c>
      <c r="H923" s="2" t="s">
        <v>27</v>
      </c>
      <c r="I923" t="s">
        <v>55</v>
      </c>
      <c r="J923" s="2" t="s">
        <v>428</v>
      </c>
      <c r="L923" s="2" t="s">
        <v>30</v>
      </c>
      <c r="M923" s="2" t="s">
        <v>31</v>
      </c>
      <c r="N923" s="2" t="s">
        <v>32</v>
      </c>
      <c r="O923" s="2" t="s">
        <v>315</v>
      </c>
      <c r="P923" s="2" t="s">
        <v>34</v>
      </c>
      <c r="Q923" t="s">
        <v>316</v>
      </c>
      <c r="R923" s="2" t="s">
        <v>317</v>
      </c>
      <c r="T923" s="2" t="s">
        <v>60</v>
      </c>
    </row>
    <row r="924" spans="1:23" x14ac:dyDescent="0.25">
      <c r="A924" t="s">
        <v>4273</v>
      </c>
      <c r="B924" s="4">
        <f t="shared" si="14"/>
        <v>79745</v>
      </c>
      <c r="C924" t="s">
        <v>4274</v>
      </c>
      <c r="D924" t="s">
        <v>291</v>
      </c>
      <c r="E924" t="s">
        <v>273</v>
      </c>
      <c r="F924">
        <v>1</v>
      </c>
      <c r="G924" t="s">
        <v>26</v>
      </c>
      <c r="H924" s="2" t="s">
        <v>27</v>
      </c>
      <c r="I924" t="s">
        <v>55</v>
      </c>
      <c r="J924" s="2" t="s">
        <v>428</v>
      </c>
      <c r="L924" s="2" t="s">
        <v>30</v>
      </c>
      <c r="M924" s="2" t="s">
        <v>31</v>
      </c>
      <c r="N924" s="2" t="s">
        <v>32</v>
      </c>
      <c r="O924" s="2" t="s">
        <v>711</v>
      </c>
      <c r="P924" s="2" t="s">
        <v>34</v>
      </c>
      <c r="Q924" t="s">
        <v>4275</v>
      </c>
      <c r="R924" s="2" t="s">
        <v>4276</v>
      </c>
      <c r="T924" s="2" t="s">
        <v>60</v>
      </c>
    </row>
    <row r="925" spans="1:23" x14ac:dyDescent="0.25">
      <c r="A925" t="s">
        <v>4277</v>
      </c>
      <c r="B925" s="4">
        <f t="shared" si="14"/>
        <v>79746</v>
      </c>
      <c r="C925" t="s">
        <v>4278</v>
      </c>
      <c r="D925" t="s">
        <v>365</v>
      </c>
      <c r="E925" t="s">
        <v>1387</v>
      </c>
      <c r="F925" t="s">
        <v>367</v>
      </c>
      <c r="G925" t="s">
        <v>352</v>
      </c>
      <c r="H925" s="2" t="s">
        <v>373</v>
      </c>
      <c r="I925" t="s">
        <v>55</v>
      </c>
      <c r="K925" s="2" t="s">
        <v>3130</v>
      </c>
      <c r="L925" s="2" t="s">
        <v>30</v>
      </c>
      <c r="M925" s="2" t="s">
        <v>31</v>
      </c>
      <c r="N925" s="2" t="s">
        <v>32</v>
      </c>
      <c r="O925" s="2" t="s">
        <v>4279</v>
      </c>
      <c r="P925" s="2" t="s">
        <v>34</v>
      </c>
      <c r="Q925" t="s">
        <v>2079</v>
      </c>
      <c r="R925" s="2" t="s">
        <v>206</v>
      </c>
      <c r="S925" s="2" t="s">
        <v>2080</v>
      </c>
      <c r="T925" s="2" t="s">
        <v>60</v>
      </c>
    </row>
    <row r="926" spans="1:23" x14ac:dyDescent="0.25">
      <c r="A926" t="s">
        <v>4280</v>
      </c>
      <c r="B926" s="4">
        <f t="shared" si="14"/>
        <v>79748</v>
      </c>
      <c r="C926" t="s">
        <v>4281</v>
      </c>
      <c r="D926" t="s">
        <v>42</v>
      </c>
      <c r="E926" t="s">
        <v>133</v>
      </c>
      <c r="F926">
        <v>3</v>
      </c>
      <c r="G926" t="s">
        <v>26</v>
      </c>
      <c r="H926" s="2" t="s">
        <v>27</v>
      </c>
      <c r="I926" t="s">
        <v>28</v>
      </c>
      <c r="J926" s="2" t="s">
        <v>4282</v>
      </c>
      <c r="L926" s="2" t="s">
        <v>30</v>
      </c>
      <c r="M926" s="2" t="s">
        <v>31</v>
      </c>
      <c r="N926" s="2" t="s">
        <v>32</v>
      </c>
      <c r="O926" s="2" t="s">
        <v>435</v>
      </c>
      <c r="P926" s="2" t="s">
        <v>34</v>
      </c>
      <c r="Q926" t="s">
        <v>145</v>
      </c>
      <c r="R926" s="2" t="s">
        <v>146</v>
      </c>
      <c r="T926" s="2" t="s">
        <v>60</v>
      </c>
    </row>
    <row r="927" spans="1:23" x14ac:dyDescent="0.25">
      <c r="A927" t="s">
        <v>4283</v>
      </c>
      <c r="B927" s="4">
        <f t="shared" si="14"/>
        <v>79749</v>
      </c>
      <c r="C927" t="s">
        <v>4284</v>
      </c>
      <c r="D927" t="s">
        <v>245</v>
      </c>
      <c r="E927" t="s">
        <v>484</v>
      </c>
      <c r="F927">
        <v>2</v>
      </c>
      <c r="G927" t="s">
        <v>26</v>
      </c>
      <c r="H927" s="2" t="s">
        <v>373</v>
      </c>
      <c r="I927" t="s">
        <v>55</v>
      </c>
      <c r="K927" s="2" t="s">
        <v>4197</v>
      </c>
      <c r="L927" s="2" t="s">
        <v>30</v>
      </c>
      <c r="M927" s="2" t="s">
        <v>31</v>
      </c>
      <c r="N927" s="2" t="s">
        <v>32</v>
      </c>
      <c r="O927" s="2" t="s">
        <v>4285</v>
      </c>
      <c r="P927" s="2" t="s">
        <v>34</v>
      </c>
      <c r="Q927" t="s">
        <v>486</v>
      </c>
      <c r="R927" s="2" t="s">
        <v>487</v>
      </c>
      <c r="T927" s="2" t="s">
        <v>60</v>
      </c>
    </row>
    <row r="928" spans="1:23" x14ac:dyDescent="0.25">
      <c r="A928" t="s">
        <v>4286</v>
      </c>
      <c r="B928" s="4">
        <f t="shared" si="14"/>
        <v>79842</v>
      </c>
      <c r="C928" t="s">
        <v>4287</v>
      </c>
      <c r="D928" t="s">
        <v>185</v>
      </c>
      <c r="E928" t="s">
        <v>4288</v>
      </c>
      <c r="F928" t="s">
        <v>543</v>
      </c>
      <c r="G928" t="s">
        <v>352</v>
      </c>
      <c r="H928" s="2" t="s">
        <v>27</v>
      </c>
      <c r="I928" t="s">
        <v>2251</v>
      </c>
      <c r="J928" s="2" t="s">
        <v>428</v>
      </c>
      <c r="L928" s="2" t="s">
        <v>30</v>
      </c>
      <c r="M928" s="2" t="s">
        <v>31</v>
      </c>
      <c r="N928" s="2" t="s">
        <v>32</v>
      </c>
      <c r="O928" s="2" t="s">
        <v>370</v>
      </c>
      <c r="P928" s="2" t="s">
        <v>60</v>
      </c>
      <c r="R928" s="2" t="s">
        <v>206</v>
      </c>
      <c r="T928" s="2" t="s">
        <v>60</v>
      </c>
    </row>
    <row r="929" spans="1:23" x14ac:dyDescent="0.25">
      <c r="A929" t="s">
        <v>4289</v>
      </c>
      <c r="B929" s="4">
        <f t="shared" si="14"/>
        <v>79879</v>
      </c>
      <c r="C929" t="s">
        <v>4290</v>
      </c>
      <c r="D929" t="s">
        <v>185</v>
      </c>
      <c r="E929" t="s">
        <v>1118</v>
      </c>
      <c r="F929" t="s">
        <v>680</v>
      </c>
      <c r="G929" t="s">
        <v>26</v>
      </c>
      <c r="H929" s="2" t="s">
        <v>373</v>
      </c>
      <c r="I929" t="s">
        <v>2251</v>
      </c>
      <c r="K929" s="2" t="s">
        <v>3922</v>
      </c>
      <c r="L929" s="2" t="s">
        <v>30</v>
      </c>
      <c r="M929" s="2" t="s">
        <v>31</v>
      </c>
      <c r="N929" s="2" t="s">
        <v>32</v>
      </c>
      <c r="O929" s="2" t="s">
        <v>4291</v>
      </c>
      <c r="P929" s="2" t="s">
        <v>34</v>
      </c>
      <c r="Q929" t="s">
        <v>4292</v>
      </c>
      <c r="R929" s="2" t="s">
        <v>4293</v>
      </c>
      <c r="T929" s="2" t="s">
        <v>60</v>
      </c>
    </row>
    <row r="930" spans="1:23" x14ac:dyDescent="0.25">
      <c r="A930" t="s">
        <v>4294</v>
      </c>
      <c r="B930" s="4">
        <f t="shared" si="14"/>
        <v>79883</v>
      </c>
      <c r="C930" t="s">
        <v>4295</v>
      </c>
      <c r="D930" t="s">
        <v>157</v>
      </c>
      <c r="E930" t="s">
        <v>158</v>
      </c>
      <c r="F930">
        <v>3</v>
      </c>
      <c r="G930" t="s">
        <v>26</v>
      </c>
      <c r="H930" s="2" t="s">
        <v>27</v>
      </c>
      <c r="I930" t="s">
        <v>55</v>
      </c>
      <c r="J930" s="2" t="s">
        <v>4296</v>
      </c>
      <c r="L930" s="2" t="s">
        <v>30</v>
      </c>
      <c r="M930" s="2" t="s">
        <v>31</v>
      </c>
      <c r="N930" s="2" t="s">
        <v>32</v>
      </c>
      <c r="O930" s="2" t="s">
        <v>160</v>
      </c>
      <c r="P930" s="2" t="s">
        <v>34</v>
      </c>
      <c r="Q930" t="s">
        <v>161</v>
      </c>
      <c r="R930" s="2" t="s">
        <v>162</v>
      </c>
      <c r="T930" s="2" t="s">
        <v>34</v>
      </c>
      <c r="U930" s="2" t="s">
        <v>163</v>
      </c>
      <c r="V930" s="2" t="s">
        <v>4294</v>
      </c>
      <c r="W930" t="s">
        <v>164</v>
      </c>
    </row>
    <row r="931" spans="1:23" x14ac:dyDescent="0.25">
      <c r="A931" t="s">
        <v>4297</v>
      </c>
      <c r="B931" s="4">
        <f t="shared" si="14"/>
        <v>79887</v>
      </c>
      <c r="C931" t="s">
        <v>4298</v>
      </c>
      <c r="D931" t="s">
        <v>157</v>
      </c>
      <c r="E931" t="s">
        <v>158</v>
      </c>
      <c r="F931">
        <v>3</v>
      </c>
      <c r="G931" t="s">
        <v>26</v>
      </c>
      <c r="H931" s="2" t="s">
        <v>27</v>
      </c>
      <c r="I931" t="s">
        <v>55</v>
      </c>
      <c r="J931" s="2" t="s">
        <v>4296</v>
      </c>
      <c r="L931" s="2" t="s">
        <v>30</v>
      </c>
      <c r="M931" s="2" t="s">
        <v>31</v>
      </c>
      <c r="N931" s="2" t="s">
        <v>32</v>
      </c>
      <c r="O931" s="2" t="s">
        <v>160</v>
      </c>
      <c r="P931" s="2" t="s">
        <v>34</v>
      </c>
      <c r="Q931" t="s">
        <v>748</v>
      </c>
      <c r="R931" s="2" t="s">
        <v>749</v>
      </c>
      <c r="T931" s="2" t="s">
        <v>34</v>
      </c>
      <c r="U931" s="2" t="s">
        <v>750</v>
      </c>
      <c r="V931" s="2" t="s">
        <v>4297</v>
      </c>
      <c r="W931" t="s">
        <v>164</v>
      </c>
    </row>
    <row r="932" spans="1:23" x14ac:dyDescent="0.25">
      <c r="A932" t="s">
        <v>4299</v>
      </c>
      <c r="B932" s="4">
        <f t="shared" si="14"/>
        <v>79921</v>
      </c>
      <c r="C932" t="s">
        <v>4300</v>
      </c>
      <c r="D932" t="s">
        <v>42</v>
      </c>
      <c r="E932" t="s">
        <v>142</v>
      </c>
      <c r="F932">
        <v>2</v>
      </c>
      <c r="G932" t="s">
        <v>352</v>
      </c>
      <c r="H932" s="2" t="s">
        <v>27</v>
      </c>
      <c r="I932" t="s">
        <v>4301</v>
      </c>
      <c r="J932" s="2" t="s">
        <v>4302</v>
      </c>
      <c r="L932" s="2" t="s">
        <v>30</v>
      </c>
      <c r="M932" s="2" t="s">
        <v>31</v>
      </c>
      <c r="N932" s="2" t="s">
        <v>32</v>
      </c>
      <c r="O932" s="2" t="s">
        <v>652</v>
      </c>
      <c r="P932" s="2" t="s">
        <v>60</v>
      </c>
      <c r="R932" s="2" t="s">
        <v>206</v>
      </c>
      <c r="T932" s="2" t="s">
        <v>60</v>
      </c>
    </row>
    <row r="933" spans="1:23" x14ac:dyDescent="0.25">
      <c r="A933" t="s">
        <v>4303</v>
      </c>
      <c r="B933" s="4">
        <f t="shared" si="14"/>
        <v>79922</v>
      </c>
      <c r="C933" t="s">
        <v>4304</v>
      </c>
      <c r="D933" t="s">
        <v>42</v>
      </c>
      <c r="E933" t="s">
        <v>43</v>
      </c>
      <c r="F933">
        <v>3</v>
      </c>
      <c r="G933" t="s">
        <v>352</v>
      </c>
      <c r="H933" s="2" t="s">
        <v>27</v>
      </c>
      <c r="I933" t="s">
        <v>2251</v>
      </c>
      <c r="J933" s="2" t="s">
        <v>4305</v>
      </c>
      <c r="L933" s="2" t="s">
        <v>30</v>
      </c>
      <c r="M933" s="2" t="s">
        <v>31</v>
      </c>
      <c r="N933" s="2" t="s">
        <v>32</v>
      </c>
      <c r="O933" s="2" t="s">
        <v>144</v>
      </c>
      <c r="P933" s="2" t="s">
        <v>60</v>
      </c>
      <c r="R933" s="2" t="s">
        <v>206</v>
      </c>
      <c r="T933" s="2" t="s">
        <v>60</v>
      </c>
    </row>
    <row r="934" spans="1:23" x14ac:dyDescent="0.25">
      <c r="A934" t="s">
        <v>4306</v>
      </c>
      <c r="B934" s="4">
        <f t="shared" si="14"/>
        <v>79923</v>
      </c>
      <c r="C934" t="s">
        <v>4307</v>
      </c>
      <c r="D934" t="s">
        <v>42</v>
      </c>
      <c r="E934" t="s">
        <v>273</v>
      </c>
      <c r="F934">
        <v>3</v>
      </c>
      <c r="G934" t="s">
        <v>26</v>
      </c>
      <c r="H934" s="2" t="s">
        <v>27</v>
      </c>
      <c r="I934" t="s">
        <v>4301</v>
      </c>
      <c r="J934" s="2" t="s">
        <v>428</v>
      </c>
      <c r="L934" s="2" t="s">
        <v>30</v>
      </c>
      <c r="M934" s="2" t="s">
        <v>31</v>
      </c>
      <c r="N934" s="2" t="s">
        <v>32</v>
      </c>
      <c r="O934" s="2" t="s">
        <v>3040</v>
      </c>
      <c r="P934" s="2" t="s">
        <v>34</v>
      </c>
      <c r="Q934" t="s">
        <v>35</v>
      </c>
      <c r="R934" s="2" t="s">
        <v>36</v>
      </c>
      <c r="T934" s="2" t="s">
        <v>34</v>
      </c>
      <c r="U934" s="2" t="s">
        <v>37</v>
      </c>
      <c r="V934" s="2" t="s">
        <v>4308</v>
      </c>
      <c r="W934" t="s">
        <v>4309</v>
      </c>
    </row>
    <row r="935" spans="1:23" x14ac:dyDescent="0.25">
      <c r="A935" t="s">
        <v>4310</v>
      </c>
      <c r="B935" s="4">
        <f t="shared" si="14"/>
        <v>79941</v>
      </c>
      <c r="C935" t="s">
        <v>4311</v>
      </c>
      <c r="D935" t="s">
        <v>24</v>
      </c>
      <c r="E935" t="s">
        <v>113</v>
      </c>
      <c r="F935">
        <v>2</v>
      </c>
      <c r="G935" t="s">
        <v>352</v>
      </c>
      <c r="H935" s="2" t="s">
        <v>27</v>
      </c>
      <c r="I935" t="s">
        <v>2251</v>
      </c>
      <c r="J935" s="2" t="s">
        <v>4312</v>
      </c>
      <c r="L935" s="2" t="s">
        <v>30</v>
      </c>
      <c r="M935" s="2" t="s">
        <v>31</v>
      </c>
      <c r="N935" s="2" t="s">
        <v>32</v>
      </c>
      <c r="O935" s="2" t="s">
        <v>115</v>
      </c>
      <c r="P935" s="2" t="s">
        <v>34</v>
      </c>
      <c r="Q935" t="s">
        <v>1247</v>
      </c>
      <c r="R935" s="2" t="s">
        <v>1248</v>
      </c>
      <c r="T935" s="2" t="s">
        <v>34</v>
      </c>
      <c r="U935" s="2" t="s">
        <v>1249</v>
      </c>
      <c r="V935" s="2" t="s">
        <v>4313</v>
      </c>
      <c r="W935" t="s">
        <v>4314</v>
      </c>
    </row>
    <row r="936" spans="1:23" x14ac:dyDescent="0.25">
      <c r="A936" t="s">
        <v>4315</v>
      </c>
      <c r="B936" s="4">
        <f t="shared" si="14"/>
        <v>79948</v>
      </c>
      <c r="C936" t="s">
        <v>4316</v>
      </c>
      <c r="D936" t="s">
        <v>149</v>
      </c>
      <c r="E936" t="s">
        <v>229</v>
      </c>
      <c r="F936">
        <v>3</v>
      </c>
      <c r="G936" t="s">
        <v>352</v>
      </c>
      <c r="H936" s="2" t="s">
        <v>373</v>
      </c>
      <c r="I936" t="s">
        <v>2251</v>
      </c>
      <c r="K936" s="2" t="s">
        <v>823</v>
      </c>
      <c r="L936" s="2" t="s">
        <v>30</v>
      </c>
      <c r="M936" s="2" t="s">
        <v>31</v>
      </c>
      <c r="N936" s="2" t="s">
        <v>32</v>
      </c>
      <c r="O936" s="2" t="s">
        <v>4317</v>
      </c>
      <c r="P936" s="2" t="s">
        <v>34</v>
      </c>
      <c r="Q936" t="s">
        <v>232</v>
      </c>
      <c r="R936" s="2" t="s">
        <v>233</v>
      </c>
      <c r="T936" s="2" t="s">
        <v>34</v>
      </c>
      <c r="U936" s="2" t="s">
        <v>234</v>
      </c>
      <c r="V936" s="2" t="s">
        <v>4318</v>
      </c>
      <c r="W936" t="s">
        <v>4316</v>
      </c>
    </row>
    <row r="937" spans="1:23" x14ac:dyDescent="0.25">
      <c r="A937" t="s">
        <v>4319</v>
      </c>
      <c r="B937" s="4">
        <f t="shared" si="14"/>
        <v>79950</v>
      </c>
      <c r="C937" t="s">
        <v>4320</v>
      </c>
      <c r="D937" t="s">
        <v>149</v>
      </c>
      <c r="E937" t="s">
        <v>347</v>
      </c>
      <c r="F937">
        <v>3</v>
      </c>
      <c r="G937" t="s">
        <v>352</v>
      </c>
      <c r="H937" s="2" t="s">
        <v>373</v>
      </c>
      <c r="I937" t="s">
        <v>2251</v>
      </c>
      <c r="K937" s="2" t="s">
        <v>4321</v>
      </c>
      <c r="L937" s="2" t="s">
        <v>30</v>
      </c>
      <c r="M937" s="2" t="s">
        <v>31</v>
      </c>
      <c r="N937" s="2" t="s">
        <v>32</v>
      </c>
      <c r="O937" s="2" t="s">
        <v>4322</v>
      </c>
      <c r="P937" s="2" t="s">
        <v>34</v>
      </c>
      <c r="Q937" t="s">
        <v>4323</v>
      </c>
      <c r="R937" s="2" t="s">
        <v>206</v>
      </c>
      <c r="S937" s="2" t="s">
        <v>4324</v>
      </c>
      <c r="T937" s="2" t="s">
        <v>60</v>
      </c>
    </row>
    <row r="938" spans="1:23" x14ac:dyDescent="0.25">
      <c r="A938" t="s">
        <v>4325</v>
      </c>
      <c r="B938" s="4">
        <f t="shared" si="14"/>
        <v>79951</v>
      </c>
      <c r="C938" t="s">
        <v>4326</v>
      </c>
      <c r="D938" t="s">
        <v>24</v>
      </c>
      <c r="E938" t="s">
        <v>113</v>
      </c>
      <c r="F938">
        <v>2</v>
      </c>
      <c r="G938" t="s">
        <v>352</v>
      </c>
      <c r="H938" s="2" t="s">
        <v>27</v>
      </c>
      <c r="I938" t="s">
        <v>2251</v>
      </c>
      <c r="J938" s="2" t="s">
        <v>4327</v>
      </c>
      <c r="L938" s="2" t="s">
        <v>30</v>
      </c>
      <c r="M938" s="2" t="s">
        <v>31</v>
      </c>
      <c r="N938" s="2" t="s">
        <v>32</v>
      </c>
      <c r="O938" s="2" t="s">
        <v>115</v>
      </c>
      <c r="P938" s="2" t="s">
        <v>60</v>
      </c>
      <c r="R938" s="2" t="s">
        <v>206</v>
      </c>
      <c r="T938" s="2" t="s">
        <v>60</v>
      </c>
    </row>
    <row r="939" spans="1:23" x14ac:dyDescent="0.25">
      <c r="A939" t="s">
        <v>4328</v>
      </c>
      <c r="B939" s="4">
        <f t="shared" si="14"/>
        <v>79954</v>
      </c>
      <c r="C939" t="s">
        <v>4329</v>
      </c>
      <c r="D939" t="s">
        <v>42</v>
      </c>
      <c r="E939" t="s">
        <v>502</v>
      </c>
      <c r="F939">
        <v>3</v>
      </c>
      <c r="G939" t="s">
        <v>26</v>
      </c>
      <c r="H939" s="2" t="s">
        <v>27</v>
      </c>
      <c r="I939" t="s">
        <v>2251</v>
      </c>
      <c r="J939" s="2" t="s">
        <v>2260</v>
      </c>
      <c r="L939" s="2" t="s">
        <v>30</v>
      </c>
      <c r="M939" s="2" t="s">
        <v>31</v>
      </c>
      <c r="N939" s="2" t="s">
        <v>32</v>
      </c>
      <c r="O939" s="2" t="s">
        <v>79</v>
      </c>
      <c r="P939" s="2" t="s">
        <v>60</v>
      </c>
      <c r="R939" s="2" t="s">
        <v>206</v>
      </c>
      <c r="T939" s="2" t="s">
        <v>60</v>
      </c>
    </row>
    <row r="940" spans="1:23" x14ac:dyDescent="0.25">
      <c r="A940" t="s">
        <v>4330</v>
      </c>
      <c r="B940" s="4">
        <f t="shared" si="14"/>
        <v>79958</v>
      </c>
      <c r="C940" t="s">
        <v>4331</v>
      </c>
      <c r="D940" t="s">
        <v>149</v>
      </c>
      <c r="E940" t="s">
        <v>789</v>
      </c>
      <c r="F940">
        <v>3</v>
      </c>
      <c r="G940" t="s">
        <v>26</v>
      </c>
      <c r="H940" s="2" t="s">
        <v>27</v>
      </c>
      <c r="I940" t="s">
        <v>4301</v>
      </c>
      <c r="J940" s="2" t="s">
        <v>4332</v>
      </c>
      <c r="L940" s="2" t="s">
        <v>30</v>
      </c>
      <c r="M940" s="2" t="s">
        <v>31</v>
      </c>
      <c r="N940" s="2" t="s">
        <v>32</v>
      </c>
      <c r="O940" s="2" t="s">
        <v>4333</v>
      </c>
      <c r="P940" s="2" t="s">
        <v>60</v>
      </c>
      <c r="R940" s="2" t="s">
        <v>206</v>
      </c>
      <c r="T940" s="2" t="s">
        <v>60</v>
      </c>
    </row>
    <row r="941" spans="1:23" x14ac:dyDescent="0.25">
      <c r="A941" t="s">
        <v>4334</v>
      </c>
      <c r="B941" s="4">
        <f t="shared" si="14"/>
        <v>79960</v>
      </c>
      <c r="C941" t="s">
        <v>4335</v>
      </c>
      <c r="D941" t="s">
        <v>279</v>
      </c>
      <c r="E941" t="s">
        <v>987</v>
      </c>
      <c r="F941">
        <v>1</v>
      </c>
      <c r="G941" t="s">
        <v>26</v>
      </c>
      <c r="H941" s="2" t="s">
        <v>27</v>
      </c>
      <c r="I941" t="s">
        <v>368</v>
      </c>
      <c r="J941" s="2" t="s">
        <v>4336</v>
      </c>
      <c r="L941" s="2" t="s">
        <v>30</v>
      </c>
      <c r="M941" s="2" t="s">
        <v>31</v>
      </c>
      <c r="N941" s="2" t="s">
        <v>32</v>
      </c>
      <c r="O941" s="2" t="s">
        <v>4014</v>
      </c>
      <c r="P941" s="2" t="s">
        <v>34</v>
      </c>
      <c r="Q941" t="s">
        <v>4275</v>
      </c>
      <c r="R941" s="2" t="s">
        <v>4276</v>
      </c>
      <c r="T941" s="2" t="s">
        <v>60</v>
      </c>
    </row>
    <row r="942" spans="1:23" x14ac:dyDescent="0.25">
      <c r="A942" t="s">
        <v>4337</v>
      </c>
      <c r="B942" s="4">
        <f t="shared" si="14"/>
        <v>79961</v>
      </c>
      <c r="C942" t="s">
        <v>4338</v>
      </c>
      <c r="D942" t="s">
        <v>365</v>
      </c>
      <c r="E942" t="s">
        <v>2849</v>
      </c>
      <c r="F942" t="s">
        <v>367</v>
      </c>
      <c r="G942" t="s">
        <v>352</v>
      </c>
      <c r="H942" s="2" t="s">
        <v>27</v>
      </c>
      <c r="I942" t="s">
        <v>368</v>
      </c>
      <c r="J942" s="2" t="s">
        <v>2850</v>
      </c>
      <c r="L942" s="2" t="s">
        <v>30</v>
      </c>
      <c r="M942" s="2" t="s">
        <v>31</v>
      </c>
      <c r="N942" s="2" t="s">
        <v>32</v>
      </c>
      <c r="O942" s="2" t="s">
        <v>370</v>
      </c>
      <c r="P942" s="2" t="s">
        <v>60</v>
      </c>
      <c r="R942" s="2" t="s">
        <v>206</v>
      </c>
      <c r="T942" s="2" t="s">
        <v>60</v>
      </c>
    </row>
    <row r="943" spans="1:23" x14ac:dyDescent="0.25">
      <c r="A943" t="s">
        <v>4339</v>
      </c>
      <c r="B943" s="4">
        <f t="shared" si="14"/>
        <v>79962</v>
      </c>
      <c r="C943" t="s">
        <v>4340</v>
      </c>
      <c r="D943" t="s">
        <v>365</v>
      </c>
      <c r="E943" t="s">
        <v>2849</v>
      </c>
      <c r="F943" t="s">
        <v>367</v>
      </c>
      <c r="G943" t="s">
        <v>26</v>
      </c>
      <c r="H943" s="2" t="s">
        <v>27</v>
      </c>
      <c r="I943" t="s">
        <v>368</v>
      </c>
      <c r="J943" s="2" t="s">
        <v>2850</v>
      </c>
      <c r="L943" s="2" t="s">
        <v>30</v>
      </c>
      <c r="M943" s="2" t="s">
        <v>31</v>
      </c>
      <c r="N943" s="2" t="s">
        <v>32</v>
      </c>
      <c r="O943" s="2" t="s">
        <v>370</v>
      </c>
      <c r="P943" s="2" t="s">
        <v>60</v>
      </c>
      <c r="R943" s="2" t="s">
        <v>206</v>
      </c>
      <c r="T943" s="2" t="s">
        <v>60</v>
      </c>
    </row>
    <row r="944" spans="1:23" x14ac:dyDescent="0.25">
      <c r="A944" t="s">
        <v>4341</v>
      </c>
      <c r="B944" s="4">
        <f t="shared" si="14"/>
        <v>79965</v>
      </c>
      <c r="C944" t="s">
        <v>4342</v>
      </c>
      <c r="D944" t="s">
        <v>42</v>
      </c>
      <c r="E944" t="s">
        <v>201</v>
      </c>
      <c r="F944">
        <v>3</v>
      </c>
      <c r="G944" t="s">
        <v>352</v>
      </c>
      <c r="H944" s="2" t="s">
        <v>27</v>
      </c>
      <c r="I944" t="s">
        <v>2251</v>
      </c>
      <c r="J944" s="2" t="s">
        <v>4139</v>
      </c>
      <c r="L944" s="2" t="s">
        <v>30</v>
      </c>
      <c r="M944" s="2" t="s">
        <v>31</v>
      </c>
      <c r="N944" s="2" t="s">
        <v>32</v>
      </c>
      <c r="O944" s="2" t="s">
        <v>652</v>
      </c>
      <c r="P944" s="2" t="s">
        <v>60</v>
      </c>
      <c r="R944" s="2" t="s">
        <v>206</v>
      </c>
      <c r="T944" s="2" t="s">
        <v>60</v>
      </c>
    </row>
    <row r="945" spans="1:20" x14ac:dyDescent="0.25">
      <c r="A945" t="s">
        <v>4343</v>
      </c>
      <c r="B945" s="4">
        <f t="shared" si="14"/>
        <v>79967</v>
      </c>
      <c r="C945" t="s">
        <v>4344</v>
      </c>
      <c r="D945" t="s">
        <v>185</v>
      </c>
      <c r="E945" t="s">
        <v>679</v>
      </c>
      <c r="F945" t="s">
        <v>680</v>
      </c>
      <c r="G945" t="s">
        <v>26</v>
      </c>
      <c r="H945" s="2" t="s">
        <v>27</v>
      </c>
      <c r="I945" t="s">
        <v>2251</v>
      </c>
      <c r="J945" s="2" t="s">
        <v>1328</v>
      </c>
      <c r="L945" s="2" t="s">
        <v>30</v>
      </c>
      <c r="M945" s="2" t="s">
        <v>31</v>
      </c>
      <c r="N945" s="2" t="s">
        <v>32</v>
      </c>
      <c r="O945" s="2" t="s">
        <v>4345</v>
      </c>
      <c r="P945" s="2" t="s">
        <v>60</v>
      </c>
      <c r="R945" s="2" t="s">
        <v>206</v>
      </c>
      <c r="T945" s="2" t="s">
        <v>60</v>
      </c>
    </row>
    <row r="946" spans="1:20" x14ac:dyDescent="0.25">
      <c r="A946" t="s">
        <v>4346</v>
      </c>
      <c r="B946" s="4">
        <f t="shared" si="14"/>
        <v>79968</v>
      </c>
      <c r="C946" t="s">
        <v>4347</v>
      </c>
      <c r="D946" t="s">
        <v>279</v>
      </c>
      <c r="E946" t="s">
        <v>405</v>
      </c>
      <c r="F946" t="s">
        <v>543</v>
      </c>
      <c r="G946" t="s">
        <v>26</v>
      </c>
      <c r="H946" s="2" t="s">
        <v>27</v>
      </c>
      <c r="I946" t="s">
        <v>2251</v>
      </c>
      <c r="J946" s="2" t="s">
        <v>4348</v>
      </c>
      <c r="L946" s="2" t="s">
        <v>30</v>
      </c>
      <c r="M946" s="2" t="s">
        <v>31</v>
      </c>
      <c r="N946" s="2" t="s">
        <v>32</v>
      </c>
      <c r="O946" s="2" t="s">
        <v>4014</v>
      </c>
      <c r="P946" s="2" t="s">
        <v>60</v>
      </c>
      <c r="R946" s="2" t="s">
        <v>206</v>
      </c>
      <c r="T946" s="2" t="s">
        <v>60</v>
      </c>
    </row>
    <row r="947" spans="1:20" x14ac:dyDescent="0.25">
      <c r="A947" t="s">
        <v>4349</v>
      </c>
      <c r="B947" s="4">
        <f t="shared" si="14"/>
        <v>79970</v>
      </c>
      <c r="C947" t="s">
        <v>4350</v>
      </c>
      <c r="D947" t="s">
        <v>157</v>
      </c>
      <c r="E947" t="s">
        <v>158</v>
      </c>
      <c r="F947">
        <v>3</v>
      </c>
      <c r="G947" t="s">
        <v>26</v>
      </c>
      <c r="H947" s="2" t="s">
        <v>27</v>
      </c>
      <c r="I947" t="s">
        <v>2251</v>
      </c>
      <c r="J947" s="2" t="s">
        <v>3897</v>
      </c>
      <c r="L947" s="2" t="s">
        <v>30</v>
      </c>
      <c r="M947" s="2" t="s">
        <v>31</v>
      </c>
      <c r="N947" s="2" t="s">
        <v>32</v>
      </c>
      <c r="O947" s="2" t="s">
        <v>160</v>
      </c>
      <c r="P947" s="2" t="s">
        <v>60</v>
      </c>
      <c r="R947" s="2" t="s">
        <v>206</v>
      </c>
      <c r="T947" s="2" t="s">
        <v>60</v>
      </c>
    </row>
    <row r="948" spans="1:20" x14ac:dyDescent="0.25">
      <c r="A948" t="s">
        <v>4351</v>
      </c>
      <c r="B948" s="4">
        <f t="shared" si="14"/>
        <v>79971</v>
      </c>
      <c r="C948" t="s">
        <v>4352</v>
      </c>
      <c r="D948" t="s">
        <v>157</v>
      </c>
      <c r="E948" t="s">
        <v>158</v>
      </c>
      <c r="F948">
        <v>3</v>
      </c>
      <c r="G948" t="s">
        <v>352</v>
      </c>
      <c r="H948" s="2" t="s">
        <v>27</v>
      </c>
      <c r="I948" t="s">
        <v>2251</v>
      </c>
      <c r="J948" s="2" t="s">
        <v>3897</v>
      </c>
      <c r="L948" s="2" t="s">
        <v>30</v>
      </c>
      <c r="M948" s="2" t="s">
        <v>31</v>
      </c>
      <c r="N948" s="2" t="s">
        <v>32</v>
      </c>
      <c r="O948" s="2" t="s">
        <v>160</v>
      </c>
      <c r="P948" s="2" t="s">
        <v>60</v>
      </c>
      <c r="R948" s="2" t="s">
        <v>206</v>
      </c>
      <c r="T948" s="2" t="s">
        <v>60</v>
      </c>
    </row>
    <row r="949" spans="1:20" x14ac:dyDescent="0.25">
      <c r="A949" t="s">
        <v>4353</v>
      </c>
      <c r="B949" s="4">
        <f t="shared" si="14"/>
        <v>79974</v>
      </c>
      <c r="C949" t="s">
        <v>4354</v>
      </c>
      <c r="D949" t="s">
        <v>279</v>
      </c>
      <c r="E949" t="s">
        <v>405</v>
      </c>
      <c r="F949">
        <v>1</v>
      </c>
      <c r="G949" t="s">
        <v>26</v>
      </c>
      <c r="H949" s="2" t="s">
        <v>27</v>
      </c>
      <c r="I949" t="s">
        <v>2251</v>
      </c>
      <c r="J949" s="2" t="s">
        <v>4355</v>
      </c>
      <c r="L949" s="2" t="s">
        <v>30</v>
      </c>
      <c r="M949" s="2" t="s">
        <v>31</v>
      </c>
      <c r="N949" s="2" t="s">
        <v>32</v>
      </c>
      <c r="O949" s="2" t="s">
        <v>2103</v>
      </c>
      <c r="P949" s="2" t="s">
        <v>60</v>
      </c>
      <c r="R949" s="2" t="s">
        <v>206</v>
      </c>
      <c r="T949" s="2" t="s">
        <v>60</v>
      </c>
    </row>
    <row r="950" spans="1:20" x14ac:dyDescent="0.25">
      <c r="A950" t="s">
        <v>4356</v>
      </c>
      <c r="B950" s="4">
        <f t="shared" si="14"/>
        <v>79975</v>
      </c>
      <c r="C950" t="s">
        <v>4357</v>
      </c>
      <c r="D950" t="s">
        <v>42</v>
      </c>
      <c r="E950" t="s">
        <v>142</v>
      </c>
      <c r="F950">
        <v>2</v>
      </c>
      <c r="G950" t="s">
        <v>352</v>
      </c>
      <c r="H950" s="2" t="s">
        <v>27</v>
      </c>
      <c r="I950" t="s">
        <v>2251</v>
      </c>
      <c r="J950" s="2" t="s">
        <v>4358</v>
      </c>
      <c r="L950" s="2" t="s">
        <v>30</v>
      </c>
      <c r="M950" s="2" t="s">
        <v>31</v>
      </c>
      <c r="N950" s="2" t="s">
        <v>32</v>
      </c>
      <c r="O950" s="2" t="s">
        <v>144</v>
      </c>
      <c r="P950" s="2" t="s">
        <v>60</v>
      </c>
      <c r="R950" s="2" t="s">
        <v>206</v>
      </c>
      <c r="T950" s="2" t="s">
        <v>60</v>
      </c>
    </row>
    <row r="951" spans="1:20" x14ac:dyDescent="0.25">
      <c r="A951" t="s">
        <v>4359</v>
      </c>
      <c r="B951" s="4">
        <f t="shared" si="14"/>
        <v>79976</v>
      </c>
      <c r="C951" t="s">
        <v>4360</v>
      </c>
      <c r="D951" t="s">
        <v>149</v>
      </c>
      <c r="E951" t="s">
        <v>347</v>
      </c>
      <c r="F951">
        <v>3</v>
      </c>
      <c r="G951" t="s">
        <v>26</v>
      </c>
      <c r="H951" s="2" t="s">
        <v>27</v>
      </c>
      <c r="I951" t="s">
        <v>2251</v>
      </c>
      <c r="J951" s="2" t="s">
        <v>3414</v>
      </c>
      <c r="L951" s="2" t="s">
        <v>30</v>
      </c>
      <c r="M951" s="2" t="s">
        <v>31</v>
      </c>
      <c r="N951" s="2" t="s">
        <v>32</v>
      </c>
      <c r="O951" s="2" t="s">
        <v>160</v>
      </c>
      <c r="P951" s="2" t="s">
        <v>60</v>
      </c>
      <c r="R951" s="2" t="s">
        <v>206</v>
      </c>
      <c r="T951" s="2" t="s">
        <v>60</v>
      </c>
    </row>
    <row r="952" spans="1:20" x14ac:dyDescent="0.25">
      <c r="A952" t="s">
        <v>4361</v>
      </c>
      <c r="B952" s="4">
        <f t="shared" si="14"/>
        <v>79977</v>
      </c>
      <c r="C952" t="s">
        <v>4362</v>
      </c>
      <c r="D952" t="s">
        <v>149</v>
      </c>
      <c r="E952" t="s">
        <v>347</v>
      </c>
      <c r="F952">
        <v>3</v>
      </c>
      <c r="G952" t="s">
        <v>352</v>
      </c>
      <c r="H952" s="2" t="s">
        <v>27</v>
      </c>
      <c r="I952" t="s">
        <v>2251</v>
      </c>
      <c r="J952" s="2" t="s">
        <v>3414</v>
      </c>
      <c r="L952" s="2" t="s">
        <v>30</v>
      </c>
      <c r="M952" s="2" t="s">
        <v>31</v>
      </c>
      <c r="N952" s="2" t="s">
        <v>32</v>
      </c>
      <c r="O952" s="2" t="s">
        <v>160</v>
      </c>
      <c r="P952" s="2" t="s">
        <v>60</v>
      </c>
      <c r="R952" s="2" t="s">
        <v>206</v>
      </c>
      <c r="T952" s="2" t="s">
        <v>60</v>
      </c>
    </row>
    <row r="953" spans="1:20" x14ac:dyDescent="0.25">
      <c r="A953" t="s">
        <v>4363</v>
      </c>
      <c r="B953" s="4">
        <f t="shared" si="14"/>
        <v>79978</v>
      </c>
      <c r="C953" t="s">
        <v>4364</v>
      </c>
      <c r="D953" t="s">
        <v>365</v>
      </c>
      <c r="F953" t="s">
        <v>367</v>
      </c>
      <c r="G953" t="s">
        <v>26</v>
      </c>
      <c r="H953" s="2" t="s">
        <v>27</v>
      </c>
      <c r="I953" t="s">
        <v>2251</v>
      </c>
      <c r="J953" s="2" t="s">
        <v>4365</v>
      </c>
      <c r="L953" s="2" t="s">
        <v>30</v>
      </c>
      <c r="M953" s="2" t="s">
        <v>31</v>
      </c>
      <c r="N953" s="2" t="s">
        <v>32</v>
      </c>
      <c r="O953" s="2" t="s">
        <v>2358</v>
      </c>
      <c r="P953" s="2" t="s">
        <v>60</v>
      </c>
      <c r="R953" s="2" t="s">
        <v>206</v>
      </c>
      <c r="T953" s="2" t="s">
        <v>60</v>
      </c>
    </row>
    <row r="954" spans="1:20" x14ac:dyDescent="0.25">
      <c r="A954" t="s">
        <v>4366</v>
      </c>
      <c r="B954" s="4">
        <f t="shared" si="14"/>
        <v>79979</v>
      </c>
      <c r="C954" t="s">
        <v>4367</v>
      </c>
      <c r="D954" t="s">
        <v>365</v>
      </c>
      <c r="F954" t="s">
        <v>367</v>
      </c>
      <c r="G954" t="s">
        <v>352</v>
      </c>
      <c r="H954" s="2" t="s">
        <v>27</v>
      </c>
      <c r="I954" t="s">
        <v>2251</v>
      </c>
      <c r="J954" s="2" t="s">
        <v>4368</v>
      </c>
      <c r="L954" s="2" t="s">
        <v>30</v>
      </c>
      <c r="M954" s="2" t="s">
        <v>31</v>
      </c>
      <c r="N954" s="2" t="s">
        <v>32</v>
      </c>
      <c r="O954" s="2" t="s">
        <v>2358</v>
      </c>
      <c r="P954" s="2" t="s">
        <v>60</v>
      </c>
      <c r="R954" s="2" t="s">
        <v>206</v>
      </c>
      <c r="T954" s="2" t="s">
        <v>60</v>
      </c>
    </row>
    <row r="955" spans="1:20" x14ac:dyDescent="0.25">
      <c r="A955" t="s">
        <v>4369</v>
      </c>
      <c r="B955" s="4">
        <f t="shared" si="14"/>
        <v>79980</v>
      </c>
      <c r="C955" t="s">
        <v>4370</v>
      </c>
      <c r="D955" t="s">
        <v>42</v>
      </c>
      <c r="E955" t="s">
        <v>142</v>
      </c>
      <c r="F955">
        <v>2</v>
      </c>
      <c r="G955" t="s">
        <v>26</v>
      </c>
      <c r="H955" s="2" t="s">
        <v>27</v>
      </c>
      <c r="I955" t="s">
        <v>2251</v>
      </c>
      <c r="J955" s="2" t="s">
        <v>4371</v>
      </c>
      <c r="L955" s="2" t="s">
        <v>30</v>
      </c>
      <c r="M955" s="2" t="s">
        <v>31</v>
      </c>
      <c r="N955" s="2" t="s">
        <v>32</v>
      </c>
      <c r="O955" s="2" t="s">
        <v>144</v>
      </c>
      <c r="P955" s="2" t="s">
        <v>60</v>
      </c>
      <c r="R955" s="2" t="s">
        <v>206</v>
      </c>
      <c r="T955" s="2" t="s">
        <v>60</v>
      </c>
    </row>
    <row r="956" spans="1:20" x14ac:dyDescent="0.25">
      <c r="A956" t="s">
        <v>4372</v>
      </c>
      <c r="B956" s="4">
        <f t="shared" si="14"/>
        <v>79998</v>
      </c>
      <c r="C956" t="s">
        <v>4373</v>
      </c>
      <c r="D956" t="s">
        <v>185</v>
      </c>
      <c r="E956" t="s">
        <v>4374</v>
      </c>
      <c r="F956" t="s">
        <v>680</v>
      </c>
      <c r="G956" t="s">
        <v>26</v>
      </c>
      <c r="H956" s="2" t="s">
        <v>27</v>
      </c>
      <c r="I956" t="s">
        <v>2251</v>
      </c>
      <c r="J956" s="2" t="s">
        <v>4375</v>
      </c>
      <c r="L956" s="2" t="s">
        <v>30</v>
      </c>
      <c r="M956" s="2" t="s">
        <v>31</v>
      </c>
      <c r="N956" s="2" t="s">
        <v>32</v>
      </c>
      <c r="O956" s="2" t="s">
        <v>4376</v>
      </c>
      <c r="P956" s="2" t="s">
        <v>60</v>
      </c>
      <c r="R956" s="2" t="s">
        <v>206</v>
      </c>
      <c r="T956" s="2" t="s">
        <v>60</v>
      </c>
    </row>
    <row r="957" spans="1:20" x14ac:dyDescent="0.25">
      <c r="A957" t="s">
        <v>4377</v>
      </c>
      <c r="B957" s="4">
        <f t="shared" si="14"/>
        <v>79999</v>
      </c>
      <c r="C957" t="s">
        <v>4378</v>
      </c>
      <c r="D957" t="s">
        <v>365</v>
      </c>
      <c r="E957" t="s">
        <v>1805</v>
      </c>
      <c r="F957" t="s">
        <v>367</v>
      </c>
      <c r="G957" t="s">
        <v>26</v>
      </c>
      <c r="H957" s="2" t="s">
        <v>27</v>
      </c>
      <c r="I957" t="s">
        <v>2251</v>
      </c>
      <c r="J957" s="2" t="s">
        <v>3945</v>
      </c>
      <c r="L957" s="2" t="s">
        <v>30</v>
      </c>
      <c r="M957" s="2" t="s">
        <v>31</v>
      </c>
      <c r="N957" s="2" t="s">
        <v>32</v>
      </c>
      <c r="O957" s="2" t="s">
        <v>4379</v>
      </c>
      <c r="P957" s="2" t="s">
        <v>34</v>
      </c>
      <c r="Q957" t="s">
        <v>4380</v>
      </c>
      <c r="R957" s="2" t="s">
        <v>4381</v>
      </c>
      <c r="T957" s="2" t="s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870"/>
  <sheetViews>
    <sheetView workbookViewId="0">
      <selection activeCell="F1" activeCellId="3" sqref="A1:A1048576 B1:B1048576 E1:E1048576 F1:F1048576"/>
    </sheetView>
  </sheetViews>
  <sheetFormatPr defaultRowHeight="15" x14ac:dyDescent="0.25"/>
  <cols>
    <col min="1" max="1" width="23.28515625" style="9" bestFit="1" customWidth="1"/>
    <col min="2" max="2" width="10" style="9" bestFit="1" customWidth="1"/>
    <col min="3" max="3" width="11.85546875" bestFit="1" customWidth="1"/>
    <col min="4" max="4" width="19.7109375" bestFit="1" customWidth="1"/>
    <col min="5" max="5" width="10.28515625" style="9" bestFit="1" customWidth="1"/>
    <col min="6" max="6" width="8.85546875" style="9" bestFit="1" customWidth="1"/>
    <col min="7" max="7" width="6.140625" bestFit="1" customWidth="1"/>
    <col min="8" max="8" width="71.42578125" bestFit="1" customWidth="1"/>
    <col min="9" max="9" width="7" bestFit="1" customWidth="1"/>
    <col min="10" max="10" width="18.7109375" bestFit="1" customWidth="1"/>
    <col min="11" max="11" width="16.5703125" bestFit="1" customWidth="1"/>
    <col min="12" max="12" width="26.5703125" bestFit="1" customWidth="1"/>
    <col min="13" max="13" width="16.42578125" bestFit="1" customWidth="1"/>
    <col min="14" max="14" width="2.5703125" bestFit="1" customWidth="1"/>
    <col min="15" max="15" width="13.140625" bestFit="1" customWidth="1"/>
    <col min="16" max="16" width="21.140625" bestFit="1" customWidth="1"/>
    <col min="17" max="17" width="18.5703125" bestFit="1" customWidth="1"/>
    <col min="18" max="18" width="24.85546875" bestFit="1" customWidth="1"/>
    <col min="19" max="19" width="31.5703125" bestFit="1" customWidth="1"/>
    <col min="20" max="20" width="13.28515625" bestFit="1" customWidth="1"/>
    <col min="21" max="21" width="8" bestFit="1" customWidth="1"/>
  </cols>
  <sheetData>
    <row r="1" spans="1:21" x14ac:dyDescent="0.25">
      <c r="A1" s="9" t="s">
        <v>4382</v>
      </c>
      <c r="B1" s="9" t="s">
        <v>4383</v>
      </c>
      <c r="C1" t="s">
        <v>4384</v>
      </c>
      <c r="D1" t="s">
        <v>4385</v>
      </c>
      <c r="E1" s="9" t="s">
        <v>4386</v>
      </c>
      <c r="F1" s="9" t="s">
        <v>4387</v>
      </c>
      <c r="G1" t="s">
        <v>0</v>
      </c>
      <c r="H1" t="s">
        <v>4388</v>
      </c>
      <c r="I1" t="s">
        <v>4389</v>
      </c>
      <c r="J1" t="s">
        <v>4390</v>
      </c>
      <c r="K1" t="s">
        <v>4391</v>
      </c>
      <c r="L1" t="s">
        <v>4392</v>
      </c>
      <c r="M1" t="s">
        <v>4393</v>
      </c>
      <c r="N1" t="s">
        <v>4394</v>
      </c>
      <c r="O1" t="s">
        <v>4395</v>
      </c>
      <c r="P1" t="s">
        <v>4396</v>
      </c>
      <c r="Q1" t="s">
        <v>4397</v>
      </c>
      <c r="R1" t="s">
        <v>4398</v>
      </c>
      <c r="S1" t="s">
        <v>4399</v>
      </c>
      <c r="T1" t="s">
        <v>4400</v>
      </c>
      <c r="U1" t="s">
        <v>10</v>
      </c>
    </row>
    <row r="2" spans="1:21" x14ac:dyDescent="0.25">
      <c r="A2" s="9" t="s">
        <v>4401</v>
      </c>
      <c r="B2" s="10">
        <v>44049</v>
      </c>
      <c r="C2" s="1">
        <v>44048</v>
      </c>
      <c r="D2" t="s">
        <v>4402</v>
      </c>
      <c r="E2" s="11">
        <v>0.375</v>
      </c>
      <c r="F2" s="11">
        <v>0.375</v>
      </c>
      <c r="G2">
        <v>70004</v>
      </c>
      <c r="H2" t="s">
        <v>4403</v>
      </c>
      <c r="I2">
        <v>2</v>
      </c>
      <c r="J2" t="s">
        <v>4404</v>
      </c>
      <c r="K2" t="s">
        <v>4405</v>
      </c>
      <c r="L2" t="s">
        <v>4406</v>
      </c>
      <c r="M2" t="s">
        <v>4407</v>
      </c>
      <c r="N2" t="s">
        <v>60</v>
      </c>
      <c r="O2" t="s">
        <v>34</v>
      </c>
      <c r="P2" s="3">
        <v>593830</v>
      </c>
      <c r="Q2" s="3">
        <v>600490</v>
      </c>
      <c r="R2">
        <v>0</v>
      </c>
      <c r="S2" s="3">
        <v>600490</v>
      </c>
      <c r="T2" t="s">
        <v>4408</v>
      </c>
      <c r="U2">
        <v>7932908</v>
      </c>
    </row>
    <row r="3" spans="1:21" x14ac:dyDescent="0.25">
      <c r="A3" s="9" t="s">
        <v>4401</v>
      </c>
      <c r="B3" s="10">
        <v>44049</v>
      </c>
      <c r="C3" s="1">
        <v>44048</v>
      </c>
      <c r="D3" t="s">
        <v>4402</v>
      </c>
      <c r="E3" s="11">
        <v>0.375</v>
      </c>
      <c r="F3" s="11">
        <v>0.375</v>
      </c>
      <c r="G3">
        <v>70011</v>
      </c>
      <c r="H3" t="s">
        <v>4409</v>
      </c>
      <c r="I3">
        <v>3</v>
      </c>
      <c r="J3" t="s">
        <v>4404</v>
      </c>
      <c r="K3" t="s">
        <v>4405</v>
      </c>
      <c r="L3" t="s">
        <v>4406</v>
      </c>
      <c r="M3" t="s">
        <v>4407</v>
      </c>
      <c r="N3" t="s">
        <v>60</v>
      </c>
      <c r="O3" t="s">
        <v>34</v>
      </c>
      <c r="P3" s="3">
        <v>433289</v>
      </c>
      <c r="Q3" s="3">
        <v>444405</v>
      </c>
      <c r="R3" s="3">
        <v>112852</v>
      </c>
      <c r="S3" s="3">
        <v>331553</v>
      </c>
      <c r="T3" t="s">
        <v>4408</v>
      </c>
      <c r="U3">
        <v>7932908</v>
      </c>
    </row>
    <row r="4" spans="1:21" x14ac:dyDescent="0.25">
      <c r="A4" s="9" t="s">
        <v>4401</v>
      </c>
      <c r="B4" s="10">
        <v>44049</v>
      </c>
      <c r="C4" s="1">
        <v>44048</v>
      </c>
      <c r="D4" t="s">
        <v>4402</v>
      </c>
      <c r="E4" s="11">
        <v>0.375</v>
      </c>
      <c r="F4" s="11">
        <v>0.375</v>
      </c>
      <c r="G4">
        <v>70017</v>
      </c>
      <c r="H4" t="s">
        <v>4410</v>
      </c>
      <c r="I4">
        <v>2</v>
      </c>
      <c r="J4" t="s">
        <v>4404</v>
      </c>
      <c r="K4" t="s">
        <v>4405</v>
      </c>
      <c r="L4" t="s">
        <v>4406</v>
      </c>
      <c r="M4" t="s">
        <v>4407</v>
      </c>
      <c r="N4" t="s">
        <v>60</v>
      </c>
      <c r="O4" t="s">
        <v>34</v>
      </c>
      <c r="P4" s="3">
        <v>21573</v>
      </c>
      <c r="Q4" s="3">
        <v>21573</v>
      </c>
      <c r="R4">
        <v>160</v>
      </c>
      <c r="S4" s="3">
        <v>21413</v>
      </c>
      <c r="T4" t="s">
        <v>4408</v>
      </c>
      <c r="U4">
        <v>7932908</v>
      </c>
    </row>
    <row r="5" spans="1:21" x14ac:dyDescent="0.25">
      <c r="A5" s="9" t="s">
        <v>4401</v>
      </c>
      <c r="B5" s="10">
        <v>44049</v>
      </c>
      <c r="C5" s="1">
        <v>44048</v>
      </c>
      <c r="D5" t="s">
        <v>4402</v>
      </c>
      <c r="E5" s="11">
        <v>0.375</v>
      </c>
      <c r="F5" s="11">
        <v>0.375</v>
      </c>
      <c r="G5">
        <v>70018</v>
      </c>
      <c r="H5" t="s">
        <v>4411</v>
      </c>
      <c r="I5">
        <v>2</v>
      </c>
      <c r="J5" t="s">
        <v>4404</v>
      </c>
      <c r="K5" t="s">
        <v>4405</v>
      </c>
      <c r="L5" t="s">
        <v>4406</v>
      </c>
      <c r="M5" t="s">
        <v>4407</v>
      </c>
      <c r="N5" t="s">
        <v>60</v>
      </c>
      <c r="O5" t="s">
        <v>34</v>
      </c>
      <c r="P5" s="3">
        <v>57331</v>
      </c>
      <c r="Q5" s="3">
        <v>58910</v>
      </c>
      <c r="R5">
        <v>599</v>
      </c>
      <c r="S5" s="3">
        <v>58311</v>
      </c>
      <c r="T5" t="s">
        <v>4408</v>
      </c>
      <c r="U5">
        <v>7932908</v>
      </c>
    </row>
    <row r="6" spans="1:21" x14ac:dyDescent="0.25">
      <c r="A6" s="9" t="s">
        <v>4401</v>
      </c>
      <c r="B6" s="10">
        <v>44049</v>
      </c>
      <c r="C6" s="1">
        <v>44048</v>
      </c>
      <c r="D6" t="s">
        <v>4402</v>
      </c>
      <c r="E6" s="11">
        <v>0.375</v>
      </c>
      <c r="F6" s="11">
        <v>0.375</v>
      </c>
      <c r="G6">
        <v>70020</v>
      </c>
      <c r="H6" t="s">
        <v>4412</v>
      </c>
      <c r="I6">
        <v>2</v>
      </c>
      <c r="J6" t="s">
        <v>4404</v>
      </c>
      <c r="K6" t="s">
        <v>4405</v>
      </c>
      <c r="L6" t="s">
        <v>4406</v>
      </c>
      <c r="M6" t="s">
        <v>4407</v>
      </c>
      <c r="N6" t="s">
        <v>60</v>
      </c>
      <c r="O6" t="s">
        <v>34</v>
      </c>
      <c r="P6" s="3">
        <v>5011</v>
      </c>
      <c r="Q6" s="3">
        <v>5488</v>
      </c>
      <c r="R6">
        <v>0</v>
      </c>
      <c r="S6" s="3">
        <v>5488</v>
      </c>
      <c r="T6" t="s">
        <v>4408</v>
      </c>
      <c r="U6">
        <v>7932908</v>
      </c>
    </row>
    <row r="7" spans="1:21" x14ac:dyDescent="0.25">
      <c r="A7" s="9" t="s">
        <v>4401</v>
      </c>
      <c r="B7" s="10">
        <v>44049</v>
      </c>
      <c r="C7" s="1">
        <v>44048</v>
      </c>
      <c r="D7" t="s">
        <v>4402</v>
      </c>
      <c r="E7" s="11">
        <v>0.375</v>
      </c>
      <c r="F7" s="11">
        <v>0.375</v>
      </c>
      <c r="G7">
        <v>70030</v>
      </c>
      <c r="H7" t="s">
        <v>4413</v>
      </c>
      <c r="I7">
        <v>3</v>
      </c>
      <c r="J7" t="s">
        <v>4404</v>
      </c>
      <c r="K7" t="s">
        <v>4405</v>
      </c>
      <c r="L7" t="s">
        <v>4406</v>
      </c>
      <c r="M7" t="s">
        <v>4407</v>
      </c>
      <c r="N7" t="s">
        <v>60</v>
      </c>
      <c r="O7" t="s">
        <v>34</v>
      </c>
      <c r="P7" s="3">
        <v>221946</v>
      </c>
      <c r="Q7" s="3">
        <v>222548</v>
      </c>
      <c r="R7" s="3">
        <v>32082</v>
      </c>
      <c r="S7" s="3">
        <v>190466</v>
      </c>
      <c r="T7" t="s">
        <v>4408</v>
      </c>
      <c r="U7">
        <v>7932908</v>
      </c>
    </row>
    <row r="8" spans="1:21" x14ac:dyDescent="0.25">
      <c r="A8" s="9" t="s">
        <v>4401</v>
      </c>
      <c r="B8" s="10">
        <v>44049</v>
      </c>
      <c r="C8" s="1">
        <v>44048</v>
      </c>
      <c r="D8" t="s">
        <v>4402</v>
      </c>
      <c r="E8" s="11">
        <v>0.375</v>
      </c>
      <c r="F8" s="11">
        <v>0.375</v>
      </c>
      <c r="G8">
        <v>70033</v>
      </c>
      <c r="H8" t="s">
        <v>4414</v>
      </c>
      <c r="I8">
        <v>3</v>
      </c>
      <c r="J8" t="s">
        <v>4404</v>
      </c>
      <c r="K8" t="s">
        <v>4405</v>
      </c>
      <c r="L8" t="s">
        <v>4406</v>
      </c>
      <c r="M8" t="s">
        <v>4407</v>
      </c>
      <c r="N8" t="s">
        <v>60</v>
      </c>
      <c r="O8" t="s">
        <v>34</v>
      </c>
      <c r="P8" s="3">
        <v>123798</v>
      </c>
      <c r="Q8" s="3">
        <v>119263</v>
      </c>
      <c r="R8">
        <v>0</v>
      </c>
      <c r="S8" s="3">
        <v>119263</v>
      </c>
      <c r="T8" t="s">
        <v>4408</v>
      </c>
      <c r="U8">
        <v>7932908</v>
      </c>
    </row>
    <row r="9" spans="1:21" x14ac:dyDescent="0.25">
      <c r="A9" s="9" t="s">
        <v>4401</v>
      </c>
      <c r="B9" s="10">
        <v>44049</v>
      </c>
      <c r="C9" s="1">
        <v>44048</v>
      </c>
      <c r="D9" t="s">
        <v>4402</v>
      </c>
      <c r="E9" s="11">
        <v>0.375</v>
      </c>
      <c r="F9" s="11">
        <v>0.375</v>
      </c>
      <c r="G9">
        <v>70034</v>
      </c>
      <c r="H9" t="s">
        <v>4415</v>
      </c>
      <c r="I9">
        <v>3</v>
      </c>
      <c r="J9" t="s">
        <v>4404</v>
      </c>
      <c r="K9" t="s">
        <v>4405</v>
      </c>
      <c r="L9" t="s">
        <v>4406</v>
      </c>
      <c r="M9" t="s">
        <v>4407</v>
      </c>
      <c r="N9" t="s">
        <v>60</v>
      </c>
      <c r="O9" t="s">
        <v>34</v>
      </c>
      <c r="P9" s="3">
        <v>288841</v>
      </c>
      <c r="Q9" s="3">
        <v>287378</v>
      </c>
      <c r="R9" s="3">
        <v>2005</v>
      </c>
      <c r="S9" s="3">
        <v>285373</v>
      </c>
      <c r="T9" t="s">
        <v>4408</v>
      </c>
      <c r="U9">
        <v>7932908</v>
      </c>
    </row>
    <row r="10" spans="1:21" x14ac:dyDescent="0.25">
      <c r="A10" s="9" t="s">
        <v>4401</v>
      </c>
      <c r="B10" s="10">
        <v>44049</v>
      </c>
      <c r="C10" s="1">
        <v>44048</v>
      </c>
      <c r="D10" t="s">
        <v>4402</v>
      </c>
      <c r="E10" s="11">
        <v>0.375</v>
      </c>
      <c r="F10" s="11">
        <v>0.375</v>
      </c>
      <c r="G10">
        <v>70035</v>
      </c>
      <c r="H10" t="s">
        <v>4416</v>
      </c>
      <c r="I10">
        <v>3</v>
      </c>
      <c r="J10" t="s">
        <v>4404</v>
      </c>
      <c r="K10" t="s">
        <v>4405</v>
      </c>
      <c r="L10" t="s">
        <v>4406</v>
      </c>
      <c r="M10" t="s">
        <v>4407</v>
      </c>
      <c r="N10" t="s">
        <v>60</v>
      </c>
      <c r="O10" t="s">
        <v>34</v>
      </c>
      <c r="P10" s="3">
        <v>249094</v>
      </c>
      <c r="Q10" s="3">
        <v>249434</v>
      </c>
      <c r="R10">
        <v>0</v>
      </c>
      <c r="S10" s="3">
        <v>249434</v>
      </c>
      <c r="T10" t="s">
        <v>4408</v>
      </c>
      <c r="U10">
        <v>7932908</v>
      </c>
    </row>
    <row r="11" spans="1:21" x14ac:dyDescent="0.25">
      <c r="A11" s="9" t="s">
        <v>4401</v>
      </c>
      <c r="B11" s="10">
        <v>44049</v>
      </c>
      <c r="C11" s="1">
        <v>44048</v>
      </c>
      <c r="D11" t="s">
        <v>4402</v>
      </c>
      <c r="E11" s="11">
        <v>0.375</v>
      </c>
      <c r="F11" s="11">
        <v>0.375</v>
      </c>
      <c r="G11">
        <v>70036</v>
      </c>
      <c r="H11" t="s">
        <v>4417</v>
      </c>
      <c r="I11">
        <v>3</v>
      </c>
      <c r="J11" t="s">
        <v>4404</v>
      </c>
      <c r="K11" t="s">
        <v>4405</v>
      </c>
      <c r="L11" t="s">
        <v>4406</v>
      </c>
      <c r="M11" t="s">
        <v>4407</v>
      </c>
      <c r="N11" t="s">
        <v>60</v>
      </c>
      <c r="O11" t="s">
        <v>34</v>
      </c>
      <c r="P11" s="3">
        <v>241034</v>
      </c>
      <c r="Q11" s="3">
        <v>246546</v>
      </c>
      <c r="R11" s="3">
        <v>60358</v>
      </c>
      <c r="S11" s="3">
        <v>186188</v>
      </c>
      <c r="T11" t="s">
        <v>4408</v>
      </c>
      <c r="U11">
        <v>7932908</v>
      </c>
    </row>
    <row r="12" spans="1:21" x14ac:dyDescent="0.25">
      <c r="A12" s="9" t="s">
        <v>4401</v>
      </c>
      <c r="B12" s="10">
        <v>44049</v>
      </c>
      <c r="C12" s="1">
        <v>44048</v>
      </c>
      <c r="D12" t="s">
        <v>4402</v>
      </c>
      <c r="E12" s="11">
        <v>0.375</v>
      </c>
      <c r="F12" s="11">
        <v>0.375</v>
      </c>
      <c r="G12">
        <v>70039</v>
      </c>
      <c r="H12" t="s">
        <v>4418</v>
      </c>
      <c r="I12">
        <v>1</v>
      </c>
      <c r="J12" t="s">
        <v>4404</v>
      </c>
      <c r="K12" t="s">
        <v>4405</v>
      </c>
      <c r="L12" t="s">
        <v>4406</v>
      </c>
      <c r="M12" t="s">
        <v>4407</v>
      </c>
      <c r="N12" t="s">
        <v>60</v>
      </c>
      <c r="O12" t="s">
        <v>34</v>
      </c>
      <c r="P12" s="3">
        <v>20809</v>
      </c>
      <c r="Q12" s="3">
        <v>20738</v>
      </c>
      <c r="R12" s="3">
        <v>2000</v>
      </c>
      <c r="S12" s="3">
        <v>18738</v>
      </c>
      <c r="T12" t="s">
        <v>4408</v>
      </c>
      <c r="U12">
        <v>7932908</v>
      </c>
    </row>
    <row r="13" spans="1:21" x14ac:dyDescent="0.25">
      <c r="A13" s="9" t="s">
        <v>4401</v>
      </c>
      <c r="B13" s="10">
        <v>44049</v>
      </c>
      <c r="C13" s="1">
        <v>44048</v>
      </c>
      <c r="D13" t="s">
        <v>4402</v>
      </c>
      <c r="E13" s="11">
        <v>0.375</v>
      </c>
      <c r="F13" s="11">
        <v>0.375</v>
      </c>
      <c r="G13">
        <v>70040</v>
      </c>
      <c r="H13" t="s">
        <v>4419</v>
      </c>
      <c r="I13">
        <v>1</v>
      </c>
      <c r="J13" t="s">
        <v>4404</v>
      </c>
      <c r="K13" t="s">
        <v>4405</v>
      </c>
      <c r="L13" t="s">
        <v>4406</v>
      </c>
      <c r="M13" t="s">
        <v>4407</v>
      </c>
      <c r="N13" t="s">
        <v>60</v>
      </c>
      <c r="O13" t="s">
        <v>34</v>
      </c>
      <c r="P13" s="3">
        <v>63989</v>
      </c>
      <c r="Q13" s="3">
        <v>63989</v>
      </c>
      <c r="R13">
        <v>0</v>
      </c>
      <c r="S13" s="3">
        <v>63989</v>
      </c>
      <c r="T13" t="s">
        <v>4408</v>
      </c>
      <c r="U13">
        <v>7932908</v>
      </c>
    </row>
    <row r="14" spans="1:21" x14ac:dyDescent="0.25">
      <c r="A14" s="9" t="s">
        <v>4401</v>
      </c>
      <c r="B14" s="10">
        <v>44049</v>
      </c>
      <c r="C14" s="1">
        <v>44048</v>
      </c>
      <c r="D14" t="s">
        <v>4402</v>
      </c>
      <c r="E14" s="11">
        <v>0.375</v>
      </c>
      <c r="F14" s="11">
        <v>0.375</v>
      </c>
      <c r="G14">
        <v>70041</v>
      </c>
      <c r="H14" t="s">
        <v>4420</v>
      </c>
      <c r="I14">
        <v>2</v>
      </c>
      <c r="J14" t="s">
        <v>4404</v>
      </c>
      <c r="K14" t="s">
        <v>4405</v>
      </c>
      <c r="L14" t="s">
        <v>4406</v>
      </c>
      <c r="M14" t="s">
        <v>4407</v>
      </c>
      <c r="N14" t="s">
        <v>60</v>
      </c>
      <c r="O14" t="s">
        <v>34</v>
      </c>
      <c r="P14" s="3">
        <v>248781</v>
      </c>
      <c r="Q14" s="3">
        <v>248781</v>
      </c>
      <c r="R14" s="3">
        <v>15000</v>
      </c>
      <c r="S14" s="3">
        <v>233781</v>
      </c>
      <c r="T14" t="s">
        <v>4408</v>
      </c>
      <c r="U14">
        <v>7932908</v>
      </c>
    </row>
    <row r="15" spans="1:21" x14ac:dyDescent="0.25">
      <c r="A15" s="9" t="s">
        <v>4401</v>
      </c>
      <c r="B15" s="10">
        <v>44049</v>
      </c>
      <c r="C15" s="1">
        <v>44048</v>
      </c>
      <c r="D15" t="s">
        <v>4402</v>
      </c>
      <c r="E15" s="11">
        <v>0.375</v>
      </c>
      <c r="F15" s="11">
        <v>0.375</v>
      </c>
      <c r="G15">
        <v>70042</v>
      </c>
      <c r="H15" t="s">
        <v>4421</v>
      </c>
      <c r="I15">
        <v>1</v>
      </c>
      <c r="J15" t="s">
        <v>4404</v>
      </c>
      <c r="K15" t="s">
        <v>4405</v>
      </c>
      <c r="L15" t="s">
        <v>4406</v>
      </c>
      <c r="M15" t="s">
        <v>4407</v>
      </c>
      <c r="N15" t="s">
        <v>34</v>
      </c>
      <c r="O15" t="s">
        <v>34</v>
      </c>
      <c r="P15" s="3">
        <v>63226</v>
      </c>
      <c r="Q15" s="3">
        <v>63226</v>
      </c>
      <c r="R15" s="3">
        <v>6804</v>
      </c>
      <c r="S15" s="3">
        <v>56422</v>
      </c>
      <c r="T15" t="s">
        <v>4408</v>
      </c>
      <c r="U15">
        <v>7932908</v>
      </c>
    </row>
    <row r="16" spans="1:21" x14ac:dyDescent="0.25">
      <c r="A16" s="9" t="s">
        <v>4401</v>
      </c>
      <c r="B16" s="10">
        <v>44049</v>
      </c>
      <c r="C16" s="1">
        <v>44048</v>
      </c>
      <c r="D16" t="s">
        <v>4402</v>
      </c>
      <c r="E16" s="11">
        <v>0.375</v>
      </c>
      <c r="F16" s="11">
        <v>0.375</v>
      </c>
      <c r="G16">
        <v>70043</v>
      </c>
      <c r="H16" t="s">
        <v>4422</v>
      </c>
      <c r="I16">
        <v>1</v>
      </c>
      <c r="J16" t="s">
        <v>4404</v>
      </c>
      <c r="K16" t="s">
        <v>4405</v>
      </c>
      <c r="L16" t="s">
        <v>4406</v>
      </c>
      <c r="M16" t="s">
        <v>4407</v>
      </c>
      <c r="N16" t="s">
        <v>60</v>
      </c>
      <c r="O16" t="s">
        <v>34</v>
      </c>
      <c r="P16" s="3">
        <v>10692</v>
      </c>
      <c r="Q16" s="3">
        <v>10692</v>
      </c>
      <c r="R16">
        <v>0</v>
      </c>
      <c r="S16" s="3">
        <v>10692</v>
      </c>
      <c r="T16" t="s">
        <v>4408</v>
      </c>
      <c r="U16">
        <v>7932908</v>
      </c>
    </row>
    <row r="17" spans="1:21" x14ac:dyDescent="0.25">
      <c r="A17" s="9" t="s">
        <v>4401</v>
      </c>
      <c r="B17" s="10">
        <v>44049</v>
      </c>
      <c r="C17" s="1">
        <v>44048</v>
      </c>
      <c r="D17" t="s">
        <v>4402</v>
      </c>
      <c r="E17" s="11">
        <v>0.375</v>
      </c>
      <c r="F17" s="11">
        <v>0.375</v>
      </c>
      <c r="G17">
        <v>70051</v>
      </c>
      <c r="H17" t="s">
        <v>4423</v>
      </c>
      <c r="I17">
        <v>2</v>
      </c>
      <c r="J17" t="s">
        <v>4404</v>
      </c>
      <c r="K17" t="s">
        <v>4405</v>
      </c>
      <c r="L17" t="s">
        <v>4406</v>
      </c>
      <c r="M17" t="s">
        <v>4407</v>
      </c>
      <c r="N17" t="s">
        <v>60</v>
      </c>
      <c r="O17" t="s">
        <v>34</v>
      </c>
      <c r="P17" s="3">
        <v>55588</v>
      </c>
      <c r="Q17" s="3">
        <v>55588</v>
      </c>
      <c r="R17" s="3">
        <v>1600</v>
      </c>
      <c r="S17" s="3">
        <v>53988</v>
      </c>
      <c r="T17" t="s">
        <v>4408</v>
      </c>
      <c r="U17">
        <v>7932908</v>
      </c>
    </row>
    <row r="18" spans="1:21" x14ac:dyDescent="0.25">
      <c r="A18" s="9" t="s">
        <v>4401</v>
      </c>
      <c r="B18" s="10">
        <v>44049</v>
      </c>
      <c r="C18" s="1">
        <v>44048</v>
      </c>
      <c r="D18" t="s">
        <v>4402</v>
      </c>
      <c r="E18" s="11">
        <v>0.375</v>
      </c>
      <c r="F18" s="11">
        <v>0.375</v>
      </c>
      <c r="G18">
        <v>70056</v>
      </c>
      <c r="H18" t="s">
        <v>4424</v>
      </c>
      <c r="I18">
        <v>2</v>
      </c>
      <c r="J18" t="s">
        <v>4404</v>
      </c>
      <c r="K18" t="s">
        <v>4405</v>
      </c>
      <c r="L18" t="s">
        <v>4406</v>
      </c>
      <c r="M18" t="s">
        <v>4407</v>
      </c>
      <c r="N18" t="s">
        <v>60</v>
      </c>
      <c r="O18" t="s">
        <v>34</v>
      </c>
      <c r="P18" s="3">
        <v>46989</v>
      </c>
      <c r="Q18" s="3">
        <v>46989</v>
      </c>
      <c r="R18">
        <v>0</v>
      </c>
      <c r="S18" s="3">
        <v>46989</v>
      </c>
      <c r="T18" t="s">
        <v>4408</v>
      </c>
      <c r="U18">
        <v>7932908</v>
      </c>
    </row>
    <row r="19" spans="1:21" x14ac:dyDescent="0.25">
      <c r="A19" s="9" t="s">
        <v>4401</v>
      </c>
      <c r="B19" s="10">
        <v>44049</v>
      </c>
      <c r="C19" s="1">
        <v>44048</v>
      </c>
      <c r="D19" t="s">
        <v>4402</v>
      </c>
      <c r="E19" s="11">
        <v>0.375</v>
      </c>
      <c r="F19" s="11">
        <v>0.375</v>
      </c>
      <c r="G19">
        <v>70057</v>
      </c>
      <c r="H19" t="s">
        <v>4425</v>
      </c>
      <c r="I19">
        <v>3</v>
      </c>
      <c r="J19" t="s">
        <v>4404</v>
      </c>
      <c r="K19" t="s">
        <v>4405</v>
      </c>
      <c r="L19" t="s">
        <v>4406</v>
      </c>
      <c r="M19" t="s">
        <v>4407</v>
      </c>
      <c r="N19" t="s">
        <v>60</v>
      </c>
      <c r="O19" t="s">
        <v>34</v>
      </c>
      <c r="P19" s="3">
        <v>90979</v>
      </c>
      <c r="Q19" s="3">
        <v>90979</v>
      </c>
      <c r="R19" s="3">
        <v>6617</v>
      </c>
      <c r="S19" s="3">
        <v>84362</v>
      </c>
      <c r="T19" t="s">
        <v>4408</v>
      </c>
      <c r="U19">
        <v>7932908</v>
      </c>
    </row>
    <row r="20" spans="1:21" x14ac:dyDescent="0.25">
      <c r="A20" s="9" t="s">
        <v>4401</v>
      </c>
      <c r="B20" s="10">
        <v>44049</v>
      </c>
      <c r="C20" s="1">
        <v>44048</v>
      </c>
      <c r="D20" t="s">
        <v>4402</v>
      </c>
      <c r="E20" s="11">
        <v>0.375</v>
      </c>
      <c r="F20" s="11">
        <v>0.375</v>
      </c>
      <c r="G20">
        <v>70058</v>
      </c>
      <c r="H20" t="s">
        <v>4426</v>
      </c>
      <c r="I20">
        <v>3</v>
      </c>
      <c r="J20" t="s">
        <v>4404</v>
      </c>
      <c r="K20" t="s">
        <v>4405</v>
      </c>
      <c r="L20" t="s">
        <v>4406</v>
      </c>
      <c r="M20" t="s">
        <v>4407</v>
      </c>
      <c r="N20" t="s">
        <v>60</v>
      </c>
      <c r="O20" t="s">
        <v>34</v>
      </c>
      <c r="P20" s="3">
        <v>793250</v>
      </c>
      <c r="Q20" s="3">
        <v>793250</v>
      </c>
      <c r="R20" s="3">
        <v>64553</v>
      </c>
      <c r="S20" s="3">
        <v>728697</v>
      </c>
      <c r="T20" t="s">
        <v>4408</v>
      </c>
      <c r="U20">
        <v>7932908</v>
      </c>
    </row>
    <row r="21" spans="1:21" x14ac:dyDescent="0.25">
      <c r="A21" s="9" t="s">
        <v>4401</v>
      </c>
      <c r="B21" s="10">
        <v>44049</v>
      </c>
      <c r="C21" s="1">
        <v>44048</v>
      </c>
      <c r="D21" t="s">
        <v>4402</v>
      </c>
      <c r="E21" s="11">
        <v>0.375</v>
      </c>
      <c r="F21" s="11">
        <v>0.375</v>
      </c>
      <c r="G21">
        <v>70059</v>
      </c>
      <c r="H21" t="s">
        <v>4427</v>
      </c>
      <c r="I21">
        <v>3</v>
      </c>
      <c r="J21" t="s">
        <v>4404</v>
      </c>
      <c r="K21" t="s">
        <v>4405</v>
      </c>
      <c r="L21" t="s">
        <v>4406</v>
      </c>
      <c r="M21" t="s">
        <v>4407</v>
      </c>
      <c r="N21" t="s">
        <v>60</v>
      </c>
      <c r="O21" t="s">
        <v>34</v>
      </c>
      <c r="P21" s="3">
        <v>24228</v>
      </c>
      <c r="Q21" s="3">
        <v>24228</v>
      </c>
      <c r="R21">
        <v>0</v>
      </c>
      <c r="S21" s="3">
        <v>24228</v>
      </c>
      <c r="T21" t="s">
        <v>4408</v>
      </c>
      <c r="U21">
        <v>7932908</v>
      </c>
    </row>
    <row r="22" spans="1:21" x14ac:dyDescent="0.25">
      <c r="A22" s="9" t="s">
        <v>4401</v>
      </c>
      <c r="B22" s="10">
        <v>44049</v>
      </c>
      <c r="C22" s="1">
        <v>44048</v>
      </c>
      <c r="D22" t="s">
        <v>4402</v>
      </c>
      <c r="E22" s="11">
        <v>0.375</v>
      </c>
      <c r="F22" s="11">
        <v>0.375</v>
      </c>
      <c r="G22">
        <v>70061</v>
      </c>
      <c r="H22" t="s">
        <v>4428</v>
      </c>
      <c r="I22">
        <v>1</v>
      </c>
      <c r="J22" t="s">
        <v>4404</v>
      </c>
      <c r="K22" t="s">
        <v>4405</v>
      </c>
      <c r="L22" t="s">
        <v>4406</v>
      </c>
      <c r="M22" t="s">
        <v>4407</v>
      </c>
      <c r="N22" t="s">
        <v>60</v>
      </c>
      <c r="O22" t="s">
        <v>34</v>
      </c>
      <c r="P22" s="3">
        <v>52353</v>
      </c>
      <c r="Q22" s="3">
        <v>52353</v>
      </c>
      <c r="R22">
        <v>0</v>
      </c>
      <c r="S22" s="3">
        <v>52353</v>
      </c>
      <c r="T22" t="s">
        <v>4408</v>
      </c>
      <c r="U22">
        <v>7932908</v>
      </c>
    </row>
    <row r="23" spans="1:21" x14ac:dyDescent="0.25">
      <c r="A23" s="9" t="s">
        <v>4401</v>
      </c>
      <c r="B23" s="10">
        <v>44049</v>
      </c>
      <c r="C23" s="1">
        <v>44048</v>
      </c>
      <c r="D23" t="s">
        <v>4402</v>
      </c>
      <c r="E23" s="11">
        <v>0.375</v>
      </c>
      <c r="F23" s="11">
        <v>0.375</v>
      </c>
      <c r="G23">
        <v>70062</v>
      </c>
      <c r="H23" t="s">
        <v>4429</v>
      </c>
      <c r="I23">
        <v>2</v>
      </c>
      <c r="J23" t="s">
        <v>4404</v>
      </c>
      <c r="K23" t="s">
        <v>4405</v>
      </c>
      <c r="L23" t="s">
        <v>4406</v>
      </c>
      <c r="M23" t="s">
        <v>4407</v>
      </c>
      <c r="N23" t="s">
        <v>60</v>
      </c>
      <c r="O23" t="s">
        <v>34</v>
      </c>
      <c r="P23" s="3">
        <v>35521</v>
      </c>
      <c r="Q23" s="3">
        <v>35521</v>
      </c>
      <c r="R23" s="3">
        <v>10989</v>
      </c>
      <c r="S23" s="3">
        <v>24532</v>
      </c>
      <c r="T23" t="s">
        <v>4408</v>
      </c>
      <c r="U23">
        <v>7932908</v>
      </c>
    </row>
    <row r="24" spans="1:21" x14ac:dyDescent="0.25">
      <c r="A24" s="9" t="s">
        <v>4401</v>
      </c>
      <c r="B24" s="10">
        <v>44049</v>
      </c>
      <c r="C24" s="1">
        <v>44048</v>
      </c>
      <c r="D24" t="s">
        <v>4402</v>
      </c>
      <c r="E24" s="11">
        <v>0.375</v>
      </c>
      <c r="F24" s="11">
        <v>0.375</v>
      </c>
      <c r="G24">
        <v>70063</v>
      </c>
      <c r="H24" t="s">
        <v>4430</v>
      </c>
      <c r="I24">
        <v>2</v>
      </c>
      <c r="J24" t="s">
        <v>4404</v>
      </c>
      <c r="K24" t="s">
        <v>4405</v>
      </c>
      <c r="L24" t="s">
        <v>4406</v>
      </c>
      <c r="M24" t="s">
        <v>4407</v>
      </c>
      <c r="N24" t="s">
        <v>60</v>
      </c>
      <c r="O24" t="s">
        <v>34</v>
      </c>
      <c r="P24" s="3">
        <v>10016</v>
      </c>
      <c r="Q24" s="3">
        <v>10016</v>
      </c>
      <c r="R24">
        <v>1</v>
      </c>
      <c r="S24" s="3">
        <v>10015</v>
      </c>
      <c r="T24" t="s">
        <v>4408</v>
      </c>
      <c r="U24">
        <v>7932908</v>
      </c>
    </row>
    <row r="25" spans="1:21" x14ac:dyDescent="0.25">
      <c r="A25" s="9" t="s">
        <v>4401</v>
      </c>
      <c r="B25" s="10">
        <v>44049</v>
      </c>
      <c r="C25" s="1">
        <v>44048</v>
      </c>
      <c r="D25" t="s">
        <v>4402</v>
      </c>
      <c r="E25" s="11">
        <v>0.375</v>
      </c>
      <c r="F25" s="11">
        <v>0.375</v>
      </c>
      <c r="G25">
        <v>70065</v>
      </c>
      <c r="H25" t="s">
        <v>4431</v>
      </c>
      <c r="I25" t="s">
        <v>187</v>
      </c>
      <c r="J25" t="s">
        <v>4404</v>
      </c>
      <c r="K25" t="s">
        <v>4405</v>
      </c>
      <c r="L25" t="s">
        <v>4406</v>
      </c>
      <c r="M25" t="s">
        <v>4407</v>
      </c>
      <c r="N25" t="s">
        <v>60</v>
      </c>
      <c r="O25" t="s">
        <v>34</v>
      </c>
      <c r="P25" s="3">
        <v>374724</v>
      </c>
      <c r="Q25" s="3">
        <v>374724</v>
      </c>
      <c r="R25">
        <v>0</v>
      </c>
      <c r="S25" s="3">
        <v>374724</v>
      </c>
      <c r="T25" t="s">
        <v>4408</v>
      </c>
      <c r="U25">
        <v>7932908</v>
      </c>
    </row>
    <row r="26" spans="1:21" x14ac:dyDescent="0.25">
      <c r="A26" s="9" t="s">
        <v>4401</v>
      </c>
      <c r="B26" s="10">
        <v>44049</v>
      </c>
      <c r="C26" s="1">
        <v>44048</v>
      </c>
      <c r="D26" t="s">
        <v>4402</v>
      </c>
      <c r="E26" s="11">
        <v>0.375</v>
      </c>
      <c r="F26" s="11">
        <v>0.375</v>
      </c>
      <c r="G26">
        <v>70066</v>
      </c>
      <c r="H26" t="s">
        <v>4432</v>
      </c>
      <c r="I26">
        <v>3</v>
      </c>
      <c r="J26" t="s">
        <v>4404</v>
      </c>
      <c r="K26" t="s">
        <v>4405</v>
      </c>
      <c r="L26" t="s">
        <v>4406</v>
      </c>
      <c r="M26" t="s">
        <v>4407</v>
      </c>
      <c r="N26" t="s">
        <v>60</v>
      </c>
      <c r="O26" t="s">
        <v>34</v>
      </c>
      <c r="P26" s="3">
        <v>145137</v>
      </c>
      <c r="Q26" s="3">
        <v>145137</v>
      </c>
      <c r="R26" s="3">
        <v>11242</v>
      </c>
      <c r="S26" s="3">
        <v>133895</v>
      </c>
      <c r="T26" t="s">
        <v>4408</v>
      </c>
      <c r="U26">
        <v>7932908</v>
      </c>
    </row>
    <row r="27" spans="1:21" x14ac:dyDescent="0.25">
      <c r="A27" s="9" t="s">
        <v>4401</v>
      </c>
      <c r="B27" s="10">
        <v>44049</v>
      </c>
      <c r="C27" s="1">
        <v>44048</v>
      </c>
      <c r="D27" t="s">
        <v>4402</v>
      </c>
      <c r="E27" s="11">
        <v>0.375</v>
      </c>
      <c r="F27" s="11">
        <v>0.375</v>
      </c>
      <c r="G27">
        <v>70069</v>
      </c>
      <c r="H27" t="s">
        <v>4433</v>
      </c>
      <c r="I27">
        <v>3</v>
      </c>
      <c r="J27" t="s">
        <v>4404</v>
      </c>
      <c r="K27" t="s">
        <v>4405</v>
      </c>
      <c r="L27" t="s">
        <v>4406</v>
      </c>
      <c r="M27" t="s">
        <v>4407</v>
      </c>
      <c r="N27" t="s">
        <v>60</v>
      </c>
      <c r="O27" t="s">
        <v>34</v>
      </c>
      <c r="P27" s="3">
        <v>14434</v>
      </c>
      <c r="Q27" s="3">
        <v>14434</v>
      </c>
      <c r="R27">
        <v>744</v>
      </c>
      <c r="S27" s="3">
        <v>13690</v>
      </c>
      <c r="T27" t="s">
        <v>4408</v>
      </c>
      <c r="U27">
        <v>7932908</v>
      </c>
    </row>
    <row r="28" spans="1:21" x14ac:dyDescent="0.25">
      <c r="A28" s="9" t="s">
        <v>4401</v>
      </c>
      <c r="B28" s="10">
        <v>44049</v>
      </c>
      <c r="C28" s="1">
        <v>44048</v>
      </c>
      <c r="D28" t="s">
        <v>4402</v>
      </c>
      <c r="E28" s="11">
        <v>0.375</v>
      </c>
      <c r="F28" s="11">
        <v>0.375</v>
      </c>
      <c r="G28">
        <v>70070</v>
      </c>
      <c r="H28" t="s">
        <v>4434</v>
      </c>
      <c r="I28">
        <v>3</v>
      </c>
      <c r="J28" t="s">
        <v>4404</v>
      </c>
      <c r="K28" t="s">
        <v>4405</v>
      </c>
      <c r="L28" t="s">
        <v>4406</v>
      </c>
      <c r="M28" t="s">
        <v>4407</v>
      </c>
      <c r="N28" t="s">
        <v>60</v>
      </c>
      <c r="O28" t="s">
        <v>34</v>
      </c>
      <c r="P28" s="3">
        <v>80641</v>
      </c>
      <c r="Q28" s="3">
        <v>80641</v>
      </c>
      <c r="R28" s="3">
        <v>20992</v>
      </c>
      <c r="S28" s="3">
        <v>59649</v>
      </c>
      <c r="T28" t="s">
        <v>4408</v>
      </c>
      <c r="U28">
        <v>7932908</v>
      </c>
    </row>
    <row r="29" spans="1:21" x14ac:dyDescent="0.25">
      <c r="A29" s="9" t="s">
        <v>4401</v>
      </c>
      <c r="B29" s="10">
        <v>44049</v>
      </c>
      <c r="C29" s="1">
        <v>44048</v>
      </c>
      <c r="D29" t="s">
        <v>4402</v>
      </c>
      <c r="E29" s="11">
        <v>0.375</v>
      </c>
      <c r="F29" s="11">
        <v>0.375</v>
      </c>
      <c r="G29">
        <v>70077</v>
      </c>
      <c r="H29" t="s">
        <v>4435</v>
      </c>
      <c r="I29">
        <v>2</v>
      </c>
      <c r="J29" t="s">
        <v>4404</v>
      </c>
      <c r="K29" t="s">
        <v>4405</v>
      </c>
      <c r="L29" t="s">
        <v>4406</v>
      </c>
      <c r="M29" t="s">
        <v>4407</v>
      </c>
      <c r="N29" t="s">
        <v>60</v>
      </c>
      <c r="O29" t="s">
        <v>34</v>
      </c>
      <c r="P29" s="3">
        <v>300949</v>
      </c>
      <c r="Q29" s="3">
        <v>300949</v>
      </c>
      <c r="R29">
        <v>0</v>
      </c>
      <c r="S29" s="3">
        <v>300949</v>
      </c>
      <c r="T29" t="s">
        <v>4408</v>
      </c>
      <c r="U29">
        <v>7932908</v>
      </c>
    </row>
    <row r="30" spans="1:21" x14ac:dyDescent="0.25">
      <c r="A30" s="9" t="s">
        <v>4401</v>
      </c>
      <c r="B30" s="10">
        <v>44049</v>
      </c>
      <c r="C30" s="1">
        <v>44048</v>
      </c>
      <c r="D30" t="s">
        <v>4402</v>
      </c>
      <c r="E30" s="11">
        <v>0.375</v>
      </c>
      <c r="F30" s="11">
        <v>0.375</v>
      </c>
      <c r="G30">
        <v>70079</v>
      </c>
      <c r="H30" t="s">
        <v>4436</v>
      </c>
      <c r="I30">
        <v>1</v>
      </c>
      <c r="J30" t="s">
        <v>4404</v>
      </c>
      <c r="K30" t="s">
        <v>4405</v>
      </c>
      <c r="L30" t="s">
        <v>4406</v>
      </c>
      <c r="M30" t="s">
        <v>4407</v>
      </c>
      <c r="N30" t="s">
        <v>60</v>
      </c>
      <c r="O30" t="s">
        <v>34</v>
      </c>
      <c r="P30" s="3">
        <v>79987</v>
      </c>
      <c r="Q30" s="3">
        <v>79987</v>
      </c>
      <c r="R30" s="3">
        <v>2851</v>
      </c>
      <c r="S30" s="3">
        <v>77136</v>
      </c>
      <c r="T30" t="s">
        <v>4408</v>
      </c>
      <c r="U30">
        <v>7932908</v>
      </c>
    </row>
    <row r="31" spans="1:21" x14ac:dyDescent="0.25">
      <c r="A31" s="9" t="s">
        <v>4401</v>
      </c>
      <c r="B31" s="10">
        <v>44049</v>
      </c>
      <c r="C31" s="1">
        <v>44048</v>
      </c>
      <c r="D31" t="s">
        <v>4402</v>
      </c>
      <c r="E31" s="11">
        <v>0.375</v>
      </c>
      <c r="F31" s="11">
        <v>0.375</v>
      </c>
      <c r="G31">
        <v>70081</v>
      </c>
      <c r="H31" t="s">
        <v>4437</v>
      </c>
      <c r="I31">
        <v>2</v>
      </c>
      <c r="J31" t="s">
        <v>4404</v>
      </c>
      <c r="K31" t="s">
        <v>4405</v>
      </c>
      <c r="L31" t="s">
        <v>4406</v>
      </c>
      <c r="M31" t="s">
        <v>4407</v>
      </c>
      <c r="N31" t="s">
        <v>60</v>
      </c>
      <c r="O31" t="s">
        <v>34</v>
      </c>
      <c r="P31" s="3">
        <v>36372</v>
      </c>
      <c r="Q31" s="3">
        <v>36372</v>
      </c>
      <c r="R31" s="3">
        <v>6000</v>
      </c>
      <c r="S31" s="3">
        <v>30372</v>
      </c>
      <c r="T31" t="s">
        <v>4408</v>
      </c>
      <c r="U31">
        <v>7932908</v>
      </c>
    </row>
    <row r="32" spans="1:21" x14ac:dyDescent="0.25">
      <c r="A32" s="9" t="s">
        <v>4401</v>
      </c>
      <c r="B32" s="10">
        <v>44049</v>
      </c>
      <c r="C32" s="1">
        <v>44048</v>
      </c>
      <c r="D32" t="s">
        <v>4402</v>
      </c>
      <c r="E32" s="11">
        <v>0.375</v>
      </c>
      <c r="F32" s="11">
        <v>0.375</v>
      </c>
      <c r="G32">
        <v>70087</v>
      </c>
      <c r="H32" t="s">
        <v>4438</v>
      </c>
      <c r="I32">
        <v>3</v>
      </c>
      <c r="J32" t="s">
        <v>4404</v>
      </c>
      <c r="K32" t="s">
        <v>4405</v>
      </c>
      <c r="L32" t="s">
        <v>4406</v>
      </c>
      <c r="M32" t="s">
        <v>4407</v>
      </c>
      <c r="N32" t="s">
        <v>60</v>
      </c>
      <c r="O32" t="s">
        <v>34</v>
      </c>
      <c r="P32" s="3">
        <v>1171501</v>
      </c>
      <c r="Q32" s="3">
        <v>1171501</v>
      </c>
      <c r="R32" s="3">
        <v>157137</v>
      </c>
      <c r="S32" s="3">
        <v>1014364</v>
      </c>
      <c r="T32" t="s">
        <v>4408</v>
      </c>
      <c r="U32">
        <v>7932908</v>
      </c>
    </row>
    <row r="33" spans="1:21" x14ac:dyDescent="0.25">
      <c r="A33" s="9" t="s">
        <v>4401</v>
      </c>
      <c r="B33" s="10">
        <v>44049</v>
      </c>
      <c r="C33" s="1">
        <v>44048</v>
      </c>
      <c r="D33" t="s">
        <v>4402</v>
      </c>
      <c r="E33" s="11">
        <v>0.375</v>
      </c>
      <c r="F33" s="11">
        <v>0.375</v>
      </c>
      <c r="G33">
        <v>70089</v>
      </c>
      <c r="H33" t="s">
        <v>4439</v>
      </c>
      <c r="I33">
        <v>1</v>
      </c>
      <c r="J33" t="s">
        <v>4404</v>
      </c>
      <c r="K33" t="s">
        <v>4405</v>
      </c>
      <c r="L33" t="s">
        <v>4406</v>
      </c>
      <c r="M33" t="s">
        <v>4407</v>
      </c>
      <c r="N33" t="s">
        <v>60</v>
      </c>
      <c r="O33" t="s">
        <v>34</v>
      </c>
      <c r="P33" s="3">
        <v>18561</v>
      </c>
      <c r="Q33" s="3">
        <v>18561</v>
      </c>
      <c r="R33">
        <v>115</v>
      </c>
      <c r="S33" s="3">
        <v>18446</v>
      </c>
      <c r="T33" t="s">
        <v>4408</v>
      </c>
      <c r="U33">
        <v>7932908</v>
      </c>
    </row>
    <row r="34" spans="1:21" x14ac:dyDescent="0.25">
      <c r="A34" s="9" t="s">
        <v>4401</v>
      </c>
      <c r="B34" s="10">
        <v>44049</v>
      </c>
      <c r="C34" s="1">
        <v>44048</v>
      </c>
      <c r="D34" t="s">
        <v>4402</v>
      </c>
      <c r="E34" s="11">
        <v>0.375</v>
      </c>
      <c r="F34" s="11">
        <v>0.375</v>
      </c>
      <c r="G34">
        <v>70090</v>
      </c>
      <c r="H34" t="s">
        <v>4440</v>
      </c>
      <c r="I34">
        <v>2</v>
      </c>
      <c r="J34" t="s">
        <v>4404</v>
      </c>
      <c r="K34" t="s">
        <v>4405</v>
      </c>
      <c r="L34" t="s">
        <v>4406</v>
      </c>
      <c r="M34" t="s">
        <v>4407</v>
      </c>
      <c r="N34" t="s">
        <v>60</v>
      </c>
      <c r="O34" t="s">
        <v>34</v>
      </c>
      <c r="P34" s="3">
        <v>10922</v>
      </c>
      <c r="Q34" s="3">
        <v>10922</v>
      </c>
      <c r="R34">
        <v>0</v>
      </c>
      <c r="S34" s="3">
        <v>10922</v>
      </c>
      <c r="T34" t="s">
        <v>4408</v>
      </c>
      <c r="U34">
        <v>7932908</v>
      </c>
    </row>
    <row r="35" spans="1:21" x14ac:dyDescent="0.25">
      <c r="A35" s="9" t="s">
        <v>4401</v>
      </c>
      <c r="B35" s="10">
        <v>44049</v>
      </c>
      <c r="C35" s="1">
        <v>44048</v>
      </c>
      <c r="D35" t="s">
        <v>4402</v>
      </c>
      <c r="E35" s="11">
        <v>0.375</v>
      </c>
      <c r="F35" s="11">
        <v>0.375</v>
      </c>
      <c r="G35">
        <v>70092</v>
      </c>
      <c r="H35" t="s">
        <v>4441</v>
      </c>
      <c r="I35">
        <v>1</v>
      </c>
      <c r="J35" t="s">
        <v>4404</v>
      </c>
      <c r="K35" t="s">
        <v>4405</v>
      </c>
      <c r="L35" t="s">
        <v>4406</v>
      </c>
      <c r="M35" t="s">
        <v>4407</v>
      </c>
      <c r="N35" t="s">
        <v>60</v>
      </c>
      <c r="O35" t="s">
        <v>34</v>
      </c>
      <c r="P35" s="3">
        <v>3265</v>
      </c>
      <c r="Q35" s="3">
        <v>3265</v>
      </c>
      <c r="R35">
        <v>23</v>
      </c>
      <c r="S35" s="3">
        <v>3242</v>
      </c>
      <c r="T35" t="s">
        <v>4408</v>
      </c>
      <c r="U35">
        <v>7932908</v>
      </c>
    </row>
    <row r="36" spans="1:21" x14ac:dyDescent="0.25">
      <c r="A36" s="9" t="s">
        <v>4401</v>
      </c>
      <c r="B36" s="10">
        <v>44049</v>
      </c>
      <c r="C36" s="1">
        <v>44048</v>
      </c>
      <c r="D36" t="s">
        <v>4402</v>
      </c>
      <c r="E36" s="11">
        <v>0.375</v>
      </c>
      <c r="F36" s="11">
        <v>0.375</v>
      </c>
      <c r="G36">
        <v>70093</v>
      </c>
      <c r="H36" t="s">
        <v>4442</v>
      </c>
      <c r="I36">
        <v>2</v>
      </c>
      <c r="J36" t="s">
        <v>4404</v>
      </c>
      <c r="K36" t="s">
        <v>4405</v>
      </c>
      <c r="L36" t="s">
        <v>4406</v>
      </c>
      <c r="M36" t="s">
        <v>4407</v>
      </c>
      <c r="N36" t="s">
        <v>60</v>
      </c>
      <c r="O36" t="s">
        <v>34</v>
      </c>
      <c r="P36" s="3">
        <v>11343</v>
      </c>
      <c r="Q36" s="3">
        <v>11343</v>
      </c>
      <c r="R36">
        <v>54</v>
      </c>
      <c r="S36" s="3">
        <v>11289</v>
      </c>
      <c r="T36" t="s">
        <v>4408</v>
      </c>
      <c r="U36">
        <v>7932908</v>
      </c>
    </row>
    <row r="37" spans="1:21" x14ac:dyDescent="0.25">
      <c r="A37" s="9" t="s">
        <v>4401</v>
      </c>
      <c r="B37" s="10">
        <v>44049</v>
      </c>
      <c r="C37" s="1">
        <v>44048</v>
      </c>
      <c r="D37" t="s">
        <v>4402</v>
      </c>
      <c r="E37" s="11">
        <v>0.375</v>
      </c>
      <c r="F37" s="11">
        <v>0.375</v>
      </c>
      <c r="G37">
        <v>70095</v>
      </c>
      <c r="H37" t="s">
        <v>4443</v>
      </c>
      <c r="I37">
        <v>2</v>
      </c>
      <c r="J37" t="s">
        <v>4404</v>
      </c>
      <c r="K37" t="s">
        <v>4405</v>
      </c>
      <c r="L37" t="s">
        <v>4406</v>
      </c>
      <c r="M37" t="s">
        <v>4407</v>
      </c>
      <c r="N37" t="s">
        <v>60</v>
      </c>
      <c r="O37" t="s">
        <v>34</v>
      </c>
      <c r="P37" s="3">
        <v>8272</v>
      </c>
      <c r="Q37" s="3">
        <v>8272</v>
      </c>
      <c r="R37">
        <v>300</v>
      </c>
      <c r="S37" s="3">
        <v>7972</v>
      </c>
      <c r="T37" t="s">
        <v>4408</v>
      </c>
      <c r="U37">
        <v>7932908</v>
      </c>
    </row>
    <row r="38" spans="1:21" x14ac:dyDescent="0.25">
      <c r="A38" s="9" t="s">
        <v>4401</v>
      </c>
      <c r="B38" s="10">
        <v>44049</v>
      </c>
      <c r="C38" s="1">
        <v>44048</v>
      </c>
      <c r="D38" t="s">
        <v>4402</v>
      </c>
      <c r="E38" s="11">
        <v>0.375</v>
      </c>
      <c r="F38" s="11">
        <v>0.375</v>
      </c>
      <c r="G38">
        <v>70096</v>
      </c>
      <c r="H38" t="s">
        <v>4444</v>
      </c>
      <c r="I38">
        <v>3</v>
      </c>
      <c r="J38" t="s">
        <v>4404</v>
      </c>
      <c r="K38" t="s">
        <v>4405</v>
      </c>
      <c r="L38" t="s">
        <v>4406</v>
      </c>
      <c r="M38" t="s">
        <v>4407</v>
      </c>
      <c r="N38" t="s">
        <v>60</v>
      </c>
      <c r="O38" t="s">
        <v>34</v>
      </c>
      <c r="P38" s="3">
        <v>33722</v>
      </c>
      <c r="Q38" s="3">
        <v>33722</v>
      </c>
      <c r="R38">
        <v>0</v>
      </c>
      <c r="S38" s="3">
        <v>33722</v>
      </c>
      <c r="T38" t="s">
        <v>4408</v>
      </c>
      <c r="U38">
        <v>7932908</v>
      </c>
    </row>
    <row r="39" spans="1:21" x14ac:dyDescent="0.25">
      <c r="A39" s="9" t="s">
        <v>4401</v>
      </c>
      <c r="B39" s="10">
        <v>44049</v>
      </c>
      <c r="C39" s="1">
        <v>44048</v>
      </c>
      <c r="D39" t="s">
        <v>4402</v>
      </c>
      <c r="E39" s="11">
        <v>0.375</v>
      </c>
      <c r="F39" s="11">
        <v>0.375</v>
      </c>
      <c r="G39">
        <v>70098</v>
      </c>
      <c r="H39" t="s">
        <v>4445</v>
      </c>
      <c r="I39">
        <v>1</v>
      </c>
      <c r="J39" t="s">
        <v>4404</v>
      </c>
      <c r="K39" t="s">
        <v>4405</v>
      </c>
      <c r="L39" t="s">
        <v>4406</v>
      </c>
      <c r="M39" t="s">
        <v>4407</v>
      </c>
      <c r="N39" t="s">
        <v>60</v>
      </c>
      <c r="O39" t="s">
        <v>34</v>
      </c>
      <c r="P39" s="3">
        <v>5080</v>
      </c>
      <c r="Q39" s="3">
        <v>5080</v>
      </c>
      <c r="R39">
        <v>345</v>
      </c>
      <c r="S39" s="3">
        <v>4735</v>
      </c>
      <c r="T39" t="s">
        <v>4408</v>
      </c>
      <c r="U39">
        <v>7932908</v>
      </c>
    </row>
    <row r="40" spans="1:21" x14ac:dyDescent="0.25">
      <c r="A40" s="9" t="s">
        <v>4401</v>
      </c>
      <c r="B40" s="10">
        <v>44049</v>
      </c>
      <c r="C40" s="1">
        <v>44048</v>
      </c>
      <c r="D40" t="s">
        <v>4402</v>
      </c>
      <c r="E40" s="11">
        <v>0.375</v>
      </c>
      <c r="F40" s="11">
        <v>0.375</v>
      </c>
      <c r="G40">
        <v>70099</v>
      </c>
      <c r="H40" t="s">
        <v>4446</v>
      </c>
      <c r="I40">
        <v>1</v>
      </c>
      <c r="J40" t="s">
        <v>4404</v>
      </c>
      <c r="K40" t="s">
        <v>4405</v>
      </c>
      <c r="L40" t="s">
        <v>4406</v>
      </c>
      <c r="M40" t="s">
        <v>4407</v>
      </c>
      <c r="N40" t="s">
        <v>60</v>
      </c>
      <c r="O40" t="s">
        <v>34</v>
      </c>
      <c r="P40" s="3">
        <v>3884</v>
      </c>
      <c r="Q40" s="3">
        <v>3884</v>
      </c>
      <c r="R40">
        <v>69</v>
      </c>
      <c r="S40" s="3">
        <v>3815</v>
      </c>
      <c r="T40" t="s">
        <v>4408</v>
      </c>
      <c r="U40">
        <v>7932908</v>
      </c>
    </row>
    <row r="41" spans="1:21" x14ac:dyDescent="0.25">
      <c r="A41" s="9" t="s">
        <v>4401</v>
      </c>
      <c r="B41" s="10">
        <v>44049</v>
      </c>
      <c r="C41" s="1">
        <v>44048</v>
      </c>
      <c r="D41" t="s">
        <v>4402</v>
      </c>
      <c r="E41" s="11">
        <v>0.375</v>
      </c>
      <c r="F41" s="11">
        <v>0.375</v>
      </c>
      <c r="G41">
        <v>70100</v>
      </c>
      <c r="H41" t="s">
        <v>4447</v>
      </c>
      <c r="I41">
        <v>1</v>
      </c>
      <c r="J41" t="s">
        <v>4404</v>
      </c>
      <c r="K41" t="s">
        <v>4405</v>
      </c>
      <c r="L41" t="s">
        <v>4406</v>
      </c>
      <c r="M41" t="s">
        <v>4407</v>
      </c>
      <c r="N41" t="s">
        <v>60</v>
      </c>
      <c r="O41" t="s">
        <v>34</v>
      </c>
      <c r="P41" s="3">
        <v>2786</v>
      </c>
      <c r="Q41" s="3">
        <v>2786</v>
      </c>
      <c r="R41">
        <v>75</v>
      </c>
      <c r="S41" s="3">
        <v>2711</v>
      </c>
      <c r="T41" t="s">
        <v>4408</v>
      </c>
      <c r="U41">
        <v>7932908</v>
      </c>
    </row>
    <row r="42" spans="1:21" x14ac:dyDescent="0.25">
      <c r="A42" s="9" t="s">
        <v>4401</v>
      </c>
      <c r="B42" s="10">
        <v>44049</v>
      </c>
      <c r="C42" s="1">
        <v>44048</v>
      </c>
      <c r="D42" t="s">
        <v>4402</v>
      </c>
      <c r="E42" s="11">
        <v>0.375</v>
      </c>
      <c r="F42" s="11">
        <v>0.375</v>
      </c>
      <c r="G42">
        <v>70101</v>
      </c>
      <c r="H42" t="s">
        <v>4448</v>
      </c>
      <c r="I42">
        <v>1</v>
      </c>
      <c r="J42" t="s">
        <v>4404</v>
      </c>
      <c r="K42" t="s">
        <v>4405</v>
      </c>
      <c r="L42" t="s">
        <v>4406</v>
      </c>
      <c r="M42" t="s">
        <v>4407</v>
      </c>
      <c r="N42" t="s">
        <v>60</v>
      </c>
      <c r="O42" t="s">
        <v>34</v>
      </c>
      <c r="P42" s="3">
        <v>19467</v>
      </c>
      <c r="Q42" s="3">
        <v>19467</v>
      </c>
      <c r="R42">
        <v>550</v>
      </c>
      <c r="S42" s="3">
        <v>18917</v>
      </c>
      <c r="T42" t="s">
        <v>4408</v>
      </c>
      <c r="U42">
        <v>7932908</v>
      </c>
    </row>
    <row r="43" spans="1:21" x14ac:dyDescent="0.25">
      <c r="A43" s="9" t="s">
        <v>4401</v>
      </c>
      <c r="B43" s="10">
        <v>44049</v>
      </c>
      <c r="C43" s="1">
        <v>44048</v>
      </c>
      <c r="D43" t="s">
        <v>4402</v>
      </c>
      <c r="E43" s="11">
        <v>0.375</v>
      </c>
      <c r="F43" s="11">
        <v>0.375</v>
      </c>
      <c r="G43">
        <v>70102</v>
      </c>
      <c r="H43" t="s">
        <v>4449</v>
      </c>
      <c r="I43">
        <v>1</v>
      </c>
      <c r="J43" t="s">
        <v>4404</v>
      </c>
      <c r="K43" t="s">
        <v>4405</v>
      </c>
      <c r="L43" t="s">
        <v>4406</v>
      </c>
      <c r="M43" t="s">
        <v>4407</v>
      </c>
      <c r="N43" t="s">
        <v>60</v>
      </c>
      <c r="O43" t="s">
        <v>34</v>
      </c>
      <c r="P43" s="3">
        <v>29166</v>
      </c>
      <c r="Q43" s="3">
        <v>29166</v>
      </c>
      <c r="R43">
        <v>0</v>
      </c>
      <c r="S43" s="3">
        <v>29166</v>
      </c>
      <c r="T43" t="s">
        <v>4408</v>
      </c>
      <c r="U43">
        <v>7932908</v>
      </c>
    </row>
    <row r="44" spans="1:21" x14ac:dyDescent="0.25">
      <c r="A44" s="9" t="s">
        <v>4401</v>
      </c>
      <c r="B44" s="10">
        <v>44049</v>
      </c>
      <c r="C44" s="1">
        <v>44048</v>
      </c>
      <c r="D44" t="s">
        <v>4402</v>
      </c>
      <c r="E44" s="11">
        <v>0.375</v>
      </c>
      <c r="F44" s="11">
        <v>0.375</v>
      </c>
      <c r="G44">
        <v>70104</v>
      </c>
      <c r="H44" t="s">
        <v>4450</v>
      </c>
      <c r="I44">
        <v>1</v>
      </c>
      <c r="J44" t="s">
        <v>4404</v>
      </c>
      <c r="K44" t="s">
        <v>4405</v>
      </c>
      <c r="L44" t="s">
        <v>4406</v>
      </c>
      <c r="M44" t="s">
        <v>4407</v>
      </c>
      <c r="N44" t="s">
        <v>60</v>
      </c>
      <c r="O44" t="s">
        <v>34</v>
      </c>
      <c r="P44" s="3">
        <v>2786</v>
      </c>
      <c r="Q44" s="3">
        <v>2786</v>
      </c>
      <c r="R44">
        <v>100</v>
      </c>
      <c r="S44" s="3">
        <v>2686</v>
      </c>
      <c r="T44" t="s">
        <v>4408</v>
      </c>
      <c r="U44">
        <v>7932908</v>
      </c>
    </row>
    <row r="45" spans="1:21" x14ac:dyDescent="0.25">
      <c r="A45" s="9" t="s">
        <v>4401</v>
      </c>
      <c r="B45" s="10">
        <v>44049</v>
      </c>
      <c r="C45" s="1">
        <v>44048</v>
      </c>
      <c r="D45" t="s">
        <v>4402</v>
      </c>
      <c r="E45" s="11">
        <v>0.375</v>
      </c>
      <c r="F45" s="11">
        <v>0.375</v>
      </c>
      <c r="G45">
        <v>70107</v>
      </c>
      <c r="H45" t="s">
        <v>4451</v>
      </c>
      <c r="I45">
        <v>1</v>
      </c>
      <c r="J45" t="s">
        <v>4404</v>
      </c>
      <c r="K45" t="s">
        <v>4405</v>
      </c>
      <c r="L45" t="s">
        <v>4406</v>
      </c>
      <c r="M45" t="s">
        <v>4407</v>
      </c>
      <c r="N45" t="s">
        <v>60</v>
      </c>
      <c r="O45" t="s">
        <v>34</v>
      </c>
      <c r="P45" s="3">
        <v>9268</v>
      </c>
      <c r="Q45" s="3">
        <v>9268</v>
      </c>
      <c r="R45">
        <v>265</v>
      </c>
      <c r="S45" s="3">
        <v>9003</v>
      </c>
      <c r="T45" t="s">
        <v>4408</v>
      </c>
      <c r="U45">
        <v>7932908</v>
      </c>
    </row>
    <row r="46" spans="1:21" x14ac:dyDescent="0.25">
      <c r="A46" s="9" t="s">
        <v>4401</v>
      </c>
      <c r="B46" s="10">
        <v>44049</v>
      </c>
      <c r="C46" s="1">
        <v>44048</v>
      </c>
      <c r="D46" t="s">
        <v>4402</v>
      </c>
      <c r="E46" s="11">
        <v>0.375</v>
      </c>
      <c r="F46" s="11">
        <v>0.375</v>
      </c>
      <c r="G46">
        <v>70108</v>
      </c>
      <c r="H46" t="s">
        <v>4452</v>
      </c>
      <c r="I46">
        <v>1</v>
      </c>
      <c r="J46" t="s">
        <v>4404</v>
      </c>
      <c r="K46" t="s">
        <v>4405</v>
      </c>
      <c r="L46" t="s">
        <v>4406</v>
      </c>
      <c r="M46" t="s">
        <v>4407</v>
      </c>
      <c r="N46" t="s">
        <v>60</v>
      </c>
      <c r="O46" t="s">
        <v>34</v>
      </c>
      <c r="P46" s="3">
        <v>6709</v>
      </c>
      <c r="Q46" s="3">
        <v>6709</v>
      </c>
      <c r="R46">
        <v>90</v>
      </c>
      <c r="S46" s="3">
        <v>6619</v>
      </c>
      <c r="T46" t="s">
        <v>4408</v>
      </c>
      <c r="U46">
        <v>7932908</v>
      </c>
    </row>
    <row r="47" spans="1:21" x14ac:dyDescent="0.25">
      <c r="A47" s="9" t="s">
        <v>4401</v>
      </c>
      <c r="B47" s="10">
        <v>44049</v>
      </c>
      <c r="C47" s="1">
        <v>44048</v>
      </c>
      <c r="D47" t="s">
        <v>4402</v>
      </c>
      <c r="E47" s="11">
        <v>0.375</v>
      </c>
      <c r="F47" s="11">
        <v>0.375</v>
      </c>
      <c r="G47">
        <v>70109</v>
      </c>
      <c r="H47" t="s">
        <v>4453</v>
      </c>
      <c r="I47">
        <v>1</v>
      </c>
      <c r="J47" t="s">
        <v>4404</v>
      </c>
      <c r="K47" t="s">
        <v>4405</v>
      </c>
      <c r="L47" t="s">
        <v>4406</v>
      </c>
      <c r="M47" t="s">
        <v>4407</v>
      </c>
      <c r="N47" t="s">
        <v>60</v>
      </c>
      <c r="O47" t="s">
        <v>34</v>
      </c>
      <c r="P47" s="3">
        <v>10602</v>
      </c>
      <c r="Q47" s="3">
        <v>10602</v>
      </c>
      <c r="R47">
        <v>186</v>
      </c>
      <c r="S47" s="3">
        <v>10416</v>
      </c>
      <c r="T47" t="s">
        <v>4408</v>
      </c>
      <c r="U47">
        <v>7932908</v>
      </c>
    </row>
    <row r="48" spans="1:21" x14ac:dyDescent="0.25">
      <c r="A48" s="9" t="s">
        <v>4401</v>
      </c>
      <c r="B48" s="10">
        <v>44049</v>
      </c>
      <c r="C48" s="1">
        <v>44048</v>
      </c>
      <c r="D48" t="s">
        <v>4402</v>
      </c>
      <c r="E48" s="11">
        <v>0.375</v>
      </c>
      <c r="F48" s="11">
        <v>0.375</v>
      </c>
      <c r="G48">
        <v>70110</v>
      </c>
      <c r="H48" t="s">
        <v>4454</v>
      </c>
      <c r="I48">
        <v>1</v>
      </c>
      <c r="J48" t="s">
        <v>4404</v>
      </c>
      <c r="K48" t="s">
        <v>4405</v>
      </c>
      <c r="L48" t="s">
        <v>4406</v>
      </c>
      <c r="M48" t="s">
        <v>4407</v>
      </c>
      <c r="N48" t="s">
        <v>60</v>
      </c>
      <c r="O48" t="s">
        <v>34</v>
      </c>
      <c r="P48" s="3">
        <v>26886</v>
      </c>
      <c r="Q48" s="3">
        <v>26886</v>
      </c>
      <c r="R48">
        <v>0</v>
      </c>
      <c r="S48" s="3">
        <v>26886</v>
      </c>
      <c r="T48" t="s">
        <v>4408</v>
      </c>
      <c r="U48">
        <v>7932908</v>
      </c>
    </row>
    <row r="49" spans="1:21" x14ac:dyDescent="0.25">
      <c r="A49" s="9" t="s">
        <v>4401</v>
      </c>
      <c r="B49" s="10">
        <v>44049</v>
      </c>
      <c r="C49" s="1">
        <v>44048</v>
      </c>
      <c r="D49" t="s">
        <v>4402</v>
      </c>
      <c r="E49" s="11">
        <v>0.375</v>
      </c>
      <c r="F49" s="11">
        <v>0.375</v>
      </c>
      <c r="G49">
        <v>70119</v>
      </c>
      <c r="H49" t="s">
        <v>4455</v>
      </c>
      <c r="I49">
        <v>3</v>
      </c>
      <c r="J49" t="s">
        <v>4404</v>
      </c>
      <c r="K49" t="s">
        <v>4405</v>
      </c>
      <c r="L49" t="s">
        <v>4406</v>
      </c>
      <c r="M49" t="s">
        <v>4407</v>
      </c>
      <c r="N49" t="s">
        <v>60</v>
      </c>
      <c r="O49" t="s">
        <v>34</v>
      </c>
      <c r="P49" s="3">
        <v>16031</v>
      </c>
      <c r="Q49" s="3">
        <v>16031</v>
      </c>
      <c r="R49">
        <v>982</v>
      </c>
      <c r="S49" s="3">
        <v>15049</v>
      </c>
      <c r="T49" t="s">
        <v>4408</v>
      </c>
      <c r="U49">
        <v>7932908</v>
      </c>
    </row>
    <row r="50" spans="1:21" x14ac:dyDescent="0.25">
      <c r="A50" s="9" t="s">
        <v>4401</v>
      </c>
      <c r="B50" s="10">
        <v>44049</v>
      </c>
      <c r="C50" s="1">
        <v>44048</v>
      </c>
      <c r="D50" t="s">
        <v>4402</v>
      </c>
      <c r="E50" s="11">
        <v>0.375</v>
      </c>
      <c r="F50" s="11">
        <v>0.375</v>
      </c>
      <c r="G50">
        <v>70122</v>
      </c>
      <c r="H50" t="s">
        <v>4456</v>
      </c>
      <c r="I50">
        <v>1</v>
      </c>
      <c r="J50" t="s">
        <v>4404</v>
      </c>
      <c r="K50" t="s">
        <v>4405</v>
      </c>
      <c r="L50" t="s">
        <v>4406</v>
      </c>
      <c r="M50" t="s">
        <v>4407</v>
      </c>
      <c r="N50" t="s">
        <v>60</v>
      </c>
      <c r="O50" t="s">
        <v>34</v>
      </c>
      <c r="P50" s="3">
        <v>20600</v>
      </c>
      <c r="Q50" s="3">
        <v>20600</v>
      </c>
      <c r="R50" s="3">
        <v>3387</v>
      </c>
      <c r="S50" s="3">
        <v>17213</v>
      </c>
      <c r="T50" t="s">
        <v>4408</v>
      </c>
      <c r="U50">
        <v>7932908</v>
      </c>
    </row>
    <row r="51" spans="1:21" x14ac:dyDescent="0.25">
      <c r="A51" s="9" t="s">
        <v>4401</v>
      </c>
      <c r="B51" s="10">
        <v>44049</v>
      </c>
      <c r="C51" s="1">
        <v>44048</v>
      </c>
      <c r="D51" t="s">
        <v>4402</v>
      </c>
      <c r="E51" s="11">
        <v>0.375</v>
      </c>
      <c r="F51" s="11">
        <v>0.375</v>
      </c>
      <c r="G51">
        <v>70123</v>
      </c>
      <c r="H51" t="s">
        <v>4457</v>
      </c>
      <c r="I51">
        <v>1</v>
      </c>
      <c r="J51" t="s">
        <v>4458</v>
      </c>
      <c r="K51" t="s">
        <v>4459</v>
      </c>
      <c r="L51" t="s">
        <v>4460</v>
      </c>
      <c r="M51" t="s">
        <v>4407</v>
      </c>
      <c r="N51" t="s">
        <v>60</v>
      </c>
      <c r="O51" t="s">
        <v>34</v>
      </c>
      <c r="P51" s="3">
        <v>114659</v>
      </c>
      <c r="Q51" s="3">
        <v>114659</v>
      </c>
      <c r="R51">
        <v>0</v>
      </c>
      <c r="S51" s="3">
        <v>114659</v>
      </c>
      <c r="T51" t="s">
        <v>4408</v>
      </c>
      <c r="U51">
        <v>7932908</v>
      </c>
    </row>
    <row r="52" spans="1:21" x14ac:dyDescent="0.25">
      <c r="A52" s="9" t="s">
        <v>4401</v>
      </c>
      <c r="B52" s="10">
        <v>44049</v>
      </c>
      <c r="C52" s="1">
        <v>44048</v>
      </c>
      <c r="D52" t="s">
        <v>4402</v>
      </c>
      <c r="E52" s="11">
        <v>0.375</v>
      </c>
      <c r="F52" s="11">
        <v>0.375</v>
      </c>
      <c r="G52">
        <v>70128</v>
      </c>
      <c r="H52" t="s">
        <v>4461</v>
      </c>
      <c r="I52">
        <v>3</v>
      </c>
      <c r="J52" t="s">
        <v>4404</v>
      </c>
      <c r="K52" t="s">
        <v>4405</v>
      </c>
      <c r="L52" t="s">
        <v>4406</v>
      </c>
      <c r="M52" t="s">
        <v>4407</v>
      </c>
      <c r="N52" t="s">
        <v>60</v>
      </c>
      <c r="O52" t="s">
        <v>34</v>
      </c>
      <c r="P52" s="3">
        <v>820979</v>
      </c>
      <c r="Q52" s="3">
        <v>820979</v>
      </c>
      <c r="R52" s="3">
        <v>86115</v>
      </c>
      <c r="S52" s="3">
        <v>734864</v>
      </c>
      <c r="T52" t="s">
        <v>4408</v>
      </c>
      <c r="U52">
        <v>7932908</v>
      </c>
    </row>
    <row r="53" spans="1:21" x14ac:dyDescent="0.25">
      <c r="A53" s="9" t="s">
        <v>4401</v>
      </c>
      <c r="B53" s="10">
        <v>44049</v>
      </c>
      <c r="C53" s="1">
        <v>44048</v>
      </c>
      <c r="D53" t="s">
        <v>4402</v>
      </c>
      <c r="E53" s="11">
        <v>0.375</v>
      </c>
      <c r="F53" s="11">
        <v>0.375</v>
      </c>
      <c r="G53">
        <v>70190</v>
      </c>
      <c r="H53" t="s">
        <v>4462</v>
      </c>
      <c r="I53" t="s">
        <v>187</v>
      </c>
      <c r="J53" t="s">
        <v>4458</v>
      </c>
      <c r="K53" t="s">
        <v>4459</v>
      </c>
      <c r="L53" t="s">
        <v>4460</v>
      </c>
      <c r="M53" t="s">
        <v>4407</v>
      </c>
      <c r="N53" t="s">
        <v>60</v>
      </c>
      <c r="O53" t="s">
        <v>34</v>
      </c>
      <c r="P53" s="3">
        <v>9359</v>
      </c>
      <c r="Q53" s="3">
        <v>9359</v>
      </c>
      <c r="R53">
        <v>0</v>
      </c>
      <c r="S53" s="3">
        <v>9359</v>
      </c>
      <c r="T53" t="s">
        <v>4408</v>
      </c>
      <c r="U53">
        <v>7932908</v>
      </c>
    </row>
    <row r="54" spans="1:21" x14ac:dyDescent="0.25">
      <c r="A54" s="9" t="s">
        <v>4401</v>
      </c>
      <c r="B54" s="10">
        <v>44049</v>
      </c>
      <c r="C54" s="1">
        <v>44048</v>
      </c>
      <c r="D54" t="s">
        <v>4402</v>
      </c>
      <c r="E54" s="11">
        <v>0.375</v>
      </c>
      <c r="F54" s="11">
        <v>0.375</v>
      </c>
      <c r="G54">
        <v>70192</v>
      </c>
      <c r="H54" t="s">
        <v>4463</v>
      </c>
      <c r="I54" t="s">
        <v>187</v>
      </c>
      <c r="J54" t="s">
        <v>4458</v>
      </c>
      <c r="K54" t="s">
        <v>4459</v>
      </c>
      <c r="L54" t="s">
        <v>4460</v>
      </c>
      <c r="M54" t="s">
        <v>4407</v>
      </c>
      <c r="N54" t="s">
        <v>60</v>
      </c>
      <c r="O54" t="s">
        <v>34</v>
      </c>
      <c r="P54" s="3">
        <v>66657</v>
      </c>
      <c r="Q54" s="3">
        <v>66657</v>
      </c>
      <c r="R54">
        <v>100</v>
      </c>
      <c r="S54" s="3">
        <v>66557</v>
      </c>
      <c r="T54" t="s">
        <v>4408</v>
      </c>
      <c r="U54">
        <v>7932908</v>
      </c>
    </row>
    <row r="55" spans="1:21" x14ac:dyDescent="0.25">
      <c r="A55" s="9" t="s">
        <v>4401</v>
      </c>
      <c r="B55" s="10">
        <v>44049</v>
      </c>
      <c r="C55" s="1">
        <v>44048</v>
      </c>
      <c r="D55" t="s">
        <v>4402</v>
      </c>
      <c r="E55" s="11">
        <v>0.375</v>
      </c>
      <c r="F55" s="11">
        <v>0.375</v>
      </c>
      <c r="G55">
        <v>70215</v>
      </c>
      <c r="H55" t="s">
        <v>4464</v>
      </c>
      <c r="I55">
        <v>2</v>
      </c>
      <c r="J55" t="s">
        <v>4458</v>
      </c>
      <c r="K55" t="s">
        <v>4459</v>
      </c>
      <c r="L55" t="s">
        <v>4460</v>
      </c>
      <c r="M55" t="s">
        <v>4407</v>
      </c>
      <c r="N55" t="s">
        <v>60</v>
      </c>
      <c r="O55" t="s">
        <v>34</v>
      </c>
      <c r="P55" s="3">
        <v>328000</v>
      </c>
      <c r="Q55" s="3">
        <v>328000</v>
      </c>
      <c r="R55">
        <v>0</v>
      </c>
      <c r="S55" s="3">
        <v>328000</v>
      </c>
      <c r="T55" t="s">
        <v>4408</v>
      </c>
      <c r="U55">
        <v>7932908</v>
      </c>
    </row>
    <row r="56" spans="1:21" x14ac:dyDescent="0.25">
      <c r="A56" s="9" t="s">
        <v>4401</v>
      </c>
      <c r="B56" s="10">
        <v>44049</v>
      </c>
      <c r="C56" s="1">
        <v>44048</v>
      </c>
      <c r="D56" t="s">
        <v>4402</v>
      </c>
      <c r="E56" s="11">
        <v>0.375</v>
      </c>
      <c r="F56" s="11">
        <v>0.375</v>
      </c>
      <c r="G56">
        <v>70217</v>
      </c>
      <c r="H56" t="s">
        <v>404</v>
      </c>
      <c r="I56">
        <v>1</v>
      </c>
      <c r="J56" t="s">
        <v>4458</v>
      </c>
      <c r="K56" t="s">
        <v>4459</v>
      </c>
      <c r="L56" t="s">
        <v>4460</v>
      </c>
      <c r="M56" t="s">
        <v>4407</v>
      </c>
      <c r="N56" t="s">
        <v>60</v>
      </c>
      <c r="O56" t="s">
        <v>34</v>
      </c>
      <c r="P56" s="3">
        <v>559739</v>
      </c>
      <c r="Q56" s="3">
        <v>559739</v>
      </c>
      <c r="R56" s="3">
        <v>21755</v>
      </c>
      <c r="S56" s="3">
        <v>537984</v>
      </c>
      <c r="T56" t="s">
        <v>4408</v>
      </c>
      <c r="U56">
        <v>7932908</v>
      </c>
    </row>
    <row r="57" spans="1:21" x14ac:dyDescent="0.25">
      <c r="A57" s="9" t="s">
        <v>4401</v>
      </c>
      <c r="B57" s="10">
        <v>44049</v>
      </c>
      <c r="C57" s="1">
        <v>44048</v>
      </c>
      <c r="D57" t="s">
        <v>4402</v>
      </c>
      <c r="E57" s="11">
        <v>0.375</v>
      </c>
      <c r="F57" s="11">
        <v>0.375</v>
      </c>
      <c r="G57">
        <v>70238</v>
      </c>
      <c r="H57" t="s">
        <v>4465</v>
      </c>
      <c r="I57">
        <v>1</v>
      </c>
      <c r="J57" t="s">
        <v>4458</v>
      </c>
      <c r="K57" t="s">
        <v>4459</v>
      </c>
      <c r="L57" t="s">
        <v>4460</v>
      </c>
      <c r="M57" t="s">
        <v>4407</v>
      </c>
      <c r="N57" t="s">
        <v>60</v>
      </c>
      <c r="O57" t="s">
        <v>34</v>
      </c>
      <c r="P57" s="3">
        <v>10090</v>
      </c>
      <c r="Q57" s="3">
        <v>10090</v>
      </c>
      <c r="R57">
        <v>75</v>
      </c>
      <c r="S57" s="3">
        <v>10015</v>
      </c>
      <c r="T57" t="s">
        <v>4408</v>
      </c>
      <c r="U57">
        <v>7932908</v>
      </c>
    </row>
    <row r="58" spans="1:21" x14ac:dyDescent="0.25">
      <c r="A58" s="9" t="s">
        <v>4401</v>
      </c>
      <c r="B58" s="10">
        <v>44049</v>
      </c>
      <c r="C58" s="1">
        <v>44048</v>
      </c>
      <c r="D58" t="s">
        <v>4402</v>
      </c>
      <c r="E58" s="11">
        <v>0.375</v>
      </c>
      <c r="F58" s="11">
        <v>0.375</v>
      </c>
      <c r="G58">
        <v>70244</v>
      </c>
      <c r="H58" t="s">
        <v>4466</v>
      </c>
      <c r="I58">
        <v>3</v>
      </c>
      <c r="J58" t="s">
        <v>4404</v>
      </c>
      <c r="K58" t="s">
        <v>4405</v>
      </c>
      <c r="L58" t="s">
        <v>4406</v>
      </c>
      <c r="M58" t="s">
        <v>4407</v>
      </c>
      <c r="N58" t="s">
        <v>60</v>
      </c>
      <c r="O58" t="s">
        <v>34</v>
      </c>
      <c r="P58" s="3">
        <v>365801</v>
      </c>
      <c r="Q58" s="3">
        <v>365801</v>
      </c>
      <c r="R58">
        <v>0</v>
      </c>
      <c r="S58" s="3">
        <v>365801</v>
      </c>
      <c r="T58" t="s">
        <v>4408</v>
      </c>
      <c r="U58">
        <v>7932908</v>
      </c>
    </row>
    <row r="59" spans="1:21" x14ac:dyDescent="0.25">
      <c r="A59" s="9" t="s">
        <v>4401</v>
      </c>
      <c r="B59" s="10">
        <v>44049</v>
      </c>
      <c r="C59" s="1">
        <v>44048</v>
      </c>
      <c r="D59" t="s">
        <v>4402</v>
      </c>
      <c r="E59" s="11">
        <v>0.375</v>
      </c>
      <c r="F59" s="11">
        <v>0.375</v>
      </c>
      <c r="G59">
        <v>70249</v>
      </c>
      <c r="H59" t="s">
        <v>4467</v>
      </c>
      <c r="I59">
        <v>3</v>
      </c>
      <c r="J59" t="s">
        <v>4458</v>
      </c>
      <c r="K59" t="s">
        <v>4459</v>
      </c>
      <c r="L59" t="s">
        <v>4460</v>
      </c>
      <c r="M59" t="s">
        <v>4407</v>
      </c>
      <c r="N59" t="s">
        <v>60</v>
      </c>
      <c r="O59" t="s">
        <v>34</v>
      </c>
      <c r="P59" s="3">
        <v>199035</v>
      </c>
      <c r="Q59" s="3">
        <v>199035</v>
      </c>
      <c r="R59" s="3">
        <v>1000</v>
      </c>
      <c r="S59" s="3">
        <v>198035</v>
      </c>
      <c r="T59" t="s">
        <v>4408</v>
      </c>
      <c r="U59">
        <v>7932908</v>
      </c>
    </row>
    <row r="60" spans="1:21" x14ac:dyDescent="0.25">
      <c r="A60" s="9" t="s">
        <v>4401</v>
      </c>
      <c r="B60" s="10">
        <v>44049</v>
      </c>
      <c r="C60" s="1">
        <v>44048</v>
      </c>
      <c r="D60" t="s">
        <v>4402</v>
      </c>
      <c r="E60" s="11">
        <v>0.375</v>
      </c>
      <c r="F60" s="11">
        <v>0.375</v>
      </c>
      <c r="G60">
        <v>70266</v>
      </c>
      <c r="H60" t="s">
        <v>4468</v>
      </c>
      <c r="I60">
        <v>3</v>
      </c>
      <c r="J60" t="s">
        <v>4404</v>
      </c>
      <c r="K60" t="s">
        <v>4405</v>
      </c>
      <c r="L60" t="s">
        <v>4406</v>
      </c>
      <c r="M60" t="s">
        <v>4407</v>
      </c>
      <c r="N60" t="s">
        <v>60</v>
      </c>
      <c r="O60" t="s">
        <v>34</v>
      </c>
      <c r="P60" s="3">
        <v>5962</v>
      </c>
      <c r="Q60" s="3">
        <v>5962</v>
      </c>
      <c r="R60">
        <v>0</v>
      </c>
      <c r="S60" s="3">
        <v>5962</v>
      </c>
      <c r="T60" t="s">
        <v>4408</v>
      </c>
      <c r="U60">
        <v>7932908</v>
      </c>
    </row>
    <row r="61" spans="1:21" x14ac:dyDescent="0.25">
      <c r="A61" s="9" t="s">
        <v>4401</v>
      </c>
      <c r="B61" s="10">
        <v>44049</v>
      </c>
      <c r="C61" s="1">
        <v>44048</v>
      </c>
      <c r="D61" t="s">
        <v>4402</v>
      </c>
      <c r="E61" s="11">
        <v>0.375</v>
      </c>
      <c r="F61" s="11">
        <v>0.375</v>
      </c>
      <c r="G61">
        <v>70275</v>
      </c>
      <c r="H61" t="s">
        <v>4469</v>
      </c>
      <c r="I61">
        <v>3</v>
      </c>
      <c r="J61" t="s">
        <v>4404</v>
      </c>
      <c r="K61" t="s">
        <v>4405</v>
      </c>
      <c r="L61" t="s">
        <v>4406</v>
      </c>
      <c r="M61" t="s">
        <v>4407</v>
      </c>
      <c r="N61" t="s">
        <v>60</v>
      </c>
      <c r="O61" t="s">
        <v>34</v>
      </c>
      <c r="P61" s="3">
        <v>149319</v>
      </c>
      <c r="Q61" s="3">
        <v>149319</v>
      </c>
      <c r="R61" s="3">
        <v>16286</v>
      </c>
      <c r="S61" s="3">
        <v>133033</v>
      </c>
      <c r="T61" t="s">
        <v>4408</v>
      </c>
      <c r="U61">
        <v>7932908</v>
      </c>
    </row>
    <row r="62" spans="1:21" x14ac:dyDescent="0.25">
      <c r="A62" s="9" t="s">
        <v>4401</v>
      </c>
      <c r="B62" s="10">
        <v>44049</v>
      </c>
      <c r="C62" s="1">
        <v>44048</v>
      </c>
      <c r="D62" t="s">
        <v>4402</v>
      </c>
      <c r="E62" s="11">
        <v>0.375</v>
      </c>
      <c r="F62" s="11">
        <v>0.375</v>
      </c>
      <c r="G62">
        <v>70283</v>
      </c>
      <c r="H62" t="s">
        <v>4470</v>
      </c>
      <c r="I62">
        <v>1</v>
      </c>
      <c r="J62" t="s">
        <v>4458</v>
      </c>
      <c r="K62" t="s">
        <v>4459</v>
      </c>
      <c r="L62" t="s">
        <v>4460</v>
      </c>
      <c r="M62" t="s">
        <v>4407</v>
      </c>
      <c r="N62" t="s">
        <v>60</v>
      </c>
      <c r="O62" t="s">
        <v>34</v>
      </c>
      <c r="P62" s="3">
        <v>157425</v>
      </c>
      <c r="Q62" s="3">
        <v>157425</v>
      </c>
      <c r="R62">
        <v>0</v>
      </c>
      <c r="S62" s="3">
        <v>157425</v>
      </c>
      <c r="T62" t="s">
        <v>4408</v>
      </c>
      <c r="U62">
        <v>7932908</v>
      </c>
    </row>
    <row r="63" spans="1:21" x14ac:dyDescent="0.25">
      <c r="A63" s="9" t="s">
        <v>4401</v>
      </c>
      <c r="B63" s="10">
        <v>44049</v>
      </c>
      <c r="C63" s="1">
        <v>44048</v>
      </c>
      <c r="D63" t="s">
        <v>4402</v>
      </c>
      <c r="E63" s="11">
        <v>0.375</v>
      </c>
      <c r="F63" s="11">
        <v>0.375</v>
      </c>
      <c r="G63">
        <v>70295</v>
      </c>
      <c r="H63" t="s">
        <v>4471</v>
      </c>
      <c r="I63">
        <v>1</v>
      </c>
      <c r="J63" t="s">
        <v>4404</v>
      </c>
      <c r="K63" t="s">
        <v>4405</v>
      </c>
      <c r="L63" t="s">
        <v>4406</v>
      </c>
      <c r="M63" t="s">
        <v>4407</v>
      </c>
      <c r="N63" t="s">
        <v>60</v>
      </c>
      <c r="O63" t="s">
        <v>34</v>
      </c>
      <c r="P63" s="3">
        <v>8624</v>
      </c>
      <c r="Q63" s="3">
        <v>8624</v>
      </c>
      <c r="R63">
        <v>560</v>
      </c>
      <c r="S63" s="3">
        <v>8064</v>
      </c>
      <c r="T63" t="s">
        <v>4408</v>
      </c>
      <c r="U63">
        <v>7932908</v>
      </c>
    </row>
    <row r="64" spans="1:21" x14ac:dyDescent="0.25">
      <c r="A64" s="9" t="s">
        <v>4401</v>
      </c>
      <c r="B64" s="10">
        <v>44049</v>
      </c>
      <c r="C64" s="1">
        <v>44048</v>
      </c>
      <c r="D64" t="s">
        <v>4402</v>
      </c>
      <c r="E64" s="11">
        <v>0.375</v>
      </c>
      <c r="F64" s="11">
        <v>0.375</v>
      </c>
      <c r="G64">
        <v>70297</v>
      </c>
      <c r="H64" t="s">
        <v>458</v>
      </c>
      <c r="I64">
        <v>1</v>
      </c>
      <c r="J64" t="s">
        <v>4404</v>
      </c>
      <c r="K64" t="s">
        <v>4405</v>
      </c>
      <c r="L64" t="s">
        <v>4406</v>
      </c>
      <c r="M64" t="s">
        <v>4407</v>
      </c>
      <c r="N64" t="s">
        <v>60</v>
      </c>
      <c r="O64" t="s">
        <v>34</v>
      </c>
      <c r="P64" s="3">
        <v>1244</v>
      </c>
      <c r="Q64" s="3">
        <v>1244</v>
      </c>
      <c r="R64">
        <v>0</v>
      </c>
      <c r="S64" s="3">
        <v>1244</v>
      </c>
      <c r="T64" t="s">
        <v>4408</v>
      </c>
      <c r="U64">
        <v>7932908</v>
      </c>
    </row>
    <row r="65" spans="1:21" x14ac:dyDescent="0.25">
      <c r="A65" s="9" t="s">
        <v>4401</v>
      </c>
      <c r="B65" s="10">
        <v>44049</v>
      </c>
      <c r="C65" s="1">
        <v>44048</v>
      </c>
      <c r="D65" t="s">
        <v>4402</v>
      </c>
      <c r="E65" s="11">
        <v>0.375</v>
      </c>
      <c r="F65" s="11">
        <v>0.375</v>
      </c>
      <c r="G65">
        <v>70298</v>
      </c>
      <c r="H65" t="s">
        <v>4472</v>
      </c>
      <c r="I65">
        <v>1</v>
      </c>
      <c r="J65" t="s">
        <v>4404</v>
      </c>
      <c r="K65" t="s">
        <v>4405</v>
      </c>
      <c r="L65" t="s">
        <v>4406</v>
      </c>
      <c r="M65" t="s">
        <v>4407</v>
      </c>
      <c r="N65" t="s">
        <v>60</v>
      </c>
      <c r="O65" t="s">
        <v>34</v>
      </c>
      <c r="P65">
        <v>286</v>
      </c>
      <c r="Q65">
        <v>286</v>
      </c>
      <c r="R65">
        <v>0</v>
      </c>
      <c r="S65">
        <v>286</v>
      </c>
      <c r="T65" t="s">
        <v>4408</v>
      </c>
      <c r="U65">
        <v>7932908</v>
      </c>
    </row>
    <row r="66" spans="1:21" x14ac:dyDescent="0.25">
      <c r="A66" s="9" t="s">
        <v>4401</v>
      </c>
      <c r="B66" s="10">
        <v>44049</v>
      </c>
      <c r="C66" s="1">
        <v>44048</v>
      </c>
      <c r="D66" t="s">
        <v>4402</v>
      </c>
      <c r="E66" s="11">
        <v>0.375</v>
      </c>
      <c r="F66" s="11">
        <v>0.375</v>
      </c>
      <c r="G66">
        <v>70299</v>
      </c>
      <c r="H66" t="s">
        <v>4473</v>
      </c>
      <c r="I66">
        <v>1</v>
      </c>
      <c r="J66" t="s">
        <v>4404</v>
      </c>
      <c r="K66" t="s">
        <v>4405</v>
      </c>
      <c r="L66" t="s">
        <v>4406</v>
      </c>
      <c r="M66" t="s">
        <v>4407</v>
      </c>
      <c r="N66" t="s">
        <v>60</v>
      </c>
      <c r="O66" t="s">
        <v>34</v>
      </c>
      <c r="P66" s="3">
        <v>18044</v>
      </c>
      <c r="Q66" s="3">
        <v>18044</v>
      </c>
      <c r="R66">
        <v>500</v>
      </c>
      <c r="S66" s="3">
        <v>17544</v>
      </c>
      <c r="T66" t="s">
        <v>4408</v>
      </c>
      <c r="U66">
        <v>7932908</v>
      </c>
    </row>
    <row r="67" spans="1:21" x14ac:dyDescent="0.25">
      <c r="A67" s="9" t="s">
        <v>4401</v>
      </c>
      <c r="B67" s="10">
        <v>44049</v>
      </c>
      <c r="C67" s="1">
        <v>44048</v>
      </c>
      <c r="D67" t="s">
        <v>4402</v>
      </c>
      <c r="E67" s="11">
        <v>0.375</v>
      </c>
      <c r="F67" s="11">
        <v>0.375</v>
      </c>
      <c r="G67">
        <v>70308</v>
      </c>
      <c r="H67" t="s">
        <v>4474</v>
      </c>
      <c r="I67">
        <v>3</v>
      </c>
      <c r="J67" t="s">
        <v>4404</v>
      </c>
      <c r="K67" t="s">
        <v>4405</v>
      </c>
      <c r="L67" t="s">
        <v>4406</v>
      </c>
      <c r="M67" t="s">
        <v>4407</v>
      </c>
      <c r="N67" t="s">
        <v>60</v>
      </c>
      <c r="O67" t="s">
        <v>34</v>
      </c>
      <c r="P67" s="3">
        <v>15693</v>
      </c>
      <c r="Q67" s="3">
        <v>15693</v>
      </c>
      <c r="R67" s="3">
        <v>4725</v>
      </c>
      <c r="S67" s="3">
        <v>10968</v>
      </c>
      <c r="T67" t="s">
        <v>4408</v>
      </c>
      <c r="U67">
        <v>7932908</v>
      </c>
    </row>
    <row r="68" spans="1:21" x14ac:dyDescent="0.25">
      <c r="A68" s="9" t="s">
        <v>4401</v>
      </c>
      <c r="B68" s="10">
        <v>44049</v>
      </c>
      <c r="C68" s="1">
        <v>44048</v>
      </c>
      <c r="D68" t="s">
        <v>4402</v>
      </c>
      <c r="E68" s="11">
        <v>0.375</v>
      </c>
      <c r="F68" s="11">
        <v>0.375</v>
      </c>
      <c r="G68">
        <v>70309</v>
      </c>
      <c r="H68" t="s">
        <v>4475</v>
      </c>
      <c r="I68">
        <v>3</v>
      </c>
      <c r="J68" t="s">
        <v>4458</v>
      </c>
      <c r="K68" t="s">
        <v>4405</v>
      </c>
      <c r="L68" t="s">
        <v>4406</v>
      </c>
      <c r="M68" t="s">
        <v>4407</v>
      </c>
      <c r="N68" t="s">
        <v>60</v>
      </c>
      <c r="O68" t="s">
        <v>34</v>
      </c>
      <c r="P68" s="3">
        <v>34732</v>
      </c>
      <c r="Q68" s="3">
        <v>34732</v>
      </c>
      <c r="R68" s="3">
        <v>-1509</v>
      </c>
      <c r="S68" s="3">
        <v>34732</v>
      </c>
      <c r="T68" t="s">
        <v>4408</v>
      </c>
      <c r="U68">
        <v>7932908</v>
      </c>
    </row>
    <row r="69" spans="1:21" x14ac:dyDescent="0.25">
      <c r="A69" s="9" t="s">
        <v>4401</v>
      </c>
      <c r="B69" s="10">
        <v>44049</v>
      </c>
      <c r="C69" s="1">
        <v>44048</v>
      </c>
      <c r="D69" t="s">
        <v>4402</v>
      </c>
      <c r="E69" s="11">
        <v>0.375</v>
      </c>
      <c r="F69" s="11">
        <v>0.375</v>
      </c>
      <c r="G69">
        <v>70313</v>
      </c>
      <c r="H69" t="s">
        <v>4476</v>
      </c>
      <c r="I69">
        <v>2</v>
      </c>
      <c r="J69" t="s">
        <v>4404</v>
      </c>
      <c r="K69" t="s">
        <v>4405</v>
      </c>
      <c r="L69" t="s">
        <v>4406</v>
      </c>
      <c r="M69" t="s">
        <v>4407</v>
      </c>
      <c r="N69" t="s">
        <v>60</v>
      </c>
      <c r="O69" t="s">
        <v>34</v>
      </c>
      <c r="P69" s="3">
        <v>3850</v>
      </c>
      <c r="Q69" s="3">
        <v>3850</v>
      </c>
      <c r="R69">
        <v>12</v>
      </c>
      <c r="S69" s="3">
        <v>3838</v>
      </c>
      <c r="T69" t="s">
        <v>4408</v>
      </c>
      <c r="U69">
        <v>7932908</v>
      </c>
    </row>
    <row r="70" spans="1:21" x14ac:dyDescent="0.25">
      <c r="A70" s="9" t="s">
        <v>4401</v>
      </c>
      <c r="B70" s="10">
        <v>44049</v>
      </c>
      <c r="C70" s="1">
        <v>44048</v>
      </c>
      <c r="D70" t="s">
        <v>4402</v>
      </c>
      <c r="E70" s="11">
        <v>0.375</v>
      </c>
      <c r="F70" s="11">
        <v>0.375</v>
      </c>
      <c r="G70">
        <v>70315</v>
      </c>
      <c r="H70" t="s">
        <v>4477</v>
      </c>
      <c r="I70">
        <v>1</v>
      </c>
      <c r="J70" t="s">
        <v>4404</v>
      </c>
      <c r="K70" t="s">
        <v>4405</v>
      </c>
      <c r="L70" t="s">
        <v>4406</v>
      </c>
      <c r="M70" t="s">
        <v>4407</v>
      </c>
      <c r="N70" t="s">
        <v>60</v>
      </c>
      <c r="O70" t="s">
        <v>34</v>
      </c>
      <c r="P70" s="3">
        <v>217499</v>
      </c>
      <c r="Q70" s="3">
        <v>217499</v>
      </c>
      <c r="R70" s="3">
        <v>4050</v>
      </c>
      <c r="S70" s="3">
        <v>213449</v>
      </c>
      <c r="T70" t="s">
        <v>4408</v>
      </c>
      <c r="U70">
        <v>7932908</v>
      </c>
    </row>
    <row r="71" spans="1:21" x14ac:dyDescent="0.25">
      <c r="A71" s="9" t="s">
        <v>4401</v>
      </c>
      <c r="B71" s="10">
        <v>44049</v>
      </c>
      <c r="C71" s="1">
        <v>44048</v>
      </c>
      <c r="D71" t="s">
        <v>4402</v>
      </c>
      <c r="E71" s="11">
        <v>0.375</v>
      </c>
      <c r="F71" s="11">
        <v>0.375</v>
      </c>
      <c r="G71">
        <v>70316</v>
      </c>
      <c r="H71" t="s">
        <v>4478</v>
      </c>
      <c r="I71">
        <v>1</v>
      </c>
      <c r="J71" t="s">
        <v>4404</v>
      </c>
      <c r="K71" t="s">
        <v>4405</v>
      </c>
      <c r="L71" t="s">
        <v>4406</v>
      </c>
      <c r="M71" t="s">
        <v>4407</v>
      </c>
      <c r="N71" t="s">
        <v>60</v>
      </c>
      <c r="O71" t="s">
        <v>34</v>
      </c>
      <c r="P71" s="3">
        <v>3484</v>
      </c>
      <c r="Q71" s="3">
        <v>3484</v>
      </c>
      <c r="R71">
        <v>0</v>
      </c>
      <c r="S71" s="3">
        <v>3484</v>
      </c>
      <c r="T71" t="s">
        <v>4408</v>
      </c>
      <c r="U71">
        <v>7932908</v>
      </c>
    </row>
    <row r="72" spans="1:21" x14ac:dyDescent="0.25">
      <c r="A72" s="9" t="s">
        <v>4401</v>
      </c>
      <c r="B72" s="10">
        <v>44049</v>
      </c>
      <c r="C72" s="1">
        <v>44048</v>
      </c>
      <c r="D72" t="s">
        <v>4402</v>
      </c>
      <c r="E72" s="11">
        <v>0.375</v>
      </c>
      <c r="F72" s="11">
        <v>0.375</v>
      </c>
      <c r="G72">
        <v>70321</v>
      </c>
      <c r="H72" t="s">
        <v>4479</v>
      </c>
      <c r="I72">
        <v>3</v>
      </c>
      <c r="J72" t="s">
        <v>4404</v>
      </c>
      <c r="K72" t="s">
        <v>4405</v>
      </c>
      <c r="L72" t="s">
        <v>4406</v>
      </c>
      <c r="M72" t="s">
        <v>4407</v>
      </c>
      <c r="N72" t="s">
        <v>60</v>
      </c>
      <c r="O72" t="s">
        <v>34</v>
      </c>
      <c r="P72" s="3">
        <v>37055</v>
      </c>
      <c r="Q72" s="3">
        <v>37055</v>
      </c>
      <c r="R72" s="3">
        <v>1193</v>
      </c>
      <c r="S72" s="3">
        <v>35862</v>
      </c>
      <c r="T72" t="s">
        <v>4408</v>
      </c>
      <c r="U72">
        <v>7932908</v>
      </c>
    </row>
    <row r="73" spans="1:21" x14ac:dyDescent="0.25">
      <c r="A73" s="9" t="s">
        <v>4401</v>
      </c>
      <c r="B73" s="10">
        <v>44049</v>
      </c>
      <c r="C73" s="1">
        <v>44048</v>
      </c>
      <c r="D73" t="s">
        <v>4402</v>
      </c>
      <c r="E73" s="11">
        <v>0.375</v>
      </c>
      <c r="F73" s="11">
        <v>0.375</v>
      </c>
      <c r="G73">
        <v>70322</v>
      </c>
      <c r="H73" t="s">
        <v>4480</v>
      </c>
      <c r="I73">
        <v>3</v>
      </c>
      <c r="J73" t="s">
        <v>4404</v>
      </c>
      <c r="K73" t="s">
        <v>4405</v>
      </c>
      <c r="L73" t="s">
        <v>4406</v>
      </c>
      <c r="M73" t="s">
        <v>4407</v>
      </c>
      <c r="N73" t="s">
        <v>60</v>
      </c>
      <c r="O73" t="s">
        <v>34</v>
      </c>
      <c r="P73" s="3">
        <v>140745</v>
      </c>
      <c r="Q73" s="3">
        <v>140745</v>
      </c>
      <c r="R73" s="3">
        <v>9074</v>
      </c>
      <c r="S73" s="3">
        <v>131671</v>
      </c>
      <c r="T73" t="s">
        <v>4408</v>
      </c>
      <c r="U73">
        <v>7932908</v>
      </c>
    </row>
    <row r="74" spans="1:21" x14ac:dyDescent="0.25">
      <c r="A74" s="9" t="s">
        <v>4401</v>
      </c>
      <c r="B74" s="10">
        <v>44049</v>
      </c>
      <c r="C74" s="1">
        <v>44048</v>
      </c>
      <c r="D74" t="s">
        <v>4402</v>
      </c>
      <c r="E74" s="11">
        <v>0.375</v>
      </c>
      <c r="F74" s="11">
        <v>0.375</v>
      </c>
      <c r="G74">
        <v>70323</v>
      </c>
      <c r="H74" t="s">
        <v>4481</v>
      </c>
      <c r="I74">
        <v>3</v>
      </c>
      <c r="J74" t="s">
        <v>4404</v>
      </c>
      <c r="K74" t="s">
        <v>4405</v>
      </c>
      <c r="L74" t="s">
        <v>4406</v>
      </c>
      <c r="M74" t="s">
        <v>4407</v>
      </c>
      <c r="N74" t="s">
        <v>60</v>
      </c>
      <c r="O74" t="s">
        <v>34</v>
      </c>
      <c r="P74" s="3">
        <v>18567</v>
      </c>
      <c r="Q74" s="3">
        <v>18567</v>
      </c>
      <c r="R74">
        <v>110</v>
      </c>
      <c r="S74" s="3">
        <v>18457</v>
      </c>
      <c r="T74" t="s">
        <v>4408</v>
      </c>
      <c r="U74">
        <v>7932908</v>
      </c>
    </row>
    <row r="75" spans="1:21" x14ac:dyDescent="0.25">
      <c r="A75" s="9" t="s">
        <v>4401</v>
      </c>
      <c r="B75" s="10">
        <v>44049</v>
      </c>
      <c r="C75" s="1">
        <v>44048</v>
      </c>
      <c r="D75" t="s">
        <v>4402</v>
      </c>
      <c r="E75" s="11">
        <v>0.375</v>
      </c>
      <c r="F75" s="11">
        <v>0.375</v>
      </c>
      <c r="G75">
        <v>70336</v>
      </c>
      <c r="H75" t="s">
        <v>4482</v>
      </c>
      <c r="I75">
        <v>1</v>
      </c>
      <c r="J75" t="s">
        <v>4404</v>
      </c>
      <c r="K75" t="s">
        <v>4405</v>
      </c>
      <c r="L75" t="s">
        <v>4406</v>
      </c>
      <c r="M75" t="s">
        <v>4407</v>
      </c>
      <c r="N75" t="s">
        <v>60</v>
      </c>
      <c r="O75" t="s">
        <v>34</v>
      </c>
      <c r="P75" s="3">
        <v>10759</v>
      </c>
      <c r="Q75" s="3">
        <v>10759</v>
      </c>
      <c r="R75">
        <v>0</v>
      </c>
      <c r="S75" s="3">
        <v>10759</v>
      </c>
      <c r="T75" t="s">
        <v>4408</v>
      </c>
      <c r="U75">
        <v>7932908</v>
      </c>
    </row>
    <row r="76" spans="1:21" x14ac:dyDescent="0.25">
      <c r="A76" s="9" t="s">
        <v>4401</v>
      </c>
      <c r="B76" s="10">
        <v>44049</v>
      </c>
      <c r="C76" s="1">
        <v>44048</v>
      </c>
      <c r="D76" t="s">
        <v>4402</v>
      </c>
      <c r="E76" s="11">
        <v>0.375</v>
      </c>
      <c r="F76" s="11">
        <v>0.375</v>
      </c>
      <c r="G76">
        <v>70364</v>
      </c>
      <c r="H76" t="s">
        <v>4483</v>
      </c>
      <c r="I76" t="s">
        <v>367</v>
      </c>
      <c r="J76" t="s">
        <v>4458</v>
      </c>
      <c r="K76" t="s">
        <v>4459</v>
      </c>
      <c r="L76" t="s">
        <v>4460</v>
      </c>
      <c r="M76" t="s">
        <v>4407</v>
      </c>
      <c r="N76" t="s">
        <v>60</v>
      </c>
      <c r="O76" t="s">
        <v>34</v>
      </c>
      <c r="P76" s="3">
        <v>17357</v>
      </c>
      <c r="Q76" s="3">
        <v>17357</v>
      </c>
      <c r="R76">
        <v>100</v>
      </c>
      <c r="S76" s="3">
        <v>17257</v>
      </c>
      <c r="T76" t="s">
        <v>4408</v>
      </c>
      <c r="U76">
        <v>7932908</v>
      </c>
    </row>
    <row r="77" spans="1:21" x14ac:dyDescent="0.25">
      <c r="A77" s="9" t="s">
        <v>4401</v>
      </c>
      <c r="B77" s="10">
        <v>44049</v>
      </c>
      <c r="C77" s="1">
        <v>44048</v>
      </c>
      <c r="D77" t="s">
        <v>4402</v>
      </c>
      <c r="E77" s="11">
        <v>0.375</v>
      </c>
      <c r="F77" s="11">
        <v>0.375</v>
      </c>
      <c r="G77">
        <v>70372</v>
      </c>
      <c r="H77" t="s">
        <v>4484</v>
      </c>
      <c r="I77">
        <v>2</v>
      </c>
      <c r="J77" t="s">
        <v>4404</v>
      </c>
      <c r="K77" t="s">
        <v>4405</v>
      </c>
      <c r="L77" t="s">
        <v>4406</v>
      </c>
      <c r="M77" t="s">
        <v>4407</v>
      </c>
      <c r="N77" t="s">
        <v>60</v>
      </c>
      <c r="O77" t="s">
        <v>34</v>
      </c>
      <c r="P77" s="3">
        <v>152641</v>
      </c>
      <c r="Q77" s="3">
        <v>152641</v>
      </c>
      <c r="R77">
        <v>0</v>
      </c>
      <c r="S77" s="3">
        <v>152641</v>
      </c>
      <c r="T77" t="s">
        <v>4408</v>
      </c>
      <c r="U77">
        <v>7932908</v>
      </c>
    </row>
    <row r="78" spans="1:21" x14ac:dyDescent="0.25">
      <c r="A78" s="9" t="s">
        <v>4401</v>
      </c>
      <c r="B78" s="10">
        <v>44049</v>
      </c>
      <c r="C78" s="1">
        <v>44048</v>
      </c>
      <c r="D78" t="s">
        <v>4402</v>
      </c>
      <c r="E78" s="11">
        <v>0.375</v>
      </c>
      <c r="F78" s="11">
        <v>0.375</v>
      </c>
      <c r="G78">
        <v>70396</v>
      </c>
      <c r="H78" t="s">
        <v>4485</v>
      </c>
      <c r="I78">
        <v>1</v>
      </c>
      <c r="J78" t="s">
        <v>4404</v>
      </c>
      <c r="K78" t="s">
        <v>4405</v>
      </c>
      <c r="L78" t="s">
        <v>4406</v>
      </c>
      <c r="M78" t="s">
        <v>4407</v>
      </c>
      <c r="N78" t="s">
        <v>60</v>
      </c>
      <c r="O78" t="s">
        <v>34</v>
      </c>
      <c r="P78" s="3">
        <v>11976</v>
      </c>
      <c r="Q78" s="3">
        <v>11976</v>
      </c>
      <c r="R78">
        <v>0</v>
      </c>
      <c r="S78" s="3">
        <v>11976</v>
      </c>
      <c r="T78" t="s">
        <v>4408</v>
      </c>
      <c r="U78">
        <v>7932908</v>
      </c>
    </row>
    <row r="79" spans="1:21" x14ac:dyDescent="0.25">
      <c r="A79" s="9" t="s">
        <v>4401</v>
      </c>
      <c r="B79" s="10">
        <v>44049</v>
      </c>
      <c r="C79" s="1">
        <v>44048</v>
      </c>
      <c r="D79" t="s">
        <v>4402</v>
      </c>
      <c r="E79" s="11">
        <v>0.375</v>
      </c>
      <c r="F79" s="11">
        <v>0.375</v>
      </c>
      <c r="G79">
        <v>70397</v>
      </c>
      <c r="H79" t="s">
        <v>4477</v>
      </c>
      <c r="I79">
        <v>1</v>
      </c>
      <c r="J79" t="s">
        <v>4404</v>
      </c>
      <c r="K79" t="s">
        <v>4405</v>
      </c>
      <c r="L79" t="s">
        <v>4406</v>
      </c>
      <c r="M79" t="s">
        <v>4407</v>
      </c>
      <c r="N79" t="s">
        <v>60</v>
      </c>
      <c r="O79" t="s">
        <v>34</v>
      </c>
      <c r="P79" s="3">
        <v>10242</v>
      </c>
      <c r="Q79" s="3">
        <v>10242</v>
      </c>
      <c r="R79">
        <v>0</v>
      </c>
      <c r="S79" s="3">
        <v>10242</v>
      </c>
      <c r="T79" t="s">
        <v>4408</v>
      </c>
      <c r="U79">
        <v>7932908</v>
      </c>
    </row>
    <row r="80" spans="1:21" x14ac:dyDescent="0.25">
      <c r="A80" s="9" t="s">
        <v>4401</v>
      </c>
      <c r="B80" s="10">
        <v>44049</v>
      </c>
      <c r="C80" s="1">
        <v>44048</v>
      </c>
      <c r="D80" t="s">
        <v>4402</v>
      </c>
      <c r="E80" s="11">
        <v>0.375</v>
      </c>
      <c r="F80" s="11">
        <v>0.375</v>
      </c>
      <c r="G80">
        <v>70398</v>
      </c>
      <c r="H80" t="s">
        <v>4486</v>
      </c>
      <c r="I80">
        <v>1</v>
      </c>
      <c r="J80" t="s">
        <v>4404</v>
      </c>
      <c r="K80" t="s">
        <v>4405</v>
      </c>
      <c r="L80" t="s">
        <v>4406</v>
      </c>
      <c r="M80" t="s">
        <v>4407</v>
      </c>
      <c r="N80" t="s">
        <v>60</v>
      </c>
      <c r="O80" t="s">
        <v>34</v>
      </c>
      <c r="P80" s="3">
        <v>2240</v>
      </c>
      <c r="Q80" s="3">
        <v>2240</v>
      </c>
      <c r="R80">
        <v>85</v>
      </c>
      <c r="S80" s="3">
        <v>2155</v>
      </c>
      <c r="T80" t="s">
        <v>4408</v>
      </c>
      <c r="U80">
        <v>7932908</v>
      </c>
    </row>
    <row r="81" spans="1:21" x14ac:dyDescent="0.25">
      <c r="A81" s="9" t="s">
        <v>4401</v>
      </c>
      <c r="B81" s="10">
        <v>44049</v>
      </c>
      <c r="C81" s="1">
        <v>44048</v>
      </c>
      <c r="D81" t="s">
        <v>4402</v>
      </c>
      <c r="E81" s="11">
        <v>0.375</v>
      </c>
      <c r="F81" s="11">
        <v>0.375</v>
      </c>
      <c r="G81">
        <v>70418</v>
      </c>
      <c r="H81" t="s">
        <v>4487</v>
      </c>
      <c r="I81" t="s">
        <v>543</v>
      </c>
      <c r="J81" t="s">
        <v>4404</v>
      </c>
      <c r="K81" t="s">
        <v>4405</v>
      </c>
      <c r="L81" t="s">
        <v>4406</v>
      </c>
      <c r="M81" t="s">
        <v>4407</v>
      </c>
      <c r="N81" t="s">
        <v>60</v>
      </c>
      <c r="O81" t="s">
        <v>34</v>
      </c>
      <c r="P81" s="3">
        <v>1743</v>
      </c>
      <c r="Q81" s="3">
        <v>1743</v>
      </c>
      <c r="R81">
        <v>265</v>
      </c>
      <c r="S81" s="3">
        <v>1478</v>
      </c>
      <c r="T81" t="s">
        <v>4408</v>
      </c>
      <c r="U81">
        <v>7932908</v>
      </c>
    </row>
    <row r="82" spans="1:21" x14ac:dyDescent="0.25">
      <c r="A82" s="9" t="s">
        <v>4401</v>
      </c>
      <c r="B82" s="10">
        <v>44049</v>
      </c>
      <c r="C82" s="1">
        <v>44048</v>
      </c>
      <c r="D82" t="s">
        <v>4402</v>
      </c>
      <c r="E82" s="11">
        <v>0.375</v>
      </c>
      <c r="F82" s="11">
        <v>0.375</v>
      </c>
      <c r="G82">
        <v>70419</v>
      </c>
      <c r="H82" t="s">
        <v>4488</v>
      </c>
      <c r="I82" t="s">
        <v>543</v>
      </c>
      <c r="J82" t="s">
        <v>4404</v>
      </c>
      <c r="K82" t="s">
        <v>4405</v>
      </c>
      <c r="L82" t="s">
        <v>4406</v>
      </c>
      <c r="M82" t="s">
        <v>4407</v>
      </c>
      <c r="N82" t="s">
        <v>60</v>
      </c>
      <c r="O82" t="s">
        <v>34</v>
      </c>
      <c r="P82" s="3">
        <v>1431</v>
      </c>
      <c r="Q82" s="3">
        <v>1431</v>
      </c>
      <c r="R82">
        <v>0</v>
      </c>
      <c r="S82" s="3">
        <v>1431</v>
      </c>
      <c r="T82" t="s">
        <v>4408</v>
      </c>
      <c r="U82">
        <v>7932908</v>
      </c>
    </row>
    <row r="83" spans="1:21" x14ac:dyDescent="0.25">
      <c r="A83" s="9" t="s">
        <v>4401</v>
      </c>
      <c r="B83" s="10">
        <v>44049</v>
      </c>
      <c r="C83" s="1">
        <v>44048</v>
      </c>
      <c r="D83" t="s">
        <v>4402</v>
      </c>
      <c r="E83" s="11">
        <v>0.375</v>
      </c>
      <c r="F83" s="11">
        <v>0.375</v>
      </c>
      <c r="G83">
        <v>70420</v>
      </c>
      <c r="H83" t="s">
        <v>4489</v>
      </c>
      <c r="I83" t="s">
        <v>543</v>
      </c>
      <c r="J83" t="s">
        <v>4404</v>
      </c>
      <c r="K83" t="s">
        <v>4405</v>
      </c>
      <c r="L83" t="s">
        <v>4406</v>
      </c>
      <c r="M83" t="s">
        <v>4407</v>
      </c>
      <c r="N83" t="s">
        <v>60</v>
      </c>
      <c r="O83" t="s">
        <v>34</v>
      </c>
      <c r="P83" s="3">
        <v>1431</v>
      </c>
      <c r="Q83" s="3">
        <v>1431</v>
      </c>
      <c r="R83">
        <v>0</v>
      </c>
      <c r="S83" s="3">
        <v>1431</v>
      </c>
      <c r="T83" t="s">
        <v>4408</v>
      </c>
      <c r="U83">
        <v>7932908</v>
      </c>
    </row>
    <row r="84" spans="1:21" x14ac:dyDescent="0.25">
      <c r="A84" s="9" t="s">
        <v>4401</v>
      </c>
      <c r="B84" s="10">
        <v>44049</v>
      </c>
      <c r="C84" s="1">
        <v>44048</v>
      </c>
      <c r="D84" t="s">
        <v>4402</v>
      </c>
      <c r="E84" s="11">
        <v>0.375</v>
      </c>
      <c r="F84" s="11">
        <v>0.375</v>
      </c>
      <c r="G84">
        <v>70421</v>
      </c>
      <c r="H84" t="s">
        <v>4490</v>
      </c>
      <c r="I84" t="s">
        <v>543</v>
      </c>
      <c r="J84" t="s">
        <v>4404</v>
      </c>
      <c r="K84" t="s">
        <v>4405</v>
      </c>
      <c r="L84" t="s">
        <v>4406</v>
      </c>
      <c r="M84" t="s">
        <v>4407</v>
      </c>
      <c r="N84" t="s">
        <v>60</v>
      </c>
      <c r="O84" t="s">
        <v>34</v>
      </c>
      <c r="P84" s="3">
        <v>4993</v>
      </c>
      <c r="Q84" s="3">
        <v>4993</v>
      </c>
      <c r="R84">
        <v>0</v>
      </c>
      <c r="S84" s="3">
        <v>4993</v>
      </c>
      <c r="T84" t="s">
        <v>4408</v>
      </c>
      <c r="U84">
        <v>7932908</v>
      </c>
    </row>
    <row r="85" spans="1:21" x14ac:dyDescent="0.25">
      <c r="A85" s="9" t="s">
        <v>4401</v>
      </c>
      <c r="B85" s="10">
        <v>44049</v>
      </c>
      <c r="C85" s="1">
        <v>44048</v>
      </c>
      <c r="D85" t="s">
        <v>4402</v>
      </c>
      <c r="E85" s="11">
        <v>0.375</v>
      </c>
      <c r="F85" s="11">
        <v>0.375</v>
      </c>
      <c r="G85">
        <v>70428</v>
      </c>
      <c r="H85" t="s">
        <v>4491</v>
      </c>
      <c r="I85">
        <v>2</v>
      </c>
      <c r="J85" t="s">
        <v>4404</v>
      </c>
      <c r="K85" t="s">
        <v>4405</v>
      </c>
      <c r="L85" t="s">
        <v>4406</v>
      </c>
      <c r="M85" t="s">
        <v>4407</v>
      </c>
      <c r="N85" t="s">
        <v>60</v>
      </c>
      <c r="O85" t="s">
        <v>34</v>
      </c>
      <c r="P85" s="3">
        <v>3378</v>
      </c>
      <c r="Q85" s="3">
        <v>3378</v>
      </c>
      <c r="R85">
        <v>375</v>
      </c>
      <c r="S85" s="3">
        <v>3003</v>
      </c>
      <c r="T85" t="s">
        <v>4408</v>
      </c>
      <c r="U85">
        <v>7932908</v>
      </c>
    </row>
    <row r="86" spans="1:21" x14ac:dyDescent="0.25">
      <c r="A86" s="9" t="s">
        <v>4401</v>
      </c>
      <c r="B86" s="10">
        <v>44049</v>
      </c>
      <c r="C86" s="1">
        <v>44048</v>
      </c>
      <c r="D86" t="s">
        <v>4402</v>
      </c>
      <c r="E86" s="11">
        <v>0.375</v>
      </c>
      <c r="F86" s="11">
        <v>0.375</v>
      </c>
      <c r="G86">
        <v>70429</v>
      </c>
      <c r="H86" t="s">
        <v>4492</v>
      </c>
      <c r="I86">
        <v>2</v>
      </c>
      <c r="J86" t="s">
        <v>4404</v>
      </c>
      <c r="K86" t="s">
        <v>4405</v>
      </c>
      <c r="L86" t="s">
        <v>4406</v>
      </c>
      <c r="M86" t="s">
        <v>4407</v>
      </c>
      <c r="N86" t="s">
        <v>60</v>
      </c>
      <c r="O86" t="s">
        <v>34</v>
      </c>
      <c r="P86" s="3">
        <v>6276</v>
      </c>
      <c r="Q86" s="3">
        <v>6276</v>
      </c>
      <c r="R86">
        <v>360</v>
      </c>
      <c r="S86" s="3">
        <v>5916</v>
      </c>
      <c r="T86" t="s">
        <v>4408</v>
      </c>
      <c r="U86">
        <v>7932908</v>
      </c>
    </row>
    <row r="87" spans="1:21" x14ac:dyDescent="0.25">
      <c r="A87" s="9" t="s">
        <v>4401</v>
      </c>
      <c r="B87" s="10">
        <v>44049</v>
      </c>
      <c r="C87" s="1">
        <v>44048</v>
      </c>
      <c r="D87" t="s">
        <v>4402</v>
      </c>
      <c r="E87" s="11">
        <v>0.375</v>
      </c>
      <c r="F87" s="11">
        <v>0.375</v>
      </c>
      <c r="G87">
        <v>70430</v>
      </c>
      <c r="H87" t="s">
        <v>4493</v>
      </c>
      <c r="I87">
        <v>1</v>
      </c>
      <c r="J87" t="s">
        <v>4404</v>
      </c>
      <c r="K87" t="s">
        <v>4405</v>
      </c>
      <c r="L87" t="s">
        <v>4406</v>
      </c>
      <c r="M87" t="s">
        <v>4407</v>
      </c>
      <c r="N87" t="s">
        <v>60</v>
      </c>
      <c r="O87" t="s">
        <v>34</v>
      </c>
      <c r="P87" s="3">
        <v>19487</v>
      </c>
      <c r="Q87" s="3">
        <v>19487</v>
      </c>
      <c r="R87">
        <v>0</v>
      </c>
      <c r="S87" s="3">
        <v>19487</v>
      </c>
      <c r="T87" t="s">
        <v>4408</v>
      </c>
      <c r="U87">
        <v>7932908</v>
      </c>
    </row>
    <row r="88" spans="1:21" x14ac:dyDescent="0.25">
      <c r="A88" s="9" t="s">
        <v>4401</v>
      </c>
      <c r="B88" s="10">
        <v>44049</v>
      </c>
      <c r="C88" s="1">
        <v>44048</v>
      </c>
      <c r="D88" t="s">
        <v>4402</v>
      </c>
      <c r="E88" s="11">
        <v>0.375</v>
      </c>
      <c r="F88" s="11">
        <v>0.375</v>
      </c>
      <c r="G88">
        <v>70441</v>
      </c>
      <c r="H88" t="s">
        <v>4494</v>
      </c>
      <c r="I88">
        <v>1</v>
      </c>
      <c r="J88" t="s">
        <v>4404</v>
      </c>
      <c r="K88" t="s">
        <v>4405</v>
      </c>
      <c r="L88" t="s">
        <v>4406</v>
      </c>
      <c r="M88" t="s">
        <v>4407</v>
      </c>
      <c r="N88" t="s">
        <v>60</v>
      </c>
      <c r="O88" t="s">
        <v>34</v>
      </c>
      <c r="P88" s="3">
        <v>23595</v>
      </c>
      <c r="Q88" s="3">
        <v>23595</v>
      </c>
      <c r="R88">
        <v>530</v>
      </c>
      <c r="S88" s="3">
        <v>23065</v>
      </c>
      <c r="T88" t="s">
        <v>4408</v>
      </c>
      <c r="U88">
        <v>7932908</v>
      </c>
    </row>
    <row r="89" spans="1:21" x14ac:dyDescent="0.25">
      <c r="A89" s="9" t="s">
        <v>4401</v>
      </c>
      <c r="B89" s="10">
        <v>44049</v>
      </c>
      <c r="C89" s="1">
        <v>44048</v>
      </c>
      <c r="D89" t="s">
        <v>4402</v>
      </c>
      <c r="E89" s="11">
        <v>0.375</v>
      </c>
      <c r="F89" s="11">
        <v>0.375</v>
      </c>
      <c r="G89">
        <v>70442</v>
      </c>
      <c r="H89" t="s">
        <v>4495</v>
      </c>
      <c r="I89">
        <v>1</v>
      </c>
      <c r="J89" t="s">
        <v>4404</v>
      </c>
      <c r="K89" t="s">
        <v>4405</v>
      </c>
      <c r="L89" t="s">
        <v>4406</v>
      </c>
      <c r="M89" t="s">
        <v>4407</v>
      </c>
      <c r="N89" t="s">
        <v>60</v>
      </c>
      <c r="O89" t="s">
        <v>34</v>
      </c>
      <c r="P89" s="3">
        <v>1617</v>
      </c>
      <c r="Q89" s="3">
        <v>1617</v>
      </c>
      <c r="R89">
        <v>7</v>
      </c>
      <c r="S89" s="3">
        <v>1610</v>
      </c>
      <c r="T89" t="s">
        <v>4408</v>
      </c>
      <c r="U89">
        <v>7932908</v>
      </c>
    </row>
    <row r="90" spans="1:21" x14ac:dyDescent="0.25">
      <c r="A90" s="9" t="s">
        <v>4401</v>
      </c>
      <c r="B90" s="10">
        <v>44049</v>
      </c>
      <c r="C90" s="1">
        <v>44048</v>
      </c>
      <c r="D90" t="s">
        <v>4402</v>
      </c>
      <c r="E90" s="11">
        <v>0.375</v>
      </c>
      <c r="F90" s="11">
        <v>0.375</v>
      </c>
      <c r="G90">
        <v>70449</v>
      </c>
      <c r="H90" t="s">
        <v>4496</v>
      </c>
      <c r="I90">
        <v>3</v>
      </c>
      <c r="J90" t="s">
        <v>4404</v>
      </c>
      <c r="K90" t="s">
        <v>4405</v>
      </c>
      <c r="L90" t="s">
        <v>4406</v>
      </c>
      <c r="M90" t="s">
        <v>4407</v>
      </c>
      <c r="N90" t="s">
        <v>60</v>
      </c>
      <c r="O90" t="s">
        <v>34</v>
      </c>
      <c r="P90" s="3">
        <v>291146</v>
      </c>
      <c r="Q90" s="3">
        <v>291146</v>
      </c>
      <c r="R90">
        <v>0</v>
      </c>
      <c r="S90" s="3">
        <v>291146</v>
      </c>
      <c r="T90" t="s">
        <v>4408</v>
      </c>
      <c r="U90">
        <v>7932908</v>
      </c>
    </row>
    <row r="91" spans="1:21" x14ac:dyDescent="0.25">
      <c r="A91" s="9" t="s">
        <v>4401</v>
      </c>
      <c r="B91" s="10">
        <v>44049</v>
      </c>
      <c r="C91" s="1">
        <v>44048</v>
      </c>
      <c r="D91" t="s">
        <v>4402</v>
      </c>
      <c r="E91" s="11">
        <v>0.375</v>
      </c>
      <c r="F91" s="11">
        <v>0.375</v>
      </c>
      <c r="G91">
        <v>70457</v>
      </c>
      <c r="H91" t="s">
        <v>4497</v>
      </c>
      <c r="I91">
        <v>1</v>
      </c>
      <c r="J91" t="s">
        <v>4404</v>
      </c>
      <c r="K91" t="s">
        <v>4405</v>
      </c>
      <c r="L91" t="s">
        <v>4406</v>
      </c>
      <c r="M91" t="s">
        <v>4407</v>
      </c>
      <c r="N91" t="s">
        <v>60</v>
      </c>
      <c r="O91" t="s">
        <v>34</v>
      </c>
      <c r="P91" s="3">
        <v>3684</v>
      </c>
      <c r="Q91" s="3">
        <v>3684</v>
      </c>
      <c r="R91">
        <v>0</v>
      </c>
      <c r="S91" s="3">
        <v>3684</v>
      </c>
      <c r="T91" t="s">
        <v>4408</v>
      </c>
      <c r="U91">
        <v>7932908</v>
      </c>
    </row>
    <row r="92" spans="1:21" x14ac:dyDescent="0.25">
      <c r="A92" s="9" t="s">
        <v>4401</v>
      </c>
      <c r="B92" s="10">
        <v>44049</v>
      </c>
      <c r="C92" s="1">
        <v>44048</v>
      </c>
      <c r="D92" t="s">
        <v>4402</v>
      </c>
      <c r="E92" s="11">
        <v>0.375</v>
      </c>
      <c r="F92" s="11">
        <v>0.375</v>
      </c>
      <c r="G92">
        <v>70458</v>
      </c>
      <c r="H92" t="s">
        <v>4498</v>
      </c>
      <c r="I92">
        <v>3</v>
      </c>
      <c r="J92" t="s">
        <v>4404</v>
      </c>
      <c r="K92" t="s">
        <v>4405</v>
      </c>
      <c r="L92" t="s">
        <v>4406</v>
      </c>
      <c r="M92" t="s">
        <v>4407</v>
      </c>
      <c r="N92" t="s">
        <v>60</v>
      </c>
      <c r="O92" t="s">
        <v>34</v>
      </c>
      <c r="P92" s="3">
        <v>82744</v>
      </c>
      <c r="Q92" s="3">
        <v>83278</v>
      </c>
      <c r="R92">
        <v>0</v>
      </c>
      <c r="S92" s="3">
        <v>83278</v>
      </c>
      <c r="T92" t="s">
        <v>4408</v>
      </c>
      <c r="U92">
        <v>7932908</v>
      </c>
    </row>
    <row r="93" spans="1:21" x14ac:dyDescent="0.25">
      <c r="A93" s="9" t="s">
        <v>4401</v>
      </c>
      <c r="B93" s="10">
        <v>44049</v>
      </c>
      <c r="C93" s="1">
        <v>44048</v>
      </c>
      <c r="D93" t="s">
        <v>4402</v>
      </c>
      <c r="E93" s="11">
        <v>0.375</v>
      </c>
      <c r="F93" s="11">
        <v>0.375</v>
      </c>
      <c r="G93">
        <v>70463</v>
      </c>
      <c r="H93" t="s">
        <v>4499</v>
      </c>
      <c r="I93">
        <v>3</v>
      </c>
      <c r="J93" t="s">
        <v>4404</v>
      </c>
      <c r="K93" t="s">
        <v>4405</v>
      </c>
      <c r="L93" t="s">
        <v>4406</v>
      </c>
      <c r="M93" t="s">
        <v>4407</v>
      </c>
      <c r="N93" t="s">
        <v>60</v>
      </c>
      <c r="O93" t="s">
        <v>34</v>
      </c>
      <c r="P93">
        <v>645</v>
      </c>
      <c r="Q93">
        <v>645</v>
      </c>
      <c r="R93">
        <v>0</v>
      </c>
      <c r="S93">
        <v>645</v>
      </c>
      <c r="T93" t="s">
        <v>4408</v>
      </c>
      <c r="U93">
        <v>7932908</v>
      </c>
    </row>
    <row r="94" spans="1:21" x14ac:dyDescent="0.25">
      <c r="A94" s="9" t="s">
        <v>4401</v>
      </c>
      <c r="B94" s="10">
        <v>44049</v>
      </c>
      <c r="C94" s="1">
        <v>44048</v>
      </c>
      <c r="D94" t="s">
        <v>4402</v>
      </c>
      <c r="E94" s="11">
        <v>0.375</v>
      </c>
      <c r="F94" s="11">
        <v>0.375</v>
      </c>
      <c r="G94">
        <v>70468</v>
      </c>
      <c r="H94" t="s">
        <v>4500</v>
      </c>
      <c r="I94">
        <v>2</v>
      </c>
      <c r="J94" t="s">
        <v>4404</v>
      </c>
      <c r="K94" t="s">
        <v>4405</v>
      </c>
      <c r="L94" t="s">
        <v>4406</v>
      </c>
      <c r="M94" t="s">
        <v>4407</v>
      </c>
      <c r="N94" t="s">
        <v>60</v>
      </c>
      <c r="O94" t="s">
        <v>34</v>
      </c>
      <c r="P94" s="3">
        <v>3584</v>
      </c>
      <c r="Q94" s="3">
        <v>3584</v>
      </c>
      <c r="R94">
        <v>40</v>
      </c>
      <c r="S94" s="3">
        <v>3544</v>
      </c>
      <c r="T94" t="s">
        <v>4408</v>
      </c>
      <c r="U94">
        <v>7932908</v>
      </c>
    </row>
    <row r="95" spans="1:21" x14ac:dyDescent="0.25">
      <c r="A95" s="9" t="s">
        <v>4401</v>
      </c>
      <c r="B95" s="10">
        <v>44049</v>
      </c>
      <c r="C95" s="1">
        <v>44048</v>
      </c>
      <c r="D95" t="s">
        <v>4402</v>
      </c>
      <c r="E95" s="11">
        <v>0.375</v>
      </c>
      <c r="F95" s="11">
        <v>0.375</v>
      </c>
      <c r="G95">
        <v>70471</v>
      </c>
      <c r="H95" t="s">
        <v>4501</v>
      </c>
      <c r="I95">
        <v>2</v>
      </c>
      <c r="J95" t="s">
        <v>4404</v>
      </c>
      <c r="K95" t="s">
        <v>4405</v>
      </c>
      <c r="L95" t="s">
        <v>4406</v>
      </c>
      <c r="M95" t="s">
        <v>4407</v>
      </c>
      <c r="N95" t="s">
        <v>60</v>
      </c>
      <c r="O95" t="s">
        <v>34</v>
      </c>
      <c r="P95" s="3">
        <v>8957</v>
      </c>
      <c r="Q95" s="3">
        <v>8957</v>
      </c>
      <c r="R95">
        <v>113</v>
      </c>
      <c r="S95" s="3">
        <v>8844</v>
      </c>
      <c r="T95" t="s">
        <v>4408</v>
      </c>
      <c r="U95">
        <v>7932908</v>
      </c>
    </row>
    <row r="96" spans="1:21" x14ac:dyDescent="0.25">
      <c r="A96" s="9" t="s">
        <v>4401</v>
      </c>
      <c r="B96" s="10">
        <v>44049</v>
      </c>
      <c r="C96" s="1">
        <v>44048</v>
      </c>
      <c r="D96" t="s">
        <v>4402</v>
      </c>
      <c r="E96" s="11">
        <v>0.375</v>
      </c>
      <c r="F96" s="11">
        <v>0.375</v>
      </c>
      <c r="G96">
        <v>70473</v>
      </c>
      <c r="H96" t="s">
        <v>4502</v>
      </c>
      <c r="I96" t="s">
        <v>367</v>
      </c>
      <c r="J96" t="s">
        <v>4404</v>
      </c>
      <c r="K96" t="s">
        <v>4405</v>
      </c>
      <c r="L96" t="s">
        <v>4406</v>
      </c>
      <c r="M96" t="s">
        <v>4407</v>
      </c>
      <c r="N96" t="s">
        <v>60</v>
      </c>
      <c r="O96" t="s">
        <v>34</v>
      </c>
      <c r="P96" s="3">
        <v>7104</v>
      </c>
      <c r="Q96" s="3">
        <v>7104</v>
      </c>
      <c r="R96">
        <v>500</v>
      </c>
      <c r="S96" s="3">
        <v>6604</v>
      </c>
      <c r="T96" t="s">
        <v>4408</v>
      </c>
      <c r="U96">
        <v>7932908</v>
      </c>
    </row>
    <row r="97" spans="1:21" x14ac:dyDescent="0.25">
      <c r="A97" s="9" t="s">
        <v>4401</v>
      </c>
      <c r="B97" s="10">
        <v>44049</v>
      </c>
      <c r="C97" s="1">
        <v>44048</v>
      </c>
      <c r="D97" t="s">
        <v>4402</v>
      </c>
      <c r="E97" s="11">
        <v>0.375</v>
      </c>
      <c r="F97" s="11">
        <v>0.375</v>
      </c>
      <c r="G97">
        <v>70474</v>
      </c>
      <c r="H97" t="s">
        <v>4503</v>
      </c>
      <c r="I97" t="s">
        <v>367</v>
      </c>
      <c r="J97" t="s">
        <v>4404</v>
      </c>
      <c r="K97" t="s">
        <v>4405</v>
      </c>
      <c r="L97" t="s">
        <v>4406</v>
      </c>
      <c r="M97" t="s">
        <v>4407</v>
      </c>
      <c r="N97" t="s">
        <v>60</v>
      </c>
      <c r="O97" t="s">
        <v>34</v>
      </c>
      <c r="P97" s="3">
        <v>17244</v>
      </c>
      <c r="Q97" s="3">
        <v>17244</v>
      </c>
      <c r="R97">
        <v>0</v>
      </c>
      <c r="S97" s="3">
        <v>17244</v>
      </c>
      <c r="T97" t="s">
        <v>4408</v>
      </c>
      <c r="U97">
        <v>7932908</v>
      </c>
    </row>
    <row r="98" spans="1:21" x14ac:dyDescent="0.25">
      <c r="A98" s="9" t="s">
        <v>4401</v>
      </c>
      <c r="B98" s="10">
        <v>44049</v>
      </c>
      <c r="C98" s="1">
        <v>44048</v>
      </c>
      <c r="D98" t="s">
        <v>4402</v>
      </c>
      <c r="E98" s="11">
        <v>0.375</v>
      </c>
      <c r="F98" s="11">
        <v>0.375</v>
      </c>
      <c r="G98">
        <v>70478</v>
      </c>
      <c r="H98" t="s">
        <v>4504</v>
      </c>
      <c r="I98">
        <v>1</v>
      </c>
      <c r="J98" t="s">
        <v>4404</v>
      </c>
      <c r="K98" t="s">
        <v>4405</v>
      </c>
      <c r="L98" t="s">
        <v>4406</v>
      </c>
      <c r="M98" t="s">
        <v>4407</v>
      </c>
      <c r="N98" t="s">
        <v>60</v>
      </c>
      <c r="O98" t="s">
        <v>34</v>
      </c>
      <c r="P98" s="3">
        <v>2388</v>
      </c>
      <c r="Q98" s="3">
        <v>2388</v>
      </c>
      <c r="R98">
        <v>15</v>
      </c>
      <c r="S98" s="3">
        <v>2373</v>
      </c>
      <c r="T98" t="s">
        <v>4408</v>
      </c>
      <c r="U98">
        <v>7932908</v>
      </c>
    </row>
    <row r="99" spans="1:21" x14ac:dyDescent="0.25">
      <c r="A99" s="9" t="s">
        <v>4401</v>
      </c>
      <c r="B99" s="10">
        <v>44049</v>
      </c>
      <c r="C99" s="1">
        <v>44048</v>
      </c>
      <c r="D99" t="s">
        <v>4402</v>
      </c>
      <c r="E99" s="11">
        <v>0.375</v>
      </c>
      <c r="F99" s="11">
        <v>0.375</v>
      </c>
      <c r="G99">
        <v>70480</v>
      </c>
      <c r="H99" t="s">
        <v>4505</v>
      </c>
      <c r="I99">
        <v>1</v>
      </c>
      <c r="J99" t="s">
        <v>4404</v>
      </c>
      <c r="K99" t="s">
        <v>4405</v>
      </c>
      <c r="L99" t="s">
        <v>4406</v>
      </c>
      <c r="M99" t="s">
        <v>4407</v>
      </c>
      <c r="N99" t="s">
        <v>60</v>
      </c>
      <c r="O99" t="s">
        <v>34</v>
      </c>
      <c r="P99" s="3">
        <v>5878</v>
      </c>
      <c r="Q99" s="3">
        <v>5878</v>
      </c>
      <c r="R99">
        <v>750</v>
      </c>
      <c r="S99" s="3">
        <v>5128</v>
      </c>
      <c r="T99" t="s">
        <v>4408</v>
      </c>
      <c r="U99">
        <v>7932908</v>
      </c>
    </row>
    <row r="100" spans="1:21" x14ac:dyDescent="0.25">
      <c r="A100" s="9" t="s">
        <v>4401</v>
      </c>
      <c r="B100" s="10">
        <v>44049</v>
      </c>
      <c r="C100" s="1">
        <v>44048</v>
      </c>
      <c r="D100" t="s">
        <v>4402</v>
      </c>
      <c r="E100" s="11">
        <v>0.375</v>
      </c>
      <c r="F100" s="11">
        <v>0.375</v>
      </c>
      <c r="G100">
        <v>70486</v>
      </c>
      <c r="H100" t="s">
        <v>4506</v>
      </c>
      <c r="I100">
        <v>3</v>
      </c>
      <c r="J100" t="s">
        <v>4404</v>
      </c>
      <c r="K100" t="s">
        <v>4405</v>
      </c>
      <c r="L100" t="s">
        <v>4406</v>
      </c>
      <c r="M100" t="s">
        <v>4407</v>
      </c>
      <c r="N100" t="s">
        <v>60</v>
      </c>
      <c r="O100" t="s">
        <v>34</v>
      </c>
      <c r="P100" s="3">
        <v>18789</v>
      </c>
      <c r="Q100" s="3">
        <v>18789</v>
      </c>
      <c r="R100">
        <v>0</v>
      </c>
      <c r="S100" s="3">
        <v>18789</v>
      </c>
      <c r="T100" t="s">
        <v>4408</v>
      </c>
      <c r="U100">
        <v>7932908</v>
      </c>
    </row>
    <row r="101" spans="1:21" x14ac:dyDescent="0.25">
      <c r="A101" s="9" t="s">
        <v>4401</v>
      </c>
      <c r="B101" s="10">
        <v>44049</v>
      </c>
      <c r="C101" s="1">
        <v>44048</v>
      </c>
      <c r="D101" t="s">
        <v>4402</v>
      </c>
      <c r="E101" s="11">
        <v>0.375</v>
      </c>
      <c r="F101" s="11">
        <v>0.375</v>
      </c>
      <c r="G101">
        <v>70517</v>
      </c>
      <c r="H101" t="s">
        <v>4507</v>
      </c>
      <c r="I101">
        <v>3</v>
      </c>
      <c r="J101" t="s">
        <v>4404</v>
      </c>
      <c r="K101" t="s">
        <v>4405</v>
      </c>
      <c r="L101" t="s">
        <v>4406</v>
      </c>
      <c r="M101" t="s">
        <v>4407</v>
      </c>
      <c r="N101" t="s">
        <v>60</v>
      </c>
      <c r="O101" t="s">
        <v>34</v>
      </c>
      <c r="P101" s="3">
        <v>35915</v>
      </c>
      <c r="Q101" s="3">
        <v>35915</v>
      </c>
      <c r="R101">
        <v>0</v>
      </c>
      <c r="S101" s="3">
        <v>35915</v>
      </c>
      <c r="T101" t="s">
        <v>4408</v>
      </c>
      <c r="U101">
        <v>7932908</v>
      </c>
    </row>
    <row r="102" spans="1:21" x14ac:dyDescent="0.25">
      <c r="A102" s="9" t="s">
        <v>4401</v>
      </c>
      <c r="B102" s="10">
        <v>44049</v>
      </c>
      <c r="C102" s="1">
        <v>44048</v>
      </c>
      <c r="D102" t="s">
        <v>4402</v>
      </c>
      <c r="E102" s="11">
        <v>0.375</v>
      </c>
      <c r="F102" s="11">
        <v>0.375</v>
      </c>
      <c r="G102">
        <v>70519</v>
      </c>
      <c r="H102" t="s">
        <v>4508</v>
      </c>
      <c r="I102">
        <v>3</v>
      </c>
      <c r="J102" t="s">
        <v>4404</v>
      </c>
      <c r="K102" t="s">
        <v>4405</v>
      </c>
      <c r="L102" t="s">
        <v>4406</v>
      </c>
      <c r="M102" t="s">
        <v>4407</v>
      </c>
      <c r="N102" t="s">
        <v>60</v>
      </c>
      <c r="O102" t="s">
        <v>34</v>
      </c>
      <c r="P102" s="3">
        <v>83953</v>
      </c>
      <c r="Q102" s="3">
        <v>83953</v>
      </c>
      <c r="R102" s="3">
        <v>16781</v>
      </c>
      <c r="S102" s="3">
        <v>67172</v>
      </c>
      <c r="T102" t="s">
        <v>4408</v>
      </c>
      <c r="U102">
        <v>7932908</v>
      </c>
    </row>
    <row r="103" spans="1:21" x14ac:dyDescent="0.25">
      <c r="A103" s="9" t="s">
        <v>4401</v>
      </c>
      <c r="B103" s="10">
        <v>44049</v>
      </c>
      <c r="C103" s="1">
        <v>44048</v>
      </c>
      <c r="D103" t="s">
        <v>4402</v>
      </c>
      <c r="E103" s="11">
        <v>0.375</v>
      </c>
      <c r="F103" s="11">
        <v>0.375</v>
      </c>
      <c r="G103">
        <v>70521</v>
      </c>
      <c r="H103" t="s">
        <v>4509</v>
      </c>
      <c r="I103">
        <v>2</v>
      </c>
      <c r="J103" t="s">
        <v>4404</v>
      </c>
      <c r="K103" t="s">
        <v>4405</v>
      </c>
      <c r="L103" t="s">
        <v>4406</v>
      </c>
      <c r="M103" t="s">
        <v>4407</v>
      </c>
      <c r="N103" t="s">
        <v>60</v>
      </c>
      <c r="O103" t="s">
        <v>34</v>
      </c>
      <c r="P103" s="3">
        <v>165785</v>
      </c>
      <c r="Q103" s="3">
        <v>165785</v>
      </c>
      <c r="R103">
        <v>0</v>
      </c>
      <c r="S103" s="3">
        <v>165785</v>
      </c>
      <c r="T103" t="s">
        <v>4408</v>
      </c>
      <c r="U103">
        <v>7932908</v>
      </c>
    </row>
    <row r="104" spans="1:21" x14ac:dyDescent="0.25">
      <c r="A104" s="9" t="s">
        <v>4401</v>
      </c>
      <c r="B104" s="10">
        <v>44049</v>
      </c>
      <c r="C104" s="1">
        <v>44048</v>
      </c>
      <c r="D104" t="s">
        <v>4402</v>
      </c>
      <c r="E104" s="11">
        <v>0.375</v>
      </c>
      <c r="F104" s="11">
        <v>0.375</v>
      </c>
      <c r="G104">
        <v>70524</v>
      </c>
      <c r="H104" t="s">
        <v>4510</v>
      </c>
      <c r="I104">
        <v>1</v>
      </c>
      <c r="J104" t="s">
        <v>4404</v>
      </c>
      <c r="K104" t="s">
        <v>4405</v>
      </c>
      <c r="L104" t="s">
        <v>4406</v>
      </c>
      <c r="M104" t="s">
        <v>4407</v>
      </c>
      <c r="N104" t="s">
        <v>60</v>
      </c>
      <c r="O104" t="s">
        <v>34</v>
      </c>
      <c r="P104" s="3">
        <v>12990</v>
      </c>
      <c r="Q104" s="3">
        <v>12990</v>
      </c>
      <c r="R104">
        <v>0</v>
      </c>
      <c r="S104" s="3">
        <v>12990</v>
      </c>
      <c r="T104" t="s">
        <v>4408</v>
      </c>
      <c r="U104">
        <v>7932908</v>
      </c>
    </row>
    <row r="105" spans="1:21" x14ac:dyDescent="0.25">
      <c r="A105" s="9" t="s">
        <v>4401</v>
      </c>
      <c r="B105" s="10">
        <v>44049</v>
      </c>
      <c r="C105" s="1">
        <v>44048</v>
      </c>
      <c r="D105" t="s">
        <v>4402</v>
      </c>
      <c r="E105" s="11">
        <v>0.375</v>
      </c>
      <c r="F105" s="11">
        <v>0.375</v>
      </c>
      <c r="G105">
        <v>70532</v>
      </c>
      <c r="H105" t="s">
        <v>4511</v>
      </c>
      <c r="I105">
        <v>1</v>
      </c>
      <c r="J105" t="s">
        <v>4404</v>
      </c>
      <c r="K105" t="s">
        <v>4405</v>
      </c>
      <c r="L105" t="s">
        <v>4406</v>
      </c>
      <c r="M105" t="s">
        <v>4407</v>
      </c>
      <c r="N105" t="s">
        <v>60</v>
      </c>
      <c r="O105" t="s">
        <v>34</v>
      </c>
      <c r="P105" s="3">
        <v>10216</v>
      </c>
      <c r="Q105" s="3">
        <v>10216</v>
      </c>
      <c r="R105">
        <v>74</v>
      </c>
      <c r="S105" s="3">
        <v>10142</v>
      </c>
      <c r="T105" t="s">
        <v>4408</v>
      </c>
      <c r="U105">
        <v>7932908</v>
      </c>
    </row>
    <row r="106" spans="1:21" x14ac:dyDescent="0.25">
      <c r="A106" s="9" t="s">
        <v>4401</v>
      </c>
      <c r="B106" s="10">
        <v>44049</v>
      </c>
      <c r="C106" s="1">
        <v>44048</v>
      </c>
      <c r="D106" t="s">
        <v>4402</v>
      </c>
      <c r="E106" s="11">
        <v>0.375</v>
      </c>
      <c r="F106" s="11">
        <v>0.375</v>
      </c>
      <c r="G106">
        <v>70539</v>
      </c>
      <c r="H106" t="s">
        <v>4512</v>
      </c>
      <c r="I106">
        <v>2</v>
      </c>
      <c r="J106" t="s">
        <v>4404</v>
      </c>
      <c r="K106" t="s">
        <v>4405</v>
      </c>
      <c r="L106" t="s">
        <v>4406</v>
      </c>
      <c r="M106" t="s">
        <v>4407</v>
      </c>
      <c r="N106" t="s">
        <v>60</v>
      </c>
      <c r="O106" t="s">
        <v>34</v>
      </c>
      <c r="P106" s="3">
        <v>7928</v>
      </c>
      <c r="Q106" s="3">
        <v>7928</v>
      </c>
      <c r="R106">
        <v>50</v>
      </c>
      <c r="S106" s="3">
        <v>7878</v>
      </c>
      <c r="T106" t="s">
        <v>4408</v>
      </c>
      <c r="U106">
        <v>7932908</v>
      </c>
    </row>
    <row r="107" spans="1:21" x14ac:dyDescent="0.25">
      <c r="A107" s="9" t="s">
        <v>4401</v>
      </c>
      <c r="B107" s="10">
        <v>44049</v>
      </c>
      <c r="C107" s="1">
        <v>44048</v>
      </c>
      <c r="D107" t="s">
        <v>4402</v>
      </c>
      <c r="E107" s="11">
        <v>0.375</v>
      </c>
      <c r="F107" s="11">
        <v>0.375</v>
      </c>
      <c r="G107">
        <v>70548</v>
      </c>
      <c r="H107" t="s">
        <v>4513</v>
      </c>
      <c r="I107" t="s">
        <v>680</v>
      </c>
      <c r="J107" t="s">
        <v>4404</v>
      </c>
      <c r="K107" t="s">
        <v>4405</v>
      </c>
      <c r="L107" t="s">
        <v>4406</v>
      </c>
      <c r="M107" t="s">
        <v>4407</v>
      </c>
      <c r="N107" t="s">
        <v>60</v>
      </c>
      <c r="O107" t="s">
        <v>34</v>
      </c>
      <c r="P107" s="3">
        <v>1393</v>
      </c>
      <c r="Q107" s="3">
        <v>1393</v>
      </c>
      <c r="R107">
        <v>8</v>
      </c>
      <c r="S107" s="3">
        <v>1385</v>
      </c>
      <c r="T107" t="s">
        <v>4408</v>
      </c>
      <c r="U107">
        <v>7932908</v>
      </c>
    </row>
    <row r="108" spans="1:21" x14ac:dyDescent="0.25">
      <c r="A108" s="9" t="s">
        <v>4401</v>
      </c>
      <c r="B108" s="10">
        <v>44049</v>
      </c>
      <c r="C108" s="1">
        <v>44048</v>
      </c>
      <c r="D108" t="s">
        <v>4402</v>
      </c>
      <c r="E108" s="11">
        <v>0.375</v>
      </c>
      <c r="F108" s="11">
        <v>0.375</v>
      </c>
      <c r="G108">
        <v>70552</v>
      </c>
      <c r="H108" t="s">
        <v>4514</v>
      </c>
      <c r="I108">
        <v>2</v>
      </c>
      <c r="J108" t="s">
        <v>4404</v>
      </c>
      <c r="K108" t="s">
        <v>4405</v>
      </c>
      <c r="L108" t="s">
        <v>4406</v>
      </c>
      <c r="M108" t="s">
        <v>4407</v>
      </c>
      <c r="N108" t="s">
        <v>60</v>
      </c>
      <c r="O108" t="s">
        <v>34</v>
      </c>
      <c r="P108" s="3">
        <v>1204</v>
      </c>
      <c r="Q108" s="3">
        <v>1204</v>
      </c>
      <c r="R108">
        <v>35</v>
      </c>
      <c r="S108" s="3">
        <v>1169</v>
      </c>
      <c r="T108" t="s">
        <v>4408</v>
      </c>
      <c r="U108">
        <v>7932908</v>
      </c>
    </row>
    <row r="109" spans="1:21" x14ac:dyDescent="0.25">
      <c r="A109" s="9" t="s">
        <v>4401</v>
      </c>
      <c r="B109" s="10">
        <v>44049</v>
      </c>
      <c r="C109" s="1">
        <v>44048</v>
      </c>
      <c r="D109" t="s">
        <v>4402</v>
      </c>
      <c r="E109" s="11">
        <v>0.375</v>
      </c>
      <c r="F109" s="11">
        <v>0.375</v>
      </c>
      <c r="G109">
        <v>70573</v>
      </c>
      <c r="H109" t="s">
        <v>4515</v>
      </c>
      <c r="I109">
        <v>2</v>
      </c>
      <c r="J109" t="s">
        <v>4404</v>
      </c>
      <c r="K109" t="s">
        <v>4405</v>
      </c>
      <c r="L109" t="s">
        <v>4406</v>
      </c>
      <c r="M109" t="s">
        <v>4407</v>
      </c>
      <c r="N109" t="s">
        <v>60</v>
      </c>
      <c r="O109" t="s">
        <v>34</v>
      </c>
      <c r="P109" s="3">
        <v>18677</v>
      </c>
      <c r="Q109" s="3">
        <v>18677</v>
      </c>
      <c r="R109">
        <v>637</v>
      </c>
      <c r="S109" s="3">
        <v>18040</v>
      </c>
      <c r="T109" t="s">
        <v>4408</v>
      </c>
      <c r="U109">
        <v>7932908</v>
      </c>
    </row>
    <row r="110" spans="1:21" x14ac:dyDescent="0.25">
      <c r="A110" s="9" t="s">
        <v>4401</v>
      </c>
      <c r="B110" s="10">
        <v>44049</v>
      </c>
      <c r="C110" s="1">
        <v>44048</v>
      </c>
      <c r="D110" t="s">
        <v>4402</v>
      </c>
      <c r="E110" s="11">
        <v>0.375</v>
      </c>
      <c r="F110" s="11">
        <v>0.375</v>
      </c>
      <c r="G110">
        <v>70579</v>
      </c>
      <c r="H110" t="s">
        <v>4516</v>
      </c>
      <c r="I110">
        <v>3</v>
      </c>
      <c r="J110" t="s">
        <v>4404</v>
      </c>
      <c r="K110" t="s">
        <v>4405</v>
      </c>
      <c r="L110" t="s">
        <v>4406</v>
      </c>
      <c r="M110" t="s">
        <v>4407</v>
      </c>
      <c r="N110" t="s">
        <v>60</v>
      </c>
      <c r="O110" t="s">
        <v>34</v>
      </c>
      <c r="P110" s="3">
        <v>14510</v>
      </c>
      <c r="Q110" s="3">
        <v>14510</v>
      </c>
      <c r="R110" s="3">
        <v>2800</v>
      </c>
      <c r="S110" s="3">
        <v>11710</v>
      </c>
      <c r="T110" t="s">
        <v>4408</v>
      </c>
      <c r="U110">
        <v>7932908</v>
      </c>
    </row>
    <row r="111" spans="1:21" x14ac:dyDescent="0.25">
      <c r="A111" s="9" t="s">
        <v>4401</v>
      </c>
      <c r="B111" s="10">
        <v>44049</v>
      </c>
      <c r="C111" s="1">
        <v>44048</v>
      </c>
      <c r="D111" t="s">
        <v>4402</v>
      </c>
      <c r="E111" s="11">
        <v>0.375</v>
      </c>
      <c r="F111" s="11">
        <v>0.375</v>
      </c>
      <c r="G111">
        <v>70582</v>
      </c>
      <c r="H111" t="s">
        <v>4517</v>
      </c>
      <c r="I111">
        <v>2</v>
      </c>
      <c r="J111" t="s">
        <v>4404</v>
      </c>
      <c r="K111" t="s">
        <v>4405</v>
      </c>
      <c r="L111" t="s">
        <v>4406</v>
      </c>
      <c r="M111" t="s">
        <v>4407</v>
      </c>
      <c r="N111" t="s">
        <v>60</v>
      </c>
      <c r="O111" t="s">
        <v>34</v>
      </c>
      <c r="P111" s="3">
        <v>3884</v>
      </c>
      <c r="Q111" s="3">
        <v>3884</v>
      </c>
      <c r="R111">
        <v>25</v>
      </c>
      <c r="S111" s="3">
        <v>3859</v>
      </c>
      <c r="T111" t="s">
        <v>4408</v>
      </c>
      <c r="U111">
        <v>7932908</v>
      </c>
    </row>
    <row r="112" spans="1:21" x14ac:dyDescent="0.25">
      <c r="A112" s="9" t="s">
        <v>4401</v>
      </c>
      <c r="B112" s="10">
        <v>44049</v>
      </c>
      <c r="C112" s="1">
        <v>44048</v>
      </c>
      <c r="D112" t="s">
        <v>4402</v>
      </c>
      <c r="E112" s="11">
        <v>0.375</v>
      </c>
      <c r="F112" s="11">
        <v>0.375</v>
      </c>
      <c r="G112">
        <v>70583</v>
      </c>
      <c r="H112" t="s">
        <v>4518</v>
      </c>
      <c r="I112">
        <v>2</v>
      </c>
      <c r="J112" t="s">
        <v>4404</v>
      </c>
      <c r="K112" t="s">
        <v>4405</v>
      </c>
      <c r="L112" t="s">
        <v>4406</v>
      </c>
      <c r="M112" t="s">
        <v>4407</v>
      </c>
      <c r="N112" t="s">
        <v>34</v>
      </c>
      <c r="O112" t="s">
        <v>34</v>
      </c>
      <c r="P112" s="3">
        <v>12756</v>
      </c>
      <c r="Q112" s="3">
        <v>12756</v>
      </c>
      <c r="R112">
        <v>511</v>
      </c>
      <c r="S112" s="3">
        <v>12245</v>
      </c>
      <c r="T112" t="s">
        <v>4408</v>
      </c>
      <c r="U112">
        <v>7932908</v>
      </c>
    </row>
    <row r="113" spans="1:21" x14ac:dyDescent="0.25">
      <c r="A113" s="9" t="s">
        <v>4401</v>
      </c>
      <c r="B113" s="10">
        <v>44049</v>
      </c>
      <c r="C113" s="1">
        <v>44048</v>
      </c>
      <c r="D113" t="s">
        <v>4402</v>
      </c>
      <c r="E113" s="11">
        <v>0.375</v>
      </c>
      <c r="F113" s="11">
        <v>0.375</v>
      </c>
      <c r="G113">
        <v>70584</v>
      </c>
      <c r="H113" t="s">
        <v>4519</v>
      </c>
      <c r="I113">
        <v>3</v>
      </c>
      <c r="J113" t="s">
        <v>4404</v>
      </c>
      <c r="K113" t="s">
        <v>4405</v>
      </c>
      <c r="L113" t="s">
        <v>4406</v>
      </c>
      <c r="M113" t="s">
        <v>4407</v>
      </c>
      <c r="N113" t="s">
        <v>60</v>
      </c>
      <c r="O113" t="s">
        <v>34</v>
      </c>
      <c r="P113" s="3">
        <v>26017</v>
      </c>
      <c r="Q113" s="3">
        <v>26017</v>
      </c>
      <c r="R113">
        <v>0</v>
      </c>
      <c r="S113" s="3">
        <v>26017</v>
      </c>
      <c r="T113" t="s">
        <v>4408</v>
      </c>
      <c r="U113">
        <v>7932908</v>
      </c>
    </row>
    <row r="114" spans="1:21" x14ac:dyDescent="0.25">
      <c r="A114" s="9" t="s">
        <v>4401</v>
      </c>
      <c r="B114" s="10">
        <v>44049</v>
      </c>
      <c r="C114" s="1">
        <v>44048</v>
      </c>
      <c r="D114" t="s">
        <v>4402</v>
      </c>
      <c r="E114" s="11">
        <v>0.375</v>
      </c>
      <c r="F114" s="11">
        <v>0.375</v>
      </c>
      <c r="G114">
        <v>70633</v>
      </c>
      <c r="H114" t="s">
        <v>4520</v>
      </c>
      <c r="I114" t="s">
        <v>367</v>
      </c>
      <c r="J114" t="s">
        <v>4458</v>
      </c>
      <c r="K114" t="s">
        <v>4459</v>
      </c>
      <c r="L114" t="s">
        <v>4460</v>
      </c>
      <c r="M114" t="s">
        <v>4407</v>
      </c>
      <c r="N114" t="s">
        <v>60</v>
      </c>
      <c r="O114" t="s">
        <v>34</v>
      </c>
      <c r="P114" s="3">
        <v>3918</v>
      </c>
      <c r="Q114" s="3">
        <v>3918</v>
      </c>
      <c r="R114">
        <v>70</v>
      </c>
      <c r="S114" s="3">
        <v>3848</v>
      </c>
      <c r="T114" t="s">
        <v>4408</v>
      </c>
      <c r="U114">
        <v>7932908</v>
      </c>
    </row>
    <row r="115" spans="1:21" x14ac:dyDescent="0.25">
      <c r="A115" s="9" t="s">
        <v>4401</v>
      </c>
      <c r="B115" s="10">
        <v>44049</v>
      </c>
      <c r="C115" s="1">
        <v>44048</v>
      </c>
      <c r="D115" t="s">
        <v>4402</v>
      </c>
      <c r="E115" s="11">
        <v>0.375</v>
      </c>
      <c r="F115" s="11">
        <v>0.375</v>
      </c>
      <c r="G115">
        <v>70655</v>
      </c>
      <c r="H115" t="s">
        <v>4521</v>
      </c>
      <c r="I115" t="s">
        <v>367</v>
      </c>
      <c r="J115" t="s">
        <v>4458</v>
      </c>
      <c r="K115" t="s">
        <v>4459</v>
      </c>
      <c r="L115" t="s">
        <v>4460</v>
      </c>
      <c r="M115" t="s">
        <v>4407</v>
      </c>
      <c r="N115" t="s">
        <v>60</v>
      </c>
      <c r="O115" t="s">
        <v>34</v>
      </c>
      <c r="P115" s="3">
        <v>12224</v>
      </c>
      <c r="Q115" s="3">
        <v>12224</v>
      </c>
      <c r="R115">
        <v>1</v>
      </c>
      <c r="S115" s="3">
        <v>12223</v>
      </c>
      <c r="T115" t="s">
        <v>4408</v>
      </c>
      <c r="U115">
        <v>7932908</v>
      </c>
    </row>
    <row r="116" spans="1:21" x14ac:dyDescent="0.25">
      <c r="A116" s="9" t="s">
        <v>4401</v>
      </c>
      <c r="B116" s="10">
        <v>44049</v>
      </c>
      <c r="C116" s="1">
        <v>44048</v>
      </c>
      <c r="D116" t="s">
        <v>4402</v>
      </c>
      <c r="E116" s="11">
        <v>0.375</v>
      </c>
      <c r="F116" s="11">
        <v>0.375</v>
      </c>
      <c r="G116">
        <v>70675</v>
      </c>
      <c r="H116" t="s">
        <v>4522</v>
      </c>
      <c r="I116" t="s">
        <v>367</v>
      </c>
      <c r="J116" t="s">
        <v>4458</v>
      </c>
      <c r="K116" t="s">
        <v>4459</v>
      </c>
      <c r="L116" t="s">
        <v>4460</v>
      </c>
      <c r="M116" t="s">
        <v>4407</v>
      </c>
      <c r="N116" t="s">
        <v>60</v>
      </c>
      <c r="O116" t="s">
        <v>34</v>
      </c>
      <c r="P116" s="3">
        <v>8996</v>
      </c>
      <c r="Q116" s="3">
        <v>8996</v>
      </c>
      <c r="R116">
        <v>0</v>
      </c>
      <c r="S116" s="3">
        <v>8996</v>
      </c>
      <c r="T116" t="s">
        <v>4408</v>
      </c>
      <c r="U116">
        <v>7932908</v>
      </c>
    </row>
    <row r="117" spans="1:21" x14ac:dyDescent="0.25">
      <c r="A117" s="9" t="s">
        <v>4401</v>
      </c>
      <c r="B117" s="10">
        <v>44049</v>
      </c>
      <c r="C117" s="1">
        <v>44048</v>
      </c>
      <c r="D117" t="s">
        <v>4402</v>
      </c>
      <c r="E117" s="11">
        <v>0.375</v>
      </c>
      <c r="F117" s="11">
        <v>0.375</v>
      </c>
      <c r="G117">
        <v>70689</v>
      </c>
      <c r="H117" t="s">
        <v>4523</v>
      </c>
      <c r="I117" t="s">
        <v>367</v>
      </c>
      <c r="J117" t="s">
        <v>4458</v>
      </c>
      <c r="K117" t="s">
        <v>4459</v>
      </c>
      <c r="L117" t="s">
        <v>4460</v>
      </c>
      <c r="M117" t="s">
        <v>4407</v>
      </c>
      <c r="N117" t="s">
        <v>60</v>
      </c>
      <c r="O117" t="s">
        <v>34</v>
      </c>
      <c r="P117" s="3">
        <v>3924</v>
      </c>
      <c r="Q117" s="3">
        <v>3924</v>
      </c>
      <c r="R117">
        <v>1</v>
      </c>
      <c r="S117" s="3">
        <v>3923</v>
      </c>
      <c r="T117" t="s">
        <v>4408</v>
      </c>
      <c r="U117">
        <v>7932908</v>
      </c>
    </row>
    <row r="118" spans="1:21" x14ac:dyDescent="0.25">
      <c r="A118" s="9" t="s">
        <v>4401</v>
      </c>
      <c r="B118" s="10">
        <v>44049</v>
      </c>
      <c r="C118" s="1">
        <v>44048</v>
      </c>
      <c r="D118" t="s">
        <v>4402</v>
      </c>
      <c r="E118" s="11">
        <v>0.375</v>
      </c>
      <c r="F118" s="11">
        <v>0.375</v>
      </c>
      <c r="G118">
        <v>70691</v>
      </c>
      <c r="H118" t="s">
        <v>4524</v>
      </c>
      <c r="I118" t="s">
        <v>367</v>
      </c>
      <c r="J118" t="s">
        <v>4458</v>
      </c>
      <c r="K118" t="s">
        <v>4459</v>
      </c>
      <c r="L118" t="s">
        <v>4460</v>
      </c>
      <c r="M118" t="s">
        <v>4407</v>
      </c>
      <c r="N118" t="s">
        <v>60</v>
      </c>
      <c r="O118" t="s">
        <v>34</v>
      </c>
      <c r="P118" s="3">
        <v>9318</v>
      </c>
      <c r="Q118" s="3">
        <v>9318</v>
      </c>
      <c r="R118">
        <v>0</v>
      </c>
      <c r="S118" s="3">
        <v>9318</v>
      </c>
      <c r="T118" t="s">
        <v>4408</v>
      </c>
      <c r="U118">
        <v>7932908</v>
      </c>
    </row>
    <row r="119" spans="1:21" x14ac:dyDescent="0.25">
      <c r="A119" s="9" t="s">
        <v>4401</v>
      </c>
      <c r="B119" s="10">
        <v>44049</v>
      </c>
      <c r="C119" s="1">
        <v>44048</v>
      </c>
      <c r="D119" t="s">
        <v>4402</v>
      </c>
      <c r="E119" s="11">
        <v>0.375</v>
      </c>
      <c r="F119" s="11">
        <v>0.375</v>
      </c>
      <c r="G119">
        <v>70859</v>
      </c>
      <c r="H119" t="s">
        <v>4525</v>
      </c>
      <c r="I119" t="s">
        <v>187</v>
      </c>
      <c r="J119" t="s">
        <v>4404</v>
      </c>
      <c r="K119" t="s">
        <v>4405</v>
      </c>
      <c r="L119" t="s">
        <v>4406</v>
      </c>
      <c r="M119" t="s">
        <v>4407</v>
      </c>
      <c r="N119" t="s">
        <v>60</v>
      </c>
      <c r="O119" t="s">
        <v>34</v>
      </c>
      <c r="P119" s="3">
        <v>9368</v>
      </c>
      <c r="Q119" s="3">
        <v>9368</v>
      </c>
      <c r="R119">
        <v>0</v>
      </c>
      <c r="S119" s="3">
        <v>9368</v>
      </c>
      <c r="T119" t="s">
        <v>4408</v>
      </c>
      <c r="U119">
        <v>7932908</v>
      </c>
    </row>
    <row r="120" spans="1:21" x14ac:dyDescent="0.25">
      <c r="A120" s="9" t="s">
        <v>4401</v>
      </c>
      <c r="B120" s="10">
        <v>44049</v>
      </c>
      <c r="C120" s="1">
        <v>44048</v>
      </c>
      <c r="D120" t="s">
        <v>4402</v>
      </c>
      <c r="E120" s="11">
        <v>0.375</v>
      </c>
      <c r="F120" s="11">
        <v>0.375</v>
      </c>
      <c r="G120">
        <v>70907</v>
      </c>
      <c r="H120" t="s">
        <v>4526</v>
      </c>
      <c r="I120">
        <v>2</v>
      </c>
      <c r="J120" t="s">
        <v>4404</v>
      </c>
      <c r="K120" t="s">
        <v>4405</v>
      </c>
      <c r="L120" t="s">
        <v>4406</v>
      </c>
      <c r="M120" t="s">
        <v>4407</v>
      </c>
      <c r="N120" t="s">
        <v>34</v>
      </c>
      <c r="O120" t="s">
        <v>34</v>
      </c>
      <c r="P120" s="3">
        <v>22292</v>
      </c>
      <c r="Q120" s="3">
        <v>22292</v>
      </c>
      <c r="R120" s="3">
        <v>2503</v>
      </c>
      <c r="S120" s="3">
        <v>19789</v>
      </c>
      <c r="T120" t="s">
        <v>4408</v>
      </c>
      <c r="U120">
        <v>7932908</v>
      </c>
    </row>
    <row r="121" spans="1:21" x14ac:dyDescent="0.25">
      <c r="A121" s="9" t="s">
        <v>4401</v>
      </c>
      <c r="B121" s="10">
        <v>44049</v>
      </c>
      <c r="C121" s="1">
        <v>44048</v>
      </c>
      <c r="D121" t="s">
        <v>4402</v>
      </c>
      <c r="E121" s="11">
        <v>0.375</v>
      </c>
      <c r="F121" s="11">
        <v>0.375</v>
      </c>
      <c r="G121">
        <v>70912</v>
      </c>
      <c r="H121" t="s">
        <v>4527</v>
      </c>
      <c r="I121" t="s">
        <v>367</v>
      </c>
      <c r="J121" t="s">
        <v>4458</v>
      </c>
      <c r="K121" t="s">
        <v>4459</v>
      </c>
      <c r="L121" t="s">
        <v>4460</v>
      </c>
      <c r="M121" t="s">
        <v>4407</v>
      </c>
      <c r="N121" t="s">
        <v>60</v>
      </c>
      <c r="O121" t="s">
        <v>34</v>
      </c>
      <c r="P121" s="3">
        <v>3930</v>
      </c>
      <c r="Q121" s="3">
        <v>3930</v>
      </c>
      <c r="R121">
        <v>5</v>
      </c>
      <c r="S121" s="3">
        <v>3925</v>
      </c>
      <c r="T121" t="s">
        <v>4408</v>
      </c>
      <c r="U121">
        <v>7932908</v>
      </c>
    </row>
    <row r="122" spans="1:21" x14ac:dyDescent="0.25">
      <c r="A122" s="9" t="s">
        <v>4401</v>
      </c>
      <c r="B122" s="10">
        <v>44049</v>
      </c>
      <c r="C122" s="1">
        <v>44048</v>
      </c>
      <c r="D122" t="s">
        <v>4402</v>
      </c>
      <c r="E122" s="11">
        <v>0.375</v>
      </c>
      <c r="F122" s="11">
        <v>0.375</v>
      </c>
      <c r="G122">
        <v>70930</v>
      </c>
      <c r="H122" t="s">
        <v>4528</v>
      </c>
      <c r="I122" t="s">
        <v>367</v>
      </c>
      <c r="J122" t="s">
        <v>4458</v>
      </c>
      <c r="K122" t="s">
        <v>4459</v>
      </c>
      <c r="L122" t="s">
        <v>4460</v>
      </c>
      <c r="M122" t="s">
        <v>4407</v>
      </c>
      <c r="N122" t="s">
        <v>60</v>
      </c>
      <c r="O122" t="s">
        <v>34</v>
      </c>
      <c r="P122" s="3">
        <v>16112</v>
      </c>
      <c r="Q122" s="3">
        <v>16112</v>
      </c>
      <c r="R122">
        <v>0</v>
      </c>
      <c r="S122" s="3">
        <v>16112</v>
      </c>
      <c r="T122" t="s">
        <v>4408</v>
      </c>
      <c r="U122">
        <v>7932908</v>
      </c>
    </row>
    <row r="123" spans="1:21" x14ac:dyDescent="0.25">
      <c r="A123" s="9" t="s">
        <v>4401</v>
      </c>
      <c r="B123" s="10">
        <v>44049</v>
      </c>
      <c r="C123" s="1">
        <v>44048</v>
      </c>
      <c r="D123" t="s">
        <v>4402</v>
      </c>
      <c r="E123" s="11">
        <v>0.375</v>
      </c>
      <c r="F123" s="11">
        <v>0.375</v>
      </c>
      <c r="G123">
        <v>70937</v>
      </c>
      <c r="H123" t="s">
        <v>4529</v>
      </c>
      <c r="I123">
        <v>1</v>
      </c>
      <c r="J123" t="s">
        <v>4404</v>
      </c>
      <c r="K123" t="s">
        <v>4405</v>
      </c>
      <c r="L123" t="s">
        <v>4406</v>
      </c>
      <c r="M123" t="s">
        <v>4407</v>
      </c>
      <c r="N123" t="s">
        <v>60</v>
      </c>
      <c r="O123" t="s">
        <v>34</v>
      </c>
      <c r="P123" s="3">
        <v>9169</v>
      </c>
      <c r="Q123" s="3">
        <v>9169</v>
      </c>
      <c r="R123">
        <v>40</v>
      </c>
      <c r="S123" s="3">
        <v>9129</v>
      </c>
      <c r="T123" t="s">
        <v>4408</v>
      </c>
      <c r="U123">
        <v>7932908</v>
      </c>
    </row>
    <row r="124" spans="1:21" x14ac:dyDescent="0.25">
      <c r="A124" s="9" t="s">
        <v>4401</v>
      </c>
      <c r="B124" s="10">
        <v>44049</v>
      </c>
      <c r="C124" s="1">
        <v>44048</v>
      </c>
      <c r="D124" t="s">
        <v>4402</v>
      </c>
      <c r="E124" s="11">
        <v>0.375</v>
      </c>
      <c r="F124" s="11">
        <v>0.375</v>
      </c>
      <c r="G124">
        <v>70939</v>
      </c>
      <c r="H124" t="s">
        <v>4530</v>
      </c>
      <c r="I124">
        <v>2</v>
      </c>
      <c r="J124" t="s">
        <v>4404</v>
      </c>
      <c r="K124" t="s">
        <v>4405</v>
      </c>
      <c r="L124" t="s">
        <v>4406</v>
      </c>
      <c r="M124" t="s">
        <v>4407</v>
      </c>
      <c r="N124" t="s">
        <v>34</v>
      </c>
      <c r="O124" t="s">
        <v>34</v>
      </c>
      <c r="P124" s="3">
        <v>3844</v>
      </c>
      <c r="Q124" s="3">
        <v>3844</v>
      </c>
      <c r="R124">
        <v>305</v>
      </c>
      <c r="S124" s="3">
        <v>3539</v>
      </c>
      <c r="T124" t="s">
        <v>4408</v>
      </c>
      <c r="U124">
        <v>7932908</v>
      </c>
    </row>
    <row r="125" spans="1:21" x14ac:dyDescent="0.25">
      <c r="A125" s="9" t="s">
        <v>4401</v>
      </c>
      <c r="B125" s="10">
        <v>44049</v>
      </c>
      <c r="C125" s="1">
        <v>44048</v>
      </c>
      <c r="D125" t="s">
        <v>4402</v>
      </c>
      <c r="E125" s="11">
        <v>0.375</v>
      </c>
      <c r="F125" s="11">
        <v>0.375</v>
      </c>
      <c r="G125">
        <v>70940</v>
      </c>
      <c r="H125" t="s">
        <v>4531</v>
      </c>
      <c r="I125">
        <v>2</v>
      </c>
      <c r="J125" t="s">
        <v>4404</v>
      </c>
      <c r="K125" t="s">
        <v>4405</v>
      </c>
      <c r="L125" t="s">
        <v>4406</v>
      </c>
      <c r="M125" t="s">
        <v>4407</v>
      </c>
      <c r="N125" t="s">
        <v>60</v>
      </c>
      <c r="O125" t="s">
        <v>34</v>
      </c>
      <c r="P125" s="3">
        <v>2488</v>
      </c>
      <c r="Q125" s="3">
        <v>2488</v>
      </c>
      <c r="R125">
        <v>0</v>
      </c>
      <c r="S125" s="3">
        <v>2488</v>
      </c>
      <c r="T125" t="s">
        <v>4408</v>
      </c>
      <c r="U125">
        <v>7932908</v>
      </c>
    </row>
    <row r="126" spans="1:21" x14ac:dyDescent="0.25">
      <c r="A126" s="9" t="s">
        <v>4401</v>
      </c>
      <c r="B126" s="10">
        <v>44049</v>
      </c>
      <c r="C126" s="1">
        <v>44048</v>
      </c>
      <c r="D126" t="s">
        <v>4402</v>
      </c>
      <c r="E126" s="11">
        <v>0.375</v>
      </c>
      <c r="F126" s="11">
        <v>0.375</v>
      </c>
      <c r="G126">
        <v>70941</v>
      </c>
      <c r="H126" t="s">
        <v>4532</v>
      </c>
      <c r="I126">
        <v>2</v>
      </c>
      <c r="J126" t="s">
        <v>4404</v>
      </c>
      <c r="K126" t="s">
        <v>4405</v>
      </c>
      <c r="L126" t="s">
        <v>4406</v>
      </c>
      <c r="M126" t="s">
        <v>4407</v>
      </c>
      <c r="N126" t="s">
        <v>34</v>
      </c>
      <c r="O126" t="s">
        <v>34</v>
      </c>
      <c r="P126" s="3">
        <v>2348</v>
      </c>
      <c r="Q126" s="3">
        <v>2348</v>
      </c>
      <c r="R126">
        <v>145</v>
      </c>
      <c r="S126" s="3">
        <v>2203</v>
      </c>
      <c r="T126" t="s">
        <v>4408</v>
      </c>
      <c r="U126">
        <v>7932908</v>
      </c>
    </row>
    <row r="127" spans="1:21" x14ac:dyDescent="0.25">
      <c r="A127" s="9" t="s">
        <v>4401</v>
      </c>
      <c r="B127" s="10">
        <v>44049</v>
      </c>
      <c r="C127" s="1">
        <v>44048</v>
      </c>
      <c r="D127" t="s">
        <v>4402</v>
      </c>
      <c r="E127" s="11">
        <v>0.375</v>
      </c>
      <c r="F127" s="11">
        <v>0.375</v>
      </c>
      <c r="G127">
        <v>70949</v>
      </c>
      <c r="H127" t="s">
        <v>4533</v>
      </c>
      <c r="I127">
        <v>3</v>
      </c>
      <c r="J127" t="s">
        <v>4404</v>
      </c>
      <c r="K127" t="s">
        <v>4405</v>
      </c>
      <c r="L127" t="s">
        <v>4406</v>
      </c>
      <c r="M127" t="s">
        <v>4407</v>
      </c>
      <c r="N127" t="s">
        <v>60</v>
      </c>
      <c r="O127" t="s">
        <v>34</v>
      </c>
      <c r="P127" s="3">
        <v>173340</v>
      </c>
      <c r="Q127" s="3">
        <v>173340</v>
      </c>
      <c r="R127">
        <v>0</v>
      </c>
      <c r="S127" s="3">
        <v>173340</v>
      </c>
      <c r="T127" t="s">
        <v>4408</v>
      </c>
      <c r="U127">
        <v>7932908</v>
      </c>
    </row>
    <row r="128" spans="1:21" x14ac:dyDescent="0.25">
      <c r="A128" s="9" t="s">
        <v>4401</v>
      </c>
      <c r="B128" s="10">
        <v>44049</v>
      </c>
      <c r="C128" s="1">
        <v>44048</v>
      </c>
      <c r="D128" t="s">
        <v>4402</v>
      </c>
      <c r="E128" s="11">
        <v>0.375</v>
      </c>
      <c r="F128" s="11">
        <v>0.375</v>
      </c>
      <c r="G128">
        <v>70953</v>
      </c>
      <c r="H128" t="s">
        <v>4534</v>
      </c>
      <c r="I128">
        <v>3</v>
      </c>
      <c r="J128" t="s">
        <v>4404</v>
      </c>
      <c r="K128" t="s">
        <v>4405</v>
      </c>
      <c r="L128" t="s">
        <v>4406</v>
      </c>
      <c r="M128" t="s">
        <v>4407</v>
      </c>
      <c r="N128" t="s">
        <v>60</v>
      </c>
      <c r="O128" t="s">
        <v>34</v>
      </c>
      <c r="P128" s="3">
        <v>658803</v>
      </c>
      <c r="Q128" s="3">
        <v>658803</v>
      </c>
      <c r="R128" s="3">
        <v>183938</v>
      </c>
      <c r="S128" s="3">
        <v>474865</v>
      </c>
      <c r="T128" t="s">
        <v>4408</v>
      </c>
      <c r="U128">
        <v>7932908</v>
      </c>
    </row>
    <row r="129" spans="1:21" x14ac:dyDescent="0.25">
      <c r="A129" s="9" t="s">
        <v>4401</v>
      </c>
      <c r="B129" s="10">
        <v>44049</v>
      </c>
      <c r="C129" s="1">
        <v>44048</v>
      </c>
      <c r="D129" t="s">
        <v>4402</v>
      </c>
      <c r="E129" s="11">
        <v>0.375</v>
      </c>
      <c r="F129" s="11">
        <v>0.375</v>
      </c>
      <c r="G129">
        <v>70958</v>
      </c>
      <c r="H129" t="s">
        <v>4535</v>
      </c>
      <c r="I129">
        <v>1</v>
      </c>
      <c r="J129" t="s">
        <v>4458</v>
      </c>
      <c r="K129" t="s">
        <v>4459</v>
      </c>
      <c r="L129" t="s">
        <v>4460</v>
      </c>
      <c r="M129" t="s">
        <v>4407</v>
      </c>
      <c r="N129" t="s">
        <v>60</v>
      </c>
      <c r="O129" t="s">
        <v>34</v>
      </c>
      <c r="P129" s="3">
        <v>10089</v>
      </c>
      <c r="Q129" s="3">
        <v>10089</v>
      </c>
      <c r="R129">
        <v>0</v>
      </c>
      <c r="S129" s="3">
        <v>10089</v>
      </c>
      <c r="T129" t="s">
        <v>4408</v>
      </c>
      <c r="U129">
        <v>7932908</v>
      </c>
    </row>
    <row r="130" spans="1:21" x14ac:dyDescent="0.25">
      <c r="A130" s="9" t="s">
        <v>4401</v>
      </c>
      <c r="B130" s="10">
        <v>44049</v>
      </c>
      <c r="C130" s="1">
        <v>44048</v>
      </c>
      <c r="D130" t="s">
        <v>4402</v>
      </c>
      <c r="E130" s="11">
        <v>0.375</v>
      </c>
      <c r="F130" s="11">
        <v>0.375</v>
      </c>
      <c r="G130">
        <v>70970</v>
      </c>
      <c r="H130" t="s">
        <v>4536</v>
      </c>
      <c r="I130" t="s">
        <v>187</v>
      </c>
      <c r="J130" t="s">
        <v>4458</v>
      </c>
      <c r="K130" t="s">
        <v>4459</v>
      </c>
      <c r="L130" t="s">
        <v>4460</v>
      </c>
      <c r="M130" t="s">
        <v>4407</v>
      </c>
      <c r="N130" t="s">
        <v>60</v>
      </c>
      <c r="O130" t="s">
        <v>34</v>
      </c>
      <c r="P130" s="3">
        <v>134771</v>
      </c>
      <c r="Q130" s="3">
        <v>134771</v>
      </c>
      <c r="R130">
        <v>0</v>
      </c>
      <c r="S130" s="3">
        <v>134771</v>
      </c>
      <c r="T130" t="s">
        <v>4408</v>
      </c>
      <c r="U130">
        <v>7932908</v>
      </c>
    </row>
    <row r="131" spans="1:21" x14ac:dyDescent="0.25">
      <c r="A131" s="9" t="s">
        <v>4401</v>
      </c>
      <c r="B131" s="10">
        <v>44049</v>
      </c>
      <c r="C131" s="1">
        <v>44048</v>
      </c>
      <c r="D131" t="s">
        <v>4402</v>
      </c>
      <c r="E131" s="11">
        <v>0.375</v>
      </c>
      <c r="F131" s="11">
        <v>0.375</v>
      </c>
      <c r="G131">
        <v>70983</v>
      </c>
      <c r="H131" t="s">
        <v>4537</v>
      </c>
      <c r="I131">
        <v>2</v>
      </c>
      <c r="J131" t="s">
        <v>4404</v>
      </c>
      <c r="K131" t="s">
        <v>4405</v>
      </c>
      <c r="L131" t="s">
        <v>4406</v>
      </c>
      <c r="M131" t="s">
        <v>4407</v>
      </c>
      <c r="N131" t="s">
        <v>60</v>
      </c>
      <c r="O131" t="s">
        <v>34</v>
      </c>
      <c r="P131" s="3">
        <v>11852</v>
      </c>
      <c r="Q131" s="3">
        <v>11852</v>
      </c>
      <c r="R131">
        <v>33</v>
      </c>
      <c r="S131" s="3">
        <v>11819</v>
      </c>
      <c r="T131" t="s">
        <v>4408</v>
      </c>
      <c r="U131">
        <v>7932908</v>
      </c>
    </row>
    <row r="132" spans="1:21" x14ac:dyDescent="0.25">
      <c r="A132" s="9" t="s">
        <v>4401</v>
      </c>
      <c r="B132" s="10">
        <v>44049</v>
      </c>
      <c r="C132" s="1">
        <v>44048</v>
      </c>
      <c r="D132" t="s">
        <v>4402</v>
      </c>
      <c r="E132" s="11">
        <v>0.375</v>
      </c>
      <c r="F132" s="11">
        <v>0.375</v>
      </c>
      <c r="G132">
        <v>70984</v>
      </c>
      <c r="H132" t="s">
        <v>4538</v>
      </c>
      <c r="I132">
        <v>2</v>
      </c>
      <c r="J132" t="s">
        <v>4404</v>
      </c>
      <c r="K132" t="s">
        <v>4405</v>
      </c>
      <c r="L132" t="s">
        <v>4406</v>
      </c>
      <c r="M132" t="s">
        <v>4407</v>
      </c>
      <c r="N132" t="s">
        <v>60</v>
      </c>
      <c r="O132" t="s">
        <v>34</v>
      </c>
      <c r="P132" s="3">
        <v>7521</v>
      </c>
      <c r="Q132" s="3">
        <v>7521</v>
      </c>
      <c r="R132">
        <v>0</v>
      </c>
      <c r="S132" s="3">
        <v>7521</v>
      </c>
      <c r="T132" t="s">
        <v>4408</v>
      </c>
      <c r="U132">
        <v>7932908</v>
      </c>
    </row>
    <row r="133" spans="1:21" x14ac:dyDescent="0.25">
      <c r="A133" s="9" t="s">
        <v>4401</v>
      </c>
      <c r="B133" s="10">
        <v>44049</v>
      </c>
      <c r="C133" s="1">
        <v>44048</v>
      </c>
      <c r="D133" t="s">
        <v>4402</v>
      </c>
      <c r="E133" s="11">
        <v>0.375</v>
      </c>
      <c r="F133" s="11">
        <v>0.375</v>
      </c>
      <c r="G133">
        <v>71000</v>
      </c>
      <c r="H133" t="s">
        <v>4539</v>
      </c>
      <c r="I133" t="s">
        <v>543</v>
      </c>
      <c r="J133" t="s">
        <v>4458</v>
      </c>
      <c r="K133" t="s">
        <v>4459</v>
      </c>
      <c r="L133" t="s">
        <v>4460</v>
      </c>
      <c r="M133" t="s">
        <v>4407</v>
      </c>
      <c r="N133" t="s">
        <v>60</v>
      </c>
      <c r="O133" t="s">
        <v>34</v>
      </c>
      <c r="P133" s="3">
        <v>243324</v>
      </c>
      <c r="Q133" s="3">
        <v>243324</v>
      </c>
      <c r="R133">
        <v>0</v>
      </c>
      <c r="S133" s="3">
        <v>243324</v>
      </c>
      <c r="T133" t="s">
        <v>4408</v>
      </c>
      <c r="U133">
        <v>7932908</v>
      </c>
    </row>
    <row r="134" spans="1:21" x14ac:dyDescent="0.25">
      <c r="A134" s="9" t="s">
        <v>4401</v>
      </c>
      <c r="B134" s="10">
        <v>44049</v>
      </c>
      <c r="C134" s="1">
        <v>44048</v>
      </c>
      <c r="D134" t="s">
        <v>4402</v>
      </c>
      <c r="E134" s="11">
        <v>0.375</v>
      </c>
      <c r="F134" s="11">
        <v>0.375</v>
      </c>
      <c r="G134">
        <v>71020</v>
      </c>
      <c r="H134" t="s">
        <v>4540</v>
      </c>
      <c r="I134">
        <v>2</v>
      </c>
      <c r="J134" t="s">
        <v>4404</v>
      </c>
      <c r="K134" t="s">
        <v>4405</v>
      </c>
      <c r="L134" t="s">
        <v>4406</v>
      </c>
      <c r="M134" t="s">
        <v>4407</v>
      </c>
      <c r="N134" t="s">
        <v>60</v>
      </c>
      <c r="O134" t="s">
        <v>34</v>
      </c>
      <c r="P134">
        <v>944</v>
      </c>
      <c r="Q134">
        <v>944</v>
      </c>
      <c r="R134">
        <v>1</v>
      </c>
      <c r="S134">
        <v>943</v>
      </c>
      <c r="T134" t="s">
        <v>4408</v>
      </c>
      <c r="U134">
        <v>7932908</v>
      </c>
    </row>
    <row r="135" spans="1:21" x14ac:dyDescent="0.25">
      <c r="A135" s="9" t="s">
        <v>4401</v>
      </c>
      <c r="B135" s="10">
        <v>44049</v>
      </c>
      <c r="C135" s="1">
        <v>44048</v>
      </c>
      <c r="D135" t="s">
        <v>4402</v>
      </c>
      <c r="E135" s="11">
        <v>0.375</v>
      </c>
      <c r="F135" s="11">
        <v>0.375</v>
      </c>
      <c r="G135">
        <v>71028</v>
      </c>
      <c r="H135" t="s">
        <v>4541</v>
      </c>
      <c r="I135">
        <v>2</v>
      </c>
      <c r="J135" t="s">
        <v>4404</v>
      </c>
      <c r="K135" t="s">
        <v>4405</v>
      </c>
      <c r="L135" t="s">
        <v>4406</v>
      </c>
      <c r="M135" t="s">
        <v>4407</v>
      </c>
      <c r="N135" t="s">
        <v>60</v>
      </c>
      <c r="O135" t="s">
        <v>34</v>
      </c>
      <c r="P135" s="3">
        <v>1555</v>
      </c>
      <c r="Q135" s="3">
        <v>1555</v>
      </c>
      <c r="R135">
        <v>6</v>
      </c>
      <c r="S135" s="3">
        <v>1549</v>
      </c>
      <c r="T135" t="s">
        <v>4408</v>
      </c>
      <c r="U135">
        <v>7932908</v>
      </c>
    </row>
    <row r="136" spans="1:21" x14ac:dyDescent="0.25">
      <c r="A136" s="9" t="s">
        <v>4401</v>
      </c>
      <c r="B136" s="10">
        <v>44049</v>
      </c>
      <c r="C136" s="1">
        <v>44048</v>
      </c>
      <c r="D136" t="s">
        <v>4402</v>
      </c>
      <c r="E136" s="11">
        <v>0.375</v>
      </c>
      <c r="F136" s="11">
        <v>0.375</v>
      </c>
      <c r="G136">
        <v>71043</v>
      </c>
      <c r="H136" t="s">
        <v>4542</v>
      </c>
      <c r="I136">
        <v>1</v>
      </c>
      <c r="J136" t="s">
        <v>4404</v>
      </c>
      <c r="K136" t="s">
        <v>4405</v>
      </c>
      <c r="L136" t="s">
        <v>4406</v>
      </c>
      <c r="M136" t="s">
        <v>4407</v>
      </c>
      <c r="N136" t="s">
        <v>60</v>
      </c>
      <c r="O136" t="s">
        <v>34</v>
      </c>
      <c r="P136" s="3">
        <v>2552</v>
      </c>
      <c r="Q136" s="3">
        <v>2552</v>
      </c>
      <c r="R136">
        <v>0</v>
      </c>
      <c r="S136" s="3">
        <v>2552</v>
      </c>
      <c r="T136" t="s">
        <v>4408</v>
      </c>
      <c r="U136">
        <v>7932908</v>
      </c>
    </row>
    <row r="137" spans="1:21" x14ac:dyDescent="0.25">
      <c r="A137" s="9" t="s">
        <v>4401</v>
      </c>
      <c r="B137" s="10">
        <v>44049</v>
      </c>
      <c r="C137" s="1">
        <v>44048</v>
      </c>
      <c r="D137" t="s">
        <v>4402</v>
      </c>
      <c r="E137" s="11">
        <v>0.375</v>
      </c>
      <c r="F137" s="11">
        <v>0.375</v>
      </c>
      <c r="G137">
        <v>71046</v>
      </c>
      <c r="H137" t="s">
        <v>4543</v>
      </c>
      <c r="I137">
        <v>1</v>
      </c>
      <c r="J137" t="s">
        <v>4404</v>
      </c>
      <c r="K137" t="s">
        <v>4405</v>
      </c>
      <c r="L137" t="s">
        <v>4406</v>
      </c>
      <c r="M137" t="s">
        <v>4407</v>
      </c>
      <c r="N137" t="s">
        <v>60</v>
      </c>
      <c r="O137" t="s">
        <v>34</v>
      </c>
      <c r="P137" s="3">
        <v>7532</v>
      </c>
      <c r="Q137" s="3">
        <v>7532</v>
      </c>
      <c r="R137">
        <v>200</v>
      </c>
      <c r="S137" s="3">
        <v>7332</v>
      </c>
      <c r="T137" t="s">
        <v>4408</v>
      </c>
      <c r="U137">
        <v>7932908</v>
      </c>
    </row>
    <row r="138" spans="1:21" x14ac:dyDescent="0.25">
      <c r="A138" s="9" t="s">
        <v>4401</v>
      </c>
      <c r="B138" s="10">
        <v>44049</v>
      </c>
      <c r="C138" s="1">
        <v>44048</v>
      </c>
      <c r="D138" t="s">
        <v>4402</v>
      </c>
      <c r="E138" s="11">
        <v>0.375</v>
      </c>
      <c r="F138" s="11">
        <v>0.375</v>
      </c>
      <c r="G138">
        <v>71075</v>
      </c>
      <c r="H138" t="s">
        <v>4544</v>
      </c>
      <c r="I138">
        <v>3</v>
      </c>
      <c r="J138" t="s">
        <v>4404</v>
      </c>
      <c r="K138" t="s">
        <v>4405</v>
      </c>
      <c r="L138" t="s">
        <v>4406</v>
      </c>
      <c r="M138" t="s">
        <v>4407</v>
      </c>
      <c r="N138" t="s">
        <v>60</v>
      </c>
      <c r="O138" t="s">
        <v>34</v>
      </c>
      <c r="P138" s="3">
        <v>64543</v>
      </c>
      <c r="Q138" s="3">
        <v>64543</v>
      </c>
      <c r="R138">
        <v>0</v>
      </c>
      <c r="S138" s="3">
        <v>64543</v>
      </c>
      <c r="T138" t="s">
        <v>4408</v>
      </c>
      <c r="U138">
        <v>7932908</v>
      </c>
    </row>
    <row r="139" spans="1:21" x14ac:dyDescent="0.25">
      <c r="A139" s="9" t="s">
        <v>4401</v>
      </c>
      <c r="B139" s="10">
        <v>44049</v>
      </c>
      <c r="C139" s="1">
        <v>44048</v>
      </c>
      <c r="D139" t="s">
        <v>4402</v>
      </c>
      <c r="E139" s="11">
        <v>0.375</v>
      </c>
      <c r="F139" s="11">
        <v>0.375</v>
      </c>
      <c r="G139">
        <v>71076</v>
      </c>
      <c r="H139" t="s">
        <v>4545</v>
      </c>
      <c r="I139">
        <v>3</v>
      </c>
      <c r="J139" t="s">
        <v>4404</v>
      </c>
      <c r="K139" t="s">
        <v>4405</v>
      </c>
      <c r="L139" t="s">
        <v>4406</v>
      </c>
      <c r="M139" t="s">
        <v>4407</v>
      </c>
      <c r="N139" t="s">
        <v>60</v>
      </c>
      <c r="O139" t="s">
        <v>34</v>
      </c>
      <c r="P139" s="3">
        <v>50771</v>
      </c>
      <c r="Q139" s="3">
        <v>50771</v>
      </c>
      <c r="R139">
        <v>0</v>
      </c>
      <c r="S139" s="3">
        <v>50771</v>
      </c>
      <c r="T139" t="s">
        <v>4408</v>
      </c>
      <c r="U139">
        <v>7932908</v>
      </c>
    </row>
    <row r="140" spans="1:21" x14ac:dyDescent="0.25">
      <c r="A140" s="9" t="s">
        <v>4401</v>
      </c>
      <c r="B140" s="10">
        <v>44049</v>
      </c>
      <c r="C140" s="1">
        <v>44048</v>
      </c>
      <c r="D140" t="s">
        <v>4402</v>
      </c>
      <c r="E140" s="11">
        <v>0.375</v>
      </c>
      <c r="F140" s="11">
        <v>0.375</v>
      </c>
      <c r="G140">
        <v>71078</v>
      </c>
      <c r="H140" t="s">
        <v>4546</v>
      </c>
      <c r="I140">
        <v>3</v>
      </c>
      <c r="J140" t="s">
        <v>4404</v>
      </c>
      <c r="K140" t="s">
        <v>4405</v>
      </c>
      <c r="L140" t="s">
        <v>4406</v>
      </c>
      <c r="M140" t="s">
        <v>4407</v>
      </c>
      <c r="N140" t="s">
        <v>60</v>
      </c>
      <c r="O140" t="s">
        <v>34</v>
      </c>
      <c r="P140" s="3">
        <v>579879</v>
      </c>
      <c r="Q140" s="3">
        <v>586911</v>
      </c>
      <c r="R140" s="3">
        <v>17246</v>
      </c>
      <c r="S140" s="3">
        <v>569665</v>
      </c>
      <c r="T140" t="s">
        <v>4408</v>
      </c>
      <c r="U140">
        <v>7932908</v>
      </c>
    </row>
    <row r="141" spans="1:21" x14ac:dyDescent="0.25">
      <c r="A141" s="9" t="s">
        <v>4401</v>
      </c>
      <c r="B141" s="10">
        <v>44049</v>
      </c>
      <c r="C141" s="1">
        <v>44048</v>
      </c>
      <c r="D141" t="s">
        <v>4402</v>
      </c>
      <c r="E141" s="11">
        <v>0.375</v>
      </c>
      <c r="F141" s="11">
        <v>0.375</v>
      </c>
      <c r="G141">
        <v>71081</v>
      </c>
      <c r="H141" t="s">
        <v>4547</v>
      </c>
      <c r="I141">
        <v>2</v>
      </c>
      <c r="J141" t="s">
        <v>4404</v>
      </c>
      <c r="K141" t="s">
        <v>4405</v>
      </c>
      <c r="L141" t="s">
        <v>4406</v>
      </c>
      <c r="M141" t="s">
        <v>4407</v>
      </c>
      <c r="N141" t="s">
        <v>60</v>
      </c>
      <c r="O141" t="s">
        <v>34</v>
      </c>
      <c r="P141" s="3">
        <v>3924</v>
      </c>
      <c r="Q141" s="3">
        <v>3924</v>
      </c>
      <c r="R141">
        <v>39</v>
      </c>
      <c r="S141" s="3">
        <v>3885</v>
      </c>
      <c r="T141" t="s">
        <v>4408</v>
      </c>
      <c r="U141">
        <v>7932908</v>
      </c>
    </row>
    <row r="142" spans="1:21" x14ac:dyDescent="0.25">
      <c r="A142" s="9" t="s">
        <v>4401</v>
      </c>
      <c r="B142" s="10">
        <v>44049</v>
      </c>
      <c r="C142" s="1">
        <v>44048</v>
      </c>
      <c r="D142" t="s">
        <v>4402</v>
      </c>
      <c r="E142" s="11">
        <v>0.375</v>
      </c>
      <c r="F142" s="11">
        <v>0.375</v>
      </c>
      <c r="G142">
        <v>71141</v>
      </c>
      <c r="H142" t="s">
        <v>4548</v>
      </c>
      <c r="I142">
        <v>1</v>
      </c>
      <c r="J142" t="s">
        <v>4404</v>
      </c>
      <c r="K142" t="s">
        <v>4405</v>
      </c>
      <c r="L142" t="s">
        <v>4406</v>
      </c>
      <c r="M142" t="s">
        <v>4407</v>
      </c>
      <c r="N142" t="s">
        <v>60</v>
      </c>
      <c r="O142" t="s">
        <v>34</v>
      </c>
      <c r="P142" s="3">
        <v>10922</v>
      </c>
      <c r="Q142" s="3">
        <v>10922</v>
      </c>
      <c r="R142">
        <v>207</v>
      </c>
      <c r="S142" s="3">
        <v>10715</v>
      </c>
      <c r="T142" t="s">
        <v>4408</v>
      </c>
      <c r="U142">
        <v>7932908</v>
      </c>
    </row>
    <row r="143" spans="1:21" x14ac:dyDescent="0.25">
      <c r="A143" s="9" t="s">
        <v>4401</v>
      </c>
      <c r="B143" s="10">
        <v>44049</v>
      </c>
      <c r="C143" s="1">
        <v>44048</v>
      </c>
      <c r="D143" t="s">
        <v>4402</v>
      </c>
      <c r="E143" s="11">
        <v>0.375</v>
      </c>
      <c r="F143" s="11">
        <v>0.375</v>
      </c>
      <c r="G143">
        <v>71142</v>
      </c>
      <c r="H143" t="s">
        <v>4549</v>
      </c>
      <c r="I143" t="s">
        <v>367</v>
      </c>
      <c r="J143" t="s">
        <v>4458</v>
      </c>
      <c r="K143" t="s">
        <v>4459</v>
      </c>
      <c r="L143" t="s">
        <v>4460</v>
      </c>
      <c r="M143" t="s">
        <v>4407</v>
      </c>
      <c r="N143" t="s">
        <v>60</v>
      </c>
      <c r="O143" t="s">
        <v>34</v>
      </c>
      <c r="P143" s="3">
        <v>10090</v>
      </c>
      <c r="Q143" s="3">
        <v>10090</v>
      </c>
      <c r="R143">
        <v>200</v>
      </c>
      <c r="S143" s="3">
        <v>9890</v>
      </c>
      <c r="T143" t="s">
        <v>4408</v>
      </c>
      <c r="U143">
        <v>7932908</v>
      </c>
    </row>
    <row r="144" spans="1:21" x14ac:dyDescent="0.25">
      <c r="A144" s="9" t="s">
        <v>4401</v>
      </c>
      <c r="B144" s="10">
        <v>44049</v>
      </c>
      <c r="C144" s="1">
        <v>44048</v>
      </c>
      <c r="D144" t="s">
        <v>4402</v>
      </c>
      <c r="E144" s="11">
        <v>0.375</v>
      </c>
      <c r="F144" s="11">
        <v>0.375</v>
      </c>
      <c r="G144">
        <v>71143</v>
      </c>
      <c r="H144" t="s">
        <v>4550</v>
      </c>
      <c r="I144">
        <v>3</v>
      </c>
      <c r="J144" t="s">
        <v>4404</v>
      </c>
      <c r="K144" t="s">
        <v>4405</v>
      </c>
      <c r="L144" t="s">
        <v>4406</v>
      </c>
      <c r="M144" t="s">
        <v>4407</v>
      </c>
      <c r="N144" t="s">
        <v>60</v>
      </c>
      <c r="O144" t="s">
        <v>34</v>
      </c>
      <c r="P144" s="3">
        <v>23430</v>
      </c>
      <c r="Q144" s="3">
        <v>23430</v>
      </c>
      <c r="R144">
        <v>0</v>
      </c>
      <c r="S144" s="3">
        <v>23430</v>
      </c>
      <c r="T144" t="s">
        <v>4408</v>
      </c>
      <c r="U144">
        <v>7932908</v>
      </c>
    </row>
    <row r="145" spans="1:21" x14ac:dyDescent="0.25">
      <c r="A145" s="9" t="s">
        <v>4401</v>
      </c>
      <c r="B145" s="10">
        <v>44049</v>
      </c>
      <c r="C145" s="1">
        <v>44048</v>
      </c>
      <c r="D145" t="s">
        <v>4402</v>
      </c>
      <c r="E145" s="11">
        <v>0.375</v>
      </c>
      <c r="F145" s="11">
        <v>0.375</v>
      </c>
      <c r="G145">
        <v>71144</v>
      </c>
      <c r="H145" t="s">
        <v>4551</v>
      </c>
      <c r="I145">
        <v>3</v>
      </c>
      <c r="J145" t="s">
        <v>4404</v>
      </c>
      <c r="K145" t="s">
        <v>4405</v>
      </c>
      <c r="L145" t="s">
        <v>4406</v>
      </c>
      <c r="M145" t="s">
        <v>4407</v>
      </c>
      <c r="N145" t="s">
        <v>60</v>
      </c>
      <c r="O145" t="s">
        <v>34</v>
      </c>
      <c r="P145" s="3">
        <v>7034</v>
      </c>
      <c r="Q145" s="3">
        <v>7034</v>
      </c>
      <c r="R145">
        <v>0</v>
      </c>
      <c r="S145" s="3">
        <v>7034</v>
      </c>
      <c r="T145" t="s">
        <v>4408</v>
      </c>
      <c r="U145">
        <v>7932908</v>
      </c>
    </row>
    <row r="146" spans="1:21" x14ac:dyDescent="0.25">
      <c r="A146" s="9" t="s">
        <v>4401</v>
      </c>
      <c r="B146" s="10">
        <v>44049</v>
      </c>
      <c r="C146" s="1">
        <v>44048</v>
      </c>
      <c r="D146" t="s">
        <v>4402</v>
      </c>
      <c r="E146" s="11">
        <v>0.375</v>
      </c>
      <c r="F146" s="11">
        <v>0.375</v>
      </c>
      <c r="G146">
        <v>71170</v>
      </c>
      <c r="H146" t="s">
        <v>4552</v>
      </c>
      <c r="I146">
        <v>2</v>
      </c>
      <c r="J146" t="s">
        <v>4404</v>
      </c>
      <c r="K146" t="s">
        <v>4405</v>
      </c>
      <c r="L146" t="s">
        <v>4406</v>
      </c>
      <c r="M146" t="s">
        <v>4407</v>
      </c>
      <c r="N146" t="s">
        <v>60</v>
      </c>
      <c r="O146" t="s">
        <v>34</v>
      </c>
      <c r="P146" s="3">
        <v>1679</v>
      </c>
      <c r="Q146" s="3">
        <v>1679</v>
      </c>
      <c r="R146">
        <v>25</v>
      </c>
      <c r="S146" s="3">
        <v>1654</v>
      </c>
      <c r="T146" t="s">
        <v>4408</v>
      </c>
      <c r="U146">
        <v>7932908</v>
      </c>
    </row>
    <row r="147" spans="1:21" x14ac:dyDescent="0.25">
      <c r="A147" s="9" t="s">
        <v>4401</v>
      </c>
      <c r="B147" s="10">
        <v>44049</v>
      </c>
      <c r="C147" s="1">
        <v>44048</v>
      </c>
      <c r="D147" t="s">
        <v>4402</v>
      </c>
      <c r="E147" s="11">
        <v>0.375</v>
      </c>
      <c r="F147" s="11">
        <v>0.375</v>
      </c>
      <c r="G147">
        <v>71189</v>
      </c>
      <c r="H147" t="s">
        <v>4553</v>
      </c>
      <c r="I147">
        <v>3</v>
      </c>
      <c r="J147" t="s">
        <v>4404</v>
      </c>
      <c r="K147" t="s">
        <v>4405</v>
      </c>
      <c r="L147" t="s">
        <v>4406</v>
      </c>
      <c r="M147" t="s">
        <v>4407</v>
      </c>
      <c r="N147" t="s">
        <v>60</v>
      </c>
      <c r="O147" t="s">
        <v>34</v>
      </c>
      <c r="P147" s="3">
        <v>19154</v>
      </c>
      <c r="Q147" s="3">
        <v>19154</v>
      </c>
      <c r="R147">
        <v>0</v>
      </c>
      <c r="S147" s="3">
        <v>19154</v>
      </c>
      <c r="T147" t="s">
        <v>4408</v>
      </c>
      <c r="U147">
        <v>7932908</v>
      </c>
    </row>
    <row r="148" spans="1:21" x14ac:dyDescent="0.25">
      <c r="A148" s="9" t="s">
        <v>4401</v>
      </c>
      <c r="B148" s="10">
        <v>44049</v>
      </c>
      <c r="C148" s="1">
        <v>44048</v>
      </c>
      <c r="D148" t="s">
        <v>4402</v>
      </c>
      <c r="E148" s="11">
        <v>0.375</v>
      </c>
      <c r="F148" s="11">
        <v>0.375</v>
      </c>
      <c r="G148">
        <v>71190</v>
      </c>
      <c r="H148" t="s">
        <v>4554</v>
      </c>
      <c r="I148">
        <v>2</v>
      </c>
      <c r="J148" t="s">
        <v>4404</v>
      </c>
      <c r="K148" t="s">
        <v>4405</v>
      </c>
      <c r="L148" t="s">
        <v>4406</v>
      </c>
      <c r="M148" t="s">
        <v>4407</v>
      </c>
      <c r="N148" t="s">
        <v>60</v>
      </c>
      <c r="O148" t="s">
        <v>34</v>
      </c>
      <c r="P148" s="3">
        <v>1928</v>
      </c>
      <c r="Q148" s="3">
        <v>1928</v>
      </c>
      <c r="R148">
        <v>13</v>
      </c>
      <c r="S148" s="3">
        <v>1915</v>
      </c>
      <c r="T148" t="s">
        <v>4408</v>
      </c>
      <c r="U148">
        <v>7932908</v>
      </c>
    </row>
    <row r="149" spans="1:21" x14ac:dyDescent="0.25">
      <c r="A149" s="9" t="s">
        <v>4401</v>
      </c>
      <c r="B149" s="10">
        <v>44049</v>
      </c>
      <c r="C149" s="1">
        <v>44048</v>
      </c>
      <c r="D149" t="s">
        <v>4402</v>
      </c>
      <c r="E149" s="11">
        <v>0.375</v>
      </c>
      <c r="F149" s="11">
        <v>0.375</v>
      </c>
      <c r="G149">
        <v>71196</v>
      </c>
      <c r="H149" t="s">
        <v>4555</v>
      </c>
      <c r="I149">
        <v>3</v>
      </c>
      <c r="J149" t="s">
        <v>4404</v>
      </c>
      <c r="K149" t="s">
        <v>4405</v>
      </c>
      <c r="L149" t="s">
        <v>4406</v>
      </c>
      <c r="M149" t="s">
        <v>4407</v>
      </c>
      <c r="N149" t="s">
        <v>60</v>
      </c>
      <c r="O149" t="s">
        <v>34</v>
      </c>
      <c r="P149" s="3">
        <v>41400</v>
      </c>
      <c r="Q149" s="3">
        <v>41400</v>
      </c>
      <c r="R149" s="3">
        <v>4505</v>
      </c>
      <c r="S149" s="3">
        <v>36895</v>
      </c>
      <c r="T149" t="s">
        <v>4408</v>
      </c>
      <c r="U149">
        <v>7932908</v>
      </c>
    </row>
    <row r="150" spans="1:21" x14ac:dyDescent="0.25">
      <c r="A150" s="9" t="s">
        <v>4401</v>
      </c>
      <c r="B150" s="10">
        <v>44049</v>
      </c>
      <c r="C150" s="1">
        <v>44048</v>
      </c>
      <c r="D150" t="s">
        <v>4402</v>
      </c>
      <c r="E150" s="11">
        <v>0.375</v>
      </c>
      <c r="F150" s="11">
        <v>0.375</v>
      </c>
      <c r="G150">
        <v>71200</v>
      </c>
      <c r="H150" t="s">
        <v>4556</v>
      </c>
      <c r="I150" t="s">
        <v>543</v>
      </c>
      <c r="J150" t="s">
        <v>4458</v>
      </c>
      <c r="K150" t="s">
        <v>4459</v>
      </c>
      <c r="L150" t="s">
        <v>4460</v>
      </c>
      <c r="M150" t="s">
        <v>4407</v>
      </c>
      <c r="N150" t="s">
        <v>60</v>
      </c>
      <c r="O150" t="s">
        <v>34</v>
      </c>
      <c r="P150" s="3">
        <v>975518</v>
      </c>
      <c r="Q150" s="3">
        <v>975518</v>
      </c>
      <c r="R150" s="3">
        <v>150670</v>
      </c>
      <c r="S150" s="3">
        <v>824848</v>
      </c>
      <c r="T150" t="s">
        <v>4408</v>
      </c>
      <c r="U150">
        <v>7932908</v>
      </c>
    </row>
    <row r="151" spans="1:21" x14ac:dyDescent="0.25">
      <c r="A151" s="9" t="s">
        <v>4401</v>
      </c>
      <c r="B151" s="10">
        <v>44049</v>
      </c>
      <c r="C151" s="1">
        <v>44048</v>
      </c>
      <c r="D151" t="s">
        <v>4402</v>
      </c>
      <c r="E151" s="11">
        <v>0.375</v>
      </c>
      <c r="F151" s="11">
        <v>0.375</v>
      </c>
      <c r="G151">
        <v>71209</v>
      </c>
      <c r="H151" t="s">
        <v>4557</v>
      </c>
      <c r="I151">
        <v>3</v>
      </c>
      <c r="J151" t="s">
        <v>4404</v>
      </c>
      <c r="K151" t="s">
        <v>4405</v>
      </c>
      <c r="L151" t="s">
        <v>4406</v>
      </c>
      <c r="M151" t="s">
        <v>4407</v>
      </c>
      <c r="N151" t="s">
        <v>60</v>
      </c>
      <c r="O151" t="s">
        <v>34</v>
      </c>
      <c r="P151" s="3">
        <v>207130</v>
      </c>
      <c r="Q151" s="3">
        <v>207130</v>
      </c>
      <c r="R151" s="3">
        <v>14514</v>
      </c>
      <c r="S151" s="3">
        <v>192616</v>
      </c>
      <c r="T151" t="s">
        <v>4408</v>
      </c>
      <c r="U151">
        <v>7932908</v>
      </c>
    </row>
    <row r="152" spans="1:21" x14ac:dyDescent="0.25">
      <c r="A152" s="9" t="s">
        <v>4401</v>
      </c>
      <c r="B152" s="10">
        <v>44049</v>
      </c>
      <c r="C152" s="1">
        <v>44048</v>
      </c>
      <c r="D152" t="s">
        <v>4402</v>
      </c>
      <c r="E152" s="11">
        <v>0.375</v>
      </c>
      <c r="F152" s="11">
        <v>0.375</v>
      </c>
      <c r="G152">
        <v>71210</v>
      </c>
      <c r="H152" t="s">
        <v>924</v>
      </c>
      <c r="I152">
        <v>3</v>
      </c>
      <c r="J152" t="s">
        <v>4404</v>
      </c>
      <c r="K152" t="s">
        <v>4405</v>
      </c>
      <c r="L152" t="s">
        <v>4406</v>
      </c>
      <c r="M152" t="s">
        <v>4407</v>
      </c>
      <c r="N152" t="s">
        <v>60</v>
      </c>
      <c r="O152" t="s">
        <v>34</v>
      </c>
      <c r="P152" s="3">
        <v>39727</v>
      </c>
      <c r="Q152" s="3">
        <v>39727</v>
      </c>
      <c r="R152">
        <v>0</v>
      </c>
      <c r="S152" s="3">
        <v>39727</v>
      </c>
      <c r="T152" t="s">
        <v>4408</v>
      </c>
      <c r="U152">
        <v>7932908</v>
      </c>
    </row>
    <row r="153" spans="1:21" x14ac:dyDescent="0.25">
      <c r="A153" s="9" t="s">
        <v>4401</v>
      </c>
      <c r="B153" s="10">
        <v>44049</v>
      </c>
      <c r="C153" s="1">
        <v>44048</v>
      </c>
      <c r="D153" t="s">
        <v>4402</v>
      </c>
      <c r="E153" s="11">
        <v>0.375</v>
      </c>
      <c r="F153" s="11">
        <v>0.375</v>
      </c>
      <c r="G153">
        <v>71217</v>
      </c>
      <c r="H153" t="s">
        <v>4558</v>
      </c>
      <c r="I153">
        <v>2</v>
      </c>
      <c r="J153" t="s">
        <v>4404</v>
      </c>
      <c r="K153" t="s">
        <v>4405</v>
      </c>
      <c r="L153" t="s">
        <v>4406</v>
      </c>
      <c r="M153" t="s">
        <v>4407</v>
      </c>
      <c r="N153" t="s">
        <v>60</v>
      </c>
      <c r="O153" t="s">
        <v>34</v>
      </c>
      <c r="P153">
        <v>1</v>
      </c>
      <c r="Q153">
        <v>1</v>
      </c>
      <c r="R153">
        <v>0</v>
      </c>
      <c r="S153">
        <v>1</v>
      </c>
      <c r="T153" t="s">
        <v>4408</v>
      </c>
      <c r="U153">
        <v>7932908</v>
      </c>
    </row>
    <row r="154" spans="1:21" x14ac:dyDescent="0.25">
      <c r="A154" s="9" t="s">
        <v>4401</v>
      </c>
      <c r="B154" s="10">
        <v>44049</v>
      </c>
      <c r="C154" s="1">
        <v>44048</v>
      </c>
      <c r="D154" t="s">
        <v>4402</v>
      </c>
      <c r="E154" s="11">
        <v>0.375</v>
      </c>
      <c r="F154" s="11">
        <v>0.375</v>
      </c>
      <c r="G154">
        <v>71219</v>
      </c>
      <c r="H154" t="s">
        <v>4559</v>
      </c>
      <c r="I154">
        <v>3</v>
      </c>
      <c r="J154" t="s">
        <v>4404</v>
      </c>
      <c r="K154" t="s">
        <v>4405</v>
      </c>
      <c r="L154" t="s">
        <v>4406</v>
      </c>
      <c r="M154" t="s">
        <v>4407</v>
      </c>
      <c r="N154" t="s">
        <v>60</v>
      </c>
      <c r="O154" t="s">
        <v>34</v>
      </c>
      <c r="P154" s="3">
        <v>55588</v>
      </c>
      <c r="Q154" s="3">
        <v>55588</v>
      </c>
      <c r="R154" s="3">
        <v>2300</v>
      </c>
      <c r="S154" s="3">
        <v>53288</v>
      </c>
      <c r="T154" t="s">
        <v>4408</v>
      </c>
      <c r="U154">
        <v>7932908</v>
      </c>
    </row>
    <row r="155" spans="1:21" x14ac:dyDescent="0.25">
      <c r="A155" s="9" t="s">
        <v>4401</v>
      </c>
      <c r="B155" s="10">
        <v>44049</v>
      </c>
      <c r="C155" s="1">
        <v>44048</v>
      </c>
      <c r="D155" t="s">
        <v>4402</v>
      </c>
      <c r="E155" s="11">
        <v>0.375</v>
      </c>
      <c r="F155" s="11">
        <v>0.375</v>
      </c>
      <c r="G155">
        <v>71220</v>
      </c>
      <c r="H155" t="s">
        <v>4560</v>
      </c>
      <c r="I155">
        <v>3</v>
      </c>
      <c r="J155" t="s">
        <v>4404</v>
      </c>
      <c r="K155" t="s">
        <v>4405</v>
      </c>
      <c r="L155" t="s">
        <v>4406</v>
      </c>
      <c r="M155" t="s">
        <v>4407</v>
      </c>
      <c r="N155" t="s">
        <v>60</v>
      </c>
      <c r="O155" t="s">
        <v>34</v>
      </c>
      <c r="P155" s="3">
        <v>8221</v>
      </c>
      <c r="Q155" s="3">
        <v>8221</v>
      </c>
      <c r="R155">
        <v>0</v>
      </c>
      <c r="S155" s="3">
        <v>8221</v>
      </c>
      <c r="T155" t="s">
        <v>4408</v>
      </c>
      <c r="U155">
        <v>7932908</v>
      </c>
    </row>
    <row r="156" spans="1:21" x14ac:dyDescent="0.25">
      <c r="A156" s="9" t="s">
        <v>4401</v>
      </c>
      <c r="B156" s="10">
        <v>44049</v>
      </c>
      <c r="C156" s="1">
        <v>44048</v>
      </c>
      <c r="D156" t="s">
        <v>4402</v>
      </c>
      <c r="E156" s="11">
        <v>0.375</v>
      </c>
      <c r="F156" s="11">
        <v>0.375</v>
      </c>
      <c r="G156">
        <v>71221</v>
      </c>
      <c r="H156" t="s">
        <v>4561</v>
      </c>
      <c r="I156" t="s">
        <v>680</v>
      </c>
      <c r="J156" t="s">
        <v>4404</v>
      </c>
      <c r="K156" t="s">
        <v>4405</v>
      </c>
      <c r="L156" t="s">
        <v>4406</v>
      </c>
      <c r="M156" t="s">
        <v>4407</v>
      </c>
      <c r="N156" t="s">
        <v>60</v>
      </c>
      <c r="O156" t="s">
        <v>34</v>
      </c>
      <c r="P156" s="3">
        <v>1743</v>
      </c>
      <c r="Q156" s="3">
        <v>1743</v>
      </c>
      <c r="R156">
        <v>5</v>
      </c>
      <c r="S156" s="3">
        <v>1738</v>
      </c>
      <c r="T156" t="s">
        <v>4408</v>
      </c>
      <c r="U156">
        <v>7932908</v>
      </c>
    </row>
    <row r="157" spans="1:21" x14ac:dyDescent="0.25">
      <c r="A157" s="9" t="s">
        <v>4401</v>
      </c>
      <c r="B157" s="10">
        <v>44049</v>
      </c>
      <c r="C157" s="1">
        <v>44048</v>
      </c>
      <c r="D157" t="s">
        <v>4402</v>
      </c>
      <c r="E157" s="11">
        <v>0.375</v>
      </c>
      <c r="F157" s="11">
        <v>0.375</v>
      </c>
      <c r="G157">
        <v>71240</v>
      </c>
      <c r="H157" t="s">
        <v>4562</v>
      </c>
      <c r="I157">
        <v>1</v>
      </c>
      <c r="J157" t="s">
        <v>4404</v>
      </c>
      <c r="K157" t="s">
        <v>4405</v>
      </c>
      <c r="L157" t="s">
        <v>4406</v>
      </c>
      <c r="M157" t="s">
        <v>4407</v>
      </c>
      <c r="N157" t="s">
        <v>60</v>
      </c>
      <c r="O157" t="s">
        <v>34</v>
      </c>
      <c r="P157" s="3">
        <v>1679</v>
      </c>
      <c r="Q157" s="3">
        <v>1679</v>
      </c>
      <c r="R157">
        <v>10</v>
      </c>
      <c r="S157" s="3">
        <v>1669</v>
      </c>
      <c r="T157" t="s">
        <v>4408</v>
      </c>
      <c r="U157">
        <v>7932908</v>
      </c>
    </row>
    <row r="158" spans="1:21" x14ac:dyDescent="0.25">
      <c r="A158" s="9" t="s">
        <v>4401</v>
      </c>
      <c r="B158" s="10">
        <v>44049</v>
      </c>
      <c r="C158" s="1">
        <v>44048</v>
      </c>
      <c r="D158" t="s">
        <v>4402</v>
      </c>
      <c r="E158" s="11">
        <v>0.375</v>
      </c>
      <c r="F158" s="11">
        <v>0.375</v>
      </c>
      <c r="G158">
        <v>71241</v>
      </c>
      <c r="H158" t="s">
        <v>4563</v>
      </c>
      <c r="I158" t="s">
        <v>543</v>
      </c>
      <c r="J158" t="s">
        <v>4404</v>
      </c>
      <c r="K158" t="s">
        <v>4405</v>
      </c>
      <c r="L158" t="s">
        <v>4406</v>
      </c>
      <c r="M158" t="s">
        <v>4407</v>
      </c>
      <c r="N158" t="s">
        <v>60</v>
      </c>
      <c r="O158" t="s">
        <v>34</v>
      </c>
      <c r="P158" s="3">
        <v>3286</v>
      </c>
      <c r="Q158" s="3">
        <v>3286</v>
      </c>
      <c r="R158">
        <v>40</v>
      </c>
      <c r="S158" s="3">
        <v>3246</v>
      </c>
      <c r="T158" t="s">
        <v>4408</v>
      </c>
      <c r="U158">
        <v>7932908</v>
      </c>
    </row>
    <row r="159" spans="1:21" x14ac:dyDescent="0.25">
      <c r="A159" s="9" t="s">
        <v>4401</v>
      </c>
      <c r="B159" s="10">
        <v>44049</v>
      </c>
      <c r="C159" s="1">
        <v>44048</v>
      </c>
      <c r="D159" t="s">
        <v>4402</v>
      </c>
      <c r="E159" s="11">
        <v>0.375</v>
      </c>
      <c r="F159" s="11">
        <v>0.375</v>
      </c>
      <c r="G159">
        <v>71242</v>
      </c>
      <c r="H159" t="s">
        <v>4564</v>
      </c>
      <c r="I159">
        <v>1</v>
      </c>
      <c r="J159" t="s">
        <v>4404</v>
      </c>
      <c r="K159" t="s">
        <v>4405</v>
      </c>
      <c r="L159" t="s">
        <v>4406</v>
      </c>
      <c r="M159" t="s">
        <v>4407</v>
      </c>
      <c r="N159" t="s">
        <v>60</v>
      </c>
      <c r="O159" t="s">
        <v>34</v>
      </c>
      <c r="P159" s="3">
        <v>2141</v>
      </c>
      <c r="Q159" s="3">
        <v>2141</v>
      </c>
      <c r="R159">
        <v>13</v>
      </c>
      <c r="S159" s="3">
        <v>2128</v>
      </c>
      <c r="T159" t="s">
        <v>4408</v>
      </c>
      <c r="U159">
        <v>7932908</v>
      </c>
    </row>
    <row r="160" spans="1:21" x14ac:dyDescent="0.25">
      <c r="A160" s="9" t="s">
        <v>4401</v>
      </c>
      <c r="B160" s="10">
        <v>44049</v>
      </c>
      <c r="C160" s="1">
        <v>44048</v>
      </c>
      <c r="D160" t="s">
        <v>4402</v>
      </c>
      <c r="E160" s="11">
        <v>0.375</v>
      </c>
      <c r="F160" s="11">
        <v>0.375</v>
      </c>
      <c r="G160">
        <v>71256</v>
      </c>
      <c r="H160" t="s">
        <v>4565</v>
      </c>
      <c r="I160">
        <v>2</v>
      </c>
      <c r="J160" t="s">
        <v>4404</v>
      </c>
      <c r="K160" t="s">
        <v>4405</v>
      </c>
      <c r="L160" t="s">
        <v>4406</v>
      </c>
      <c r="M160" t="s">
        <v>4407</v>
      </c>
      <c r="N160" t="s">
        <v>60</v>
      </c>
      <c r="O160" t="s">
        <v>34</v>
      </c>
      <c r="P160" s="3">
        <v>11760</v>
      </c>
      <c r="Q160" s="3">
        <v>11760</v>
      </c>
      <c r="R160">
        <v>150</v>
      </c>
      <c r="S160" s="3">
        <v>11610</v>
      </c>
      <c r="T160" t="s">
        <v>4408</v>
      </c>
      <c r="U160">
        <v>7932908</v>
      </c>
    </row>
    <row r="161" spans="1:21" x14ac:dyDescent="0.25">
      <c r="A161" s="9" t="s">
        <v>4401</v>
      </c>
      <c r="B161" s="10">
        <v>44049</v>
      </c>
      <c r="C161" s="1">
        <v>44048</v>
      </c>
      <c r="D161" t="s">
        <v>4402</v>
      </c>
      <c r="E161" s="11">
        <v>0.375</v>
      </c>
      <c r="F161" s="11">
        <v>0.375</v>
      </c>
      <c r="G161">
        <v>71287</v>
      </c>
      <c r="H161" t="s">
        <v>4566</v>
      </c>
      <c r="I161" t="s">
        <v>543</v>
      </c>
      <c r="J161" t="s">
        <v>4404</v>
      </c>
      <c r="K161" t="s">
        <v>4405</v>
      </c>
      <c r="L161" t="s">
        <v>4406</v>
      </c>
      <c r="M161" t="s">
        <v>4407</v>
      </c>
      <c r="N161" t="s">
        <v>60</v>
      </c>
      <c r="O161" t="s">
        <v>34</v>
      </c>
      <c r="P161" s="3">
        <v>2826</v>
      </c>
      <c r="Q161" s="3">
        <v>2826</v>
      </c>
      <c r="R161">
        <v>87</v>
      </c>
      <c r="S161" s="3">
        <v>2739</v>
      </c>
      <c r="T161" t="s">
        <v>4408</v>
      </c>
      <c r="U161">
        <v>7932908</v>
      </c>
    </row>
    <row r="162" spans="1:21" x14ac:dyDescent="0.25">
      <c r="A162" s="9" t="s">
        <v>4401</v>
      </c>
      <c r="B162" s="10">
        <v>44049</v>
      </c>
      <c r="C162" s="1">
        <v>44048</v>
      </c>
      <c r="D162" t="s">
        <v>4402</v>
      </c>
      <c r="E162" s="11">
        <v>0.375</v>
      </c>
      <c r="F162" s="11">
        <v>0.375</v>
      </c>
      <c r="G162">
        <v>71288</v>
      </c>
      <c r="H162" t="s">
        <v>4567</v>
      </c>
      <c r="I162" t="s">
        <v>543</v>
      </c>
      <c r="J162" t="s">
        <v>4404</v>
      </c>
      <c r="K162" t="s">
        <v>4405</v>
      </c>
      <c r="L162" t="s">
        <v>4406</v>
      </c>
      <c r="M162" t="s">
        <v>4407</v>
      </c>
      <c r="N162" t="s">
        <v>60</v>
      </c>
      <c r="O162" t="s">
        <v>34</v>
      </c>
      <c r="P162" s="3">
        <v>1980</v>
      </c>
      <c r="Q162" s="3">
        <v>1980</v>
      </c>
      <c r="R162">
        <v>22</v>
      </c>
      <c r="S162" s="3">
        <v>1958</v>
      </c>
      <c r="T162" t="s">
        <v>4408</v>
      </c>
      <c r="U162">
        <v>7932908</v>
      </c>
    </row>
    <row r="163" spans="1:21" x14ac:dyDescent="0.25">
      <c r="A163" s="9" t="s">
        <v>4401</v>
      </c>
      <c r="B163" s="10">
        <v>44049</v>
      </c>
      <c r="C163" s="1">
        <v>44048</v>
      </c>
      <c r="D163" t="s">
        <v>4402</v>
      </c>
      <c r="E163" s="11">
        <v>0.375</v>
      </c>
      <c r="F163" s="11">
        <v>0.375</v>
      </c>
      <c r="G163">
        <v>71290</v>
      </c>
      <c r="H163" t="s">
        <v>4568</v>
      </c>
      <c r="I163" t="s">
        <v>367</v>
      </c>
      <c r="J163" t="s">
        <v>4458</v>
      </c>
      <c r="K163" t="s">
        <v>4459</v>
      </c>
      <c r="L163" t="s">
        <v>4460</v>
      </c>
      <c r="M163" t="s">
        <v>4407</v>
      </c>
      <c r="N163" t="s">
        <v>60</v>
      </c>
      <c r="O163" t="s">
        <v>34</v>
      </c>
      <c r="P163" s="3">
        <v>9739</v>
      </c>
      <c r="Q163" s="3">
        <v>9739</v>
      </c>
      <c r="R163">
        <v>0</v>
      </c>
      <c r="S163" s="3">
        <v>9739</v>
      </c>
      <c r="T163" t="s">
        <v>4408</v>
      </c>
      <c r="U163">
        <v>7932908</v>
      </c>
    </row>
    <row r="164" spans="1:21" x14ac:dyDescent="0.25">
      <c r="A164" s="9" t="s">
        <v>4401</v>
      </c>
      <c r="B164" s="10">
        <v>44049</v>
      </c>
      <c r="C164" s="1">
        <v>44048</v>
      </c>
      <c r="D164" t="s">
        <v>4402</v>
      </c>
      <c r="E164" s="11">
        <v>0.375</v>
      </c>
      <c r="F164" s="11">
        <v>0.375</v>
      </c>
      <c r="G164">
        <v>71293</v>
      </c>
      <c r="H164" t="s">
        <v>4569</v>
      </c>
      <c r="I164">
        <v>1</v>
      </c>
      <c r="J164" t="s">
        <v>4404</v>
      </c>
      <c r="K164" t="s">
        <v>4405</v>
      </c>
      <c r="L164" t="s">
        <v>4406</v>
      </c>
      <c r="M164" t="s">
        <v>4407</v>
      </c>
      <c r="N164" t="s">
        <v>60</v>
      </c>
      <c r="O164" t="s">
        <v>34</v>
      </c>
      <c r="P164" s="3">
        <v>2726</v>
      </c>
      <c r="Q164" s="3">
        <v>2726</v>
      </c>
      <c r="R164">
        <v>100</v>
      </c>
      <c r="S164" s="3">
        <v>2626</v>
      </c>
      <c r="T164" t="s">
        <v>4408</v>
      </c>
      <c r="U164">
        <v>7932908</v>
      </c>
    </row>
    <row r="165" spans="1:21" x14ac:dyDescent="0.25">
      <c r="A165" s="9" t="s">
        <v>4401</v>
      </c>
      <c r="B165" s="10">
        <v>44049</v>
      </c>
      <c r="C165" s="1">
        <v>44048</v>
      </c>
      <c r="D165" t="s">
        <v>4402</v>
      </c>
      <c r="E165" s="11">
        <v>0.375</v>
      </c>
      <c r="F165" s="11">
        <v>0.375</v>
      </c>
      <c r="G165">
        <v>71297</v>
      </c>
      <c r="H165" t="s">
        <v>4570</v>
      </c>
      <c r="I165">
        <v>1</v>
      </c>
      <c r="J165" t="s">
        <v>4404</v>
      </c>
      <c r="K165" t="s">
        <v>4405</v>
      </c>
      <c r="L165" t="s">
        <v>4406</v>
      </c>
      <c r="M165" t="s">
        <v>4407</v>
      </c>
      <c r="N165" t="s">
        <v>60</v>
      </c>
      <c r="O165" t="s">
        <v>34</v>
      </c>
      <c r="P165" s="3">
        <v>1244</v>
      </c>
      <c r="Q165" s="3">
        <v>1244</v>
      </c>
      <c r="R165">
        <v>1</v>
      </c>
      <c r="S165" s="3">
        <v>1243</v>
      </c>
      <c r="T165" t="s">
        <v>4408</v>
      </c>
      <c r="U165">
        <v>7932908</v>
      </c>
    </row>
    <row r="166" spans="1:21" x14ac:dyDescent="0.25">
      <c r="A166" s="9" t="s">
        <v>4401</v>
      </c>
      <c r="B166" s="10">
        <v>44049</v>
      </c>
      <c r="C166" s="1">
        <v>44048</v>
      </c>
      <c r="D166" t="s">
        <v>4402</v>
      </c>
      <c r="E166" s="11">
        <v>0.375</v>
      </c>
      <c r="F166" s="11">
        <v>0.375</v>
      </c>
      <c r="G166">
        <v>71298</v>
      </c>
      <c r="H166" t="s">
        <v>4571</v>
      </c>
      <c r="I166">
        <v>1</v>
      </c>
      <c r="J166" t="s">
        <v>4404</v>
      </c>
      <c r="K166" t="s">
        <v>4405</v>
      </c>
      <c r="L166" t="s">
        <v>4406</v>
      </c>
      <c r="M166" t="s">
        <v>4407</v>
      </c>
      <c r="N166" t="s">
        <v>60</v>
      </c>
      <c r="O166" t="s">
        <v>34</v>
      </c>
      <c r="P166" s="3">
        <v>549003</v>
      </c>
      <c r="Q166" s="3">
        <v>549003</v>
      </c>
      <c r="R166" s="3">
        <v>39157</v>
      </c>
      <c r="S166" s="3">
        <v>509846</v>
      </c>
      <c r="T166" t="s">
        <v>4408</v>
      </c>
      <c r="U166">
        <v>7932908</v>
      </c>
    </row>
    <row r="167" spans="1:21" x14ac:dyDescent="0.25">
      <c r="A167" s="9" t="s">
        <v>4401</v>
      </c>
      <c r="B167" s="10">
        <v>44049</v>
      </c>
      <c r="C167" s="1">
        <v>44048</v>
      </c>
      <c r="D167" t="s">
        <v>4402</v>
      </c>
      <c r="E167" s="11">
        <v>0.375</v>
      </c>
      <c r="F167" s="11">
        <v>0.375</v>
      </c>
      <c r="G167">
        <v>71299</v>
      </c>
      <c r="H167" t="s">
        <v>4572</v>
      </c>
      <c r="I167">
        <v>1</v>
      </c>
      <c r="J167" t="s">
        <v>4404</v>
      </c>
      <c r="K167" t="s">
        <v>4405</v>
      </c>
      <c r="L167" t="s">
        <v>4406</v>
      </c>
      <c r="M167" t="s">
        <v>4407</v>
      </c>
      <c r="N167" t="s">
        <v>60</v>
      </c>
      <c r="O167" t="s">
        <v>34</v>
      </c>
      <c r="P167" s="3">
        <v>635100</v>
      </c>
      <c r="Q167" s="3">
        <v>635100</v>
      </c>
      <c r="R167">
        <v>0</v>
      </c>
      <c r="S167" s="3">
        <v>635100</v>
      </c>
      <c r="T167" t="s">
        <v>4408</v>
      </c>
      <c r="U167">
        <v>7932908</v>
      </c>
    </row>
    <row r="168" spans="1:21" x14ac:dyDescent="0.25">
      <c r="A168" s="9" t="s">
        <v>4401</v>
      </c>
      <c r="B168" s="10">
        <v>44049</v>
      </c>
      <c r="C168" s="1">
        <v>44048</v>
      </c>
      <c r="D168" t="s">
        <v>4402</v>
      </c>
      <c r="E168" s="11">
        <v>0.375</v>
      </c>
      <c r="F168" s="11">
        <v>0.375</v>
      </c>
      <c r="G168">
        <v>71331</v>
      </c>
      <c r="H168" t="s">
        <v>4573</v>
      </c>
      <c r="I168">
        <v>1</v>
      </c>
      <c r="J168" t="s">
        <v>4404</v>
      </c>
      <c r="K168" t="s">
        <v>4405</v>
      </c>
      <c r="L168" t="s">
        <v>4406</v>
      </c>
      <c r="M168" t="s">
        <v>4407</v>
      </c>
      <c r="N168" t="s">
        <v>60</v>
      </c>
      <c r="O168" t="s">
        <v>34</v>
      </c>
      <c r="P168" s="3">
        <v>1617</v>
      </c>
      <c r="Q168" s="3">
        <v>1617</v>
      </c>
      <c r="R168">
        <v>1</v>
      </c>
      <c r="S168" s="3">
        <v>1616</v>
      </c>
      <c r="T168" t="s">
        <v>4408</v>
      </c>
      <c r="U168">
        <v>7932908</v>
      </c>
    </row>
    <row r="169" spans="1:21" x14ac:dyDescent="0.25">
      <c r="A169" s="9" t="s">
        <v>4401</v>
      </c>
      <c r="B169" s="10">
        <v>44049</v>
      </c>
      <c r="C169" s="1">
        <v>44048</v>
      </c>
      <c r="D169" t="s">
        <v>4402</v>
      </c>
      <c r="E169" s="11">
        <v>0.375</v>
      </c>
      <c r="F169" s="11">
        <v>0.375</v>
      </c>
      <c r="G169">
        <v>71353</v>
      </c>
      <c r="H169" t="s">
        <v>4574</v>
      </c>
      <c r="I169">
        <v>2</v>
      </c>
      <c r="J169" t="s">
        <v>4404</v>
      </c>
      <c r="K169" t="s">
        <v>4405</v>
      </c>
      <c r="L169" t="s">
        <v>4406</v>
      </c>
      <c r="M169" t="s">
        <v>4407</v>
      </c>
      <c r="N169" t="s">
        <v>60</v>
      </c>
      <c r="O169" t="s">
        <v>34</v>
      </c>
      <c r="P169" s="3">
        <v>11461</v>
      </c>
      <c r="Q169" s="3">
        <v>11461</v>
      </c>
      <c r="R169" s="3">
        <v>2500</v>
      </c>
      <c r="S169" s="3">
        <v>8961</v>
      </c>
      <c r="T169" t="s">
        <v>4408</v>
      </c>
      <c r="U169">
        <v>7932908</v>
      </c>
    </row>
    <row r="170" spans="1:21" x14ac:dyDescent="0.25">
      <c r="A170" s="9" t="s">
        <v>4401</v>
      </c>
      <c r="B170" s="10">
        <v>44049</v>
      </c>
      <c r="C170" s="1">
        <v>44048</v>
      </c>
      <c r="D170" t="s">
        <v>4402</v>
      </c>
      <c r="E170" s="11">
        <v>0.375</v>
      </c>
      <c r="F170" s="11">
        <v>0.375</v>
      </c>
      <c r="G170">
        <v>71362</v>
      </c>
      <c r="H170" t="s">
        <v>4575</v>
      </c>
      <c r="I170">
        <v>1</v>
      </c>
      <c r="J170" t="s">
        <v>4404</v>
      </c>
      <c r="K170" t="s">
        <v>4405</v>
      </c>
      <c r="L170" t="s">
        <v>4406</v>
      </c>
      <c r="M170" t="s">
        <v>4407</v>
      </c>
      <c r="N170" t="s">
        <v>60</v>
      </c>
      <c r="O170" t="s">
        <v>34</v>
      </c>
      <c r="P170" s="3">
        <v>3246</v>
      </c>
      <c r="Q170" s="3">
        <v>3246</v>
      </c>
      <c r="R170">
        <v>28</v>
      </c>
      <c r="S170" s="3">
        <v>3218</v>
      </c>
      <c r="T170" t="s">
        <v>4408</v>
      </c>
      <c r="U170">
        <v>7932908</v>
      </c>
    </row>
    <row r="171" spans="1:21" x14ac:dyDescent="0.25">
      <c r="A171" s="9" t="s">
        <v>4401</v>
      </c>
      <c r="B171" s="10">
        <v>44049</v>
      </c>
      <c r="C171" s="1">
        <v>44048</v>
      </c>
      <c r="D171" t="s">
        <v>4402</v>
      </c>
      <c r="E171" s="11">
        <v>0.375</v>
      </c>
      <c r="F171" s="11">
        <v>0.375</v>
      </c>
      <c r="G171">
        <v>71363</v>
      </c>
      <c r="H171" t="s">
        <v>4576</v>
      </c>
      <c r="I171">
        <v>3</v>
      </c>
      <c r="J171" t="s">
        <v>4404</v>
      </c>
      <c r="K171" t="s">
        <v>4405</v>
      </c>
      <c r="L171" t="s">
        <v>4406</v>
      </c>
      <c r="M171" t="s">
        <v>4407</v>
      </c>
      <c r="N171" t="s">
        <v>60</v>
      </c>
      <c r="O171" t="s">
        <v>34</v>
      </c>
      <c r="P171" s="3">
        <v>20788</v>
      </c>
      <c r="Q171" s="3">
        <v>20788</v>
      </c>
      <c r="R171">
        <v>638</v>
      </c>
      <c r="S171" s="3">
        <v>20150</v>
      </c>
      <c r="T171" t="s">
        <v>4408</v>
      </c>
      <c r="U171">
        <v>7932908</v>
      </c>
    </row>
    <row r="172" spans="1:21" x14ac:dyDescent="0.25">
      <c r="A172" s="9" t="s">
        <v>4401</v>
      </c>
      <c r="B172" s="10">
        <v>44049</v>
      </c>
      <c r="C172" s="1">
        <v>44048</v>
      </c>
      <c r="D172" t="s">
        <v>4402</v>
      </c>
      <c r="E172" s="11">
        <v>0.375</v>
      </c>
      <c r="F172" s="11">
        <v>0.375</v>
      </c>
      <c r="G172">
        <v>71366</v>
      </c>
      <c r="H172" t="s">
        <v>4577</v>
      </c>
      <c r="I172">
        <v>2</v>
      </c>
      <c r="J172" t="s">
        <v>4404</v>
      </c>
      <c r="K172" t="s">
        <v>4405</v>
      </c>
      <c r="L172" t="s">
        <v>4406</v>
      </c>
      <c r="M172" t="s">
        <v>4407</v>
      </c>
      <c r="N172" t="s">
        <v>60</v>
      </c>
      <c r="O172" t="s">
        <v>34</v>
      </c>
      <c r="P172" s="3">
        <v>2488</v>
      </c>
      <c r="Q172" s="3">
        <v>2488</v>
      </c>
      <c r="R172">
        <v>65</v>
      </c>
      <c r="S172" s="3">
        <v>2423</v>
      </c>
      <c r="T172" t="s">
        <v>4408</v>
      </c>
      <c r="U172">
        <v>7932908</v>
      </c>
    </row>
    <row r="173" spans="1:21" x14ac:dyDescent="0.25">
      <c r="A173" s="9" t="s">
        <v>4401</v>
      </c>
      <c r="B173" s="10">
        <v>44049</v>
      </c>
      <c r="C173" s="1">
        <v>44048</v>
      </c>
      <c r="D173" t="s">
        <v>4402</v>
      </c>
      <c r="E173" s="11">
        <v>0.375</v>
      </c>
      <c r="F173" s="11">
        <v>0.375</v>
      </c>
      <c r="G173">
        <v>71401</v>
      </c>
      <c r="H173" t="s">
        <v>4578</v>
      </c>
      <c r="I173">
        <v>1</v>
      </c>
      <c r="J173" t="s">
        <v>4404</v>
      </c>
      <c r="K173" t="s">
        <v>4405</v>
      </c>
      <c r="L173" t="s">
        <v>4406</v>
      </c>
      <c r="M173" t="s">
        <v>4407</v>
      </c>
      <c r="N173" t="s">
        <v>60</v>
      </c>
      <c r="O173" t="s">
        <v>34</v>
      </c>
      <c r="P173" s="3">
        <v>7334</v>
      </c>
      <c r="Q173" s="3">
        <v>7334</v>
      </c>
      <c r="R173">
        <v>0</v>
      </c>
      <c r="S173" s="3">
        <v>7334</v>
      </c>
      <c r="T173" t="s">
        <v>4408</v>
      </c>
      <c r="U173">
        <v>7932908</v>
      </c>
    </row>
    <row r="174" spans="1:21" x14ac:dyDescent="0.25">
      <c r="A174" s="9" t="s">
        <v>4401</v>
      </c>
      <c r="B174" s="10">
        <v>44049</v>
      </c>
      <c r="C174" s="1">
        <v>44048</v>
      </c>
      <c r="D174" t="s">
        <v>4402</v>
      </c>
      <c r="E174" s="11">
        <v>0.375</v>
      </c>
      <c r="F174" s="11">
        <v>0.375</v>
      </c>
      <c r="G174">
        <v>71402</v>
      </c>
      <c r="H174" t="s">
        <v>4579</v>
      </c>
      <c r="I174">
        <v>1</v>
      </c>
      <c r="J174" t="s">
        <v>4404</v>
      </c>
      <c r="K174" t="s">
        <v>4405</v>
      </c>
      <c r="L174" t="s">
        <v>4406</v>
      </c>
      <c r="M174" t="s">
        <v>4407</v>
      </c>
      <c r="N174" t="s">
        <v>60</v>
      </c>
      <c r="O174" t="s">
        <v>34</v>
      </c>
      <c r="P174" s="3">
        <v>1962</v>
      </c>
      <c r="Q174" s="3">
        <v>1962</v>
      </c>
      <c r="R174">
        <v>5</v>
      </c>
      <c r="S174" s="3">
        <v>1957</v>
      </c>
      <c r="T174" t="s">
        <v>4408</v>
      </c>
      <c r="U174">
        <v>7932908</v>
      </c>
    </row>
    <row r="175" spans="1:21" x14ac:dyDescent="0.25">
      <c r="A175" s="9" t="s">
        <v>4401</v>
      </c>
      <c r="B175" s="10">
        <v>44049</v>
      </c>
      <c r="C175" s="1">
        <v>44048</v>
      </c>
      <c r="D175" t="s">
        <v>4402</v>
      </c>
      <c r="E175" s="11">
        <v>0.375</v>
      </c>
      <c r="F175" s="11">
        <v>0.375</v>
      </c>
      <c r="G175">
        <v>71423</v>
      </c>
      <c r="H175" t="s">
        <v>4580</v>
      </c>
      <c r="I175">
        <v>3</v>
      </c>
      <c r="J175" t="s">
        <v>4404</v>
      </c>
      <c r="K175" t="s">
        <v>4405</v>
      </c>
      <c r="L175" t="s">
        <v>4406</v>
      </c>
      <c r="M175" t="s">
        <v>4407</v>
      </c>
      <c r="N175" t="s">
        <v>60</v>
      </c>
      <c r="O175" t="s">
        <v>34</v>
      </c>
      <c r="P175" s="3">
        <v>54105</v>
      </c>
      <c r="Q175" s="3">
        <v>54105</v>
      </c>
      <c r="R175">
        <v>0</v>
      </c>
      <c r="S175" s="3">
        <v>54105</v>
      </c>
      <c r="T175" t="s">
        <v>4408</v>
      </c>
      <c r="U175">
        <v>7932908</v>
      </c>
    </row>
    <row r="176" spans="1:21" x14ac:dyDescent="0.25">
      <c r="A176" s="9" t="s">
        <v>4401</v>
      </c>
      <c r="B176" s="10">
        <v>44049</v>
      </c>
      <c r="C176" s="1">
        <v>44048</v>
      </c>
      <c r="D176" t="s">
        <v>4402</v>
      </c>
      <c r="E176" s="11">
        <v>0.375</v>
      </c>
      <c r="F176" s="11">
        <v>0.375</v>
      </c>
      <c r="G176">
        <v>71424</v>
      </c>
      <c r="H176" t="s">
        <v>4581</v>
      </c>
      <c r="I176" t="s">
        <v>543</v>
      </c>
      <c r="J176" t="s">
        <v>4404</v>
      </c>
      <c r="K176" t="s">
        <v>4405</v>
      </c>
      <c r="L176" t="s">
        <v>4406</v>
      </c>
      <c r="M176" t="s">
        <v>4407</v>
      </c>
      <c r="N176" t="s">
        <v>60</v>
      </c>
      <c r="O176" t="s">
        <v>34</v>
      </c>
      <c r="P176" s="3">
        <v>8653</v>
      </c>
      <c r="Q176" s="3">
        <v>8653</v>
      </c>
      <c r="R176">
        <v>125</v>
      </c>
      <c r="S176" s="3">
        <v>8528</v>
      </c>
      <c r="T176" t="s">
        <v>4408</v>
      </c>
      <c r="U176">
        <v>7932908</v>
      </c>
    </row>
    <row r="177" spans="1:21" x14ac:dyDescent="0.25">
      <c r="A177" s="9" t="s">
        <v>4401</v>
      </c>
      <c r="B177" s="10">
        <v>44049</v>
      </c>
      <c r="C177" s="1">
        <v>44048</v>
      </c>
      <c r="D177" t="s">
        <v>4402</v>
      </c>
      <c r="E177" s="11">
        <v>0.375</v>
      </c>
      <c r="F177" s="11">
        <v>0.375</v>
      </c>
      <c r="G177">
        <v>71425</v>
      </c>
      <c r="H177" t="s">
        <v>4582</v>
      </c>
      <c r="I177" t="s">
        <v>543</v>
      </c>
      <c r="J177" t="s">
        <v>4404</v>
      </c>
      <c r="K177" t="s">
        <v>4405</v>
      </c>
      <c r="L177" t="s">
        <v>4406</v>
      </c>
      <c r="M177" t="s">
        <v>4407</v>
      </c>
      <c r="N177" t="s">
        <v>60</v>
      </c>
      <c r="O177" t="s">
        <v>34</v>
      </c>
      <c r="P177" s="3">
        <v>2358</v>
      </c>
      <c r="Q177" s="3">
        <v>2358</v>
      </c>
      <c r="R177">
        <v>9</v>
      </c>
      <c r="S177" s="3">
        <v>2349</v>
      </c>
      <c r="T177" t="s">
        <v>4408</v>
      </c>
      <c r="U177">
        <v>7932908</v>
      </c>
    </row>
    <row r="178" spans="1:21" x14ac:dyDescent="0.25">
      <c r="A178" s="9" t="s">
        <v>4401</v>
      </c>
      <c r="B178" s="10">
        <v>44049</v>
      </c>
      <c r="C178" s="1">
        <v>44048</v>
      </c>
      <c r="D178" t="s">
        <v>4402</v>
      </c>
      <c r="E178" s="11">
        <v>0.375</v>
      </c>
      <c r="F178" s="11">
        <v>0.375</v>
      </c>
      <c r="G178">
        <v>71426</v>
      </c>
      <c r="H178" t="s">
        <v>4583</v>
      </c>
      <c r="I178">
        <v>1</v>
      </c>
      <c r="J178" t="s">
        <v>4404</v>
      </c>
      <c r="K178" t="s">
        <v>4405</v>
      </c>
      <c r="L178" t="s">
        <v>4406</v>
      </c>
      <c r="M178" t="s">
        <v>4407</v>
      </c>
      <c r="N178" t="s">
        <v>60</v>
      </c>
      <c r="O178" t="s">
        <v>34</v>
      </c>
      <c r="P178" s="3">
        <v>3922</v>
      </c>
      <c r="Q178" s="3">
        <v>3922</v>
      </c>
      <c r="R178">
        <v>71</v>
      </c>
      <c r="S178" s="3">
        <v>3851</v>
      </c>
      <c r="T178" t="s">
        <v>4408</v>
      </c>
      <c r="U178">
        <v>7932908</v>
      </c>
    </row>
    <row r="179" spans="1:21" x14ac:dyDescent="0.25">
      <c r="A179" s="9" t="s">
        <v>4401</v>
      </c>
      <c r="B179" s="10">
        <v>44049</v>
      </c>
      <c r="C179" s="1">
        <v>44048</v>
      </c>
      <c r="D179" t="s">
        <v>4402</v>
      </c>
      <c r="E179" s="11">
        <v>0.375</v>
      </c>
      <c r="F179" s="11">
        <v>0.375</v>
      </c>
      <c r="G179">
        <v>71430</v>
      </c>
      <c r="H179" t="s">
        <v>4584</v>
      </c>
      <c r="I179">
        <v>1</v>
      </c>
      <c r="J179" t="s">
        <v>4404</v>
      </c>
      <c r="K179" t="s">
        <v>4405</v>
      </c>
      <c r="L179" t="s">
        <v>4406</v>
      </c>
      <c r="M179" t="s">
        <v>4407</v>
      </c>
      <c r="N179" t="s">
        <v>60</v>
      </c>
      <c r="O179" t="s">
        <v>34</v>
      </c>
      <c r="P179" s="3">
        <v>2786</v>
      </c>
      <c r="Q179" s="3">
        <v>2786</v>
      </c>
      <c r="R179">
        <v>0</v>
      </c>
      <c r="S179" s="3">
        <v>2786</v>
      </c>
      <c r="T179" t="s">
        <v>4408</v>
      </c>
      <c r="U179">
        <v>7932908</v>
      </c>
    </row>
    <row r="180" spans="1:21" x14ac:dyDescent="0.25">
      <c r="A180" s="9" t="s">
        <v>4401</v>
      </c>
      <c r="B180" s="10">
        <v>44049</v>
      </c>
      <c r="C180" s="1">
        <v>44048</v>
      </c>
      <c r="D180" t="s">
        <v>4402</v>
      </c>
      <c r="E180" s="11">
        <v>0.375</v>
      </c>
      <c r="F180" s="11">
        <v>0.375</v>
      </c>
      <c r="G180">
        <v>71435</v>
      </c>
      <c r="H180" t="s">
        <v>4585</v>
      </c>
      <c r="I180" t="s">
        <v>187</v>
      </c>
      <c r="J180" t="s">
        <v>4404</v>
      </c>
      <c r="K180" t="s">
        <v>4405</v>
      </c>
      <c r="L180" t="s">
        <v>4406</v>
      </c>
      <c r="M180" t="s">
        <v>4407</v>
      </c>
      <c r="N180" t="s">
        <v>60</v>
      </c>
      <c r="O180" t="s">
        <v>34</v>
      </c>
      <c r="P180" s="3">
        <v>32434</v>
      </c>
      <c r="Q180" s="3">
        <v>32434</v>
      </c>
      <c r="R180">
        <v>4</v>
      </c>
      <c r="S180" s="3">
        <v>32430</v>
      </c>
      <c r="T180" t="s">
        <v>4408</v>
      </c>
      <c r="U180">
        <v>7932908</v>
      </c>
    </row>
    <row r="181" spans="1:21" x14ac:dyDescent="0.25">
      <c r="A181" s="9" t="s">
        <v>4401</v>
      </c>
      <c r="B181" s="10">
        <v>44049</v>
      </c>
      <c r="C181" s="1">
        <v>44048</v>
      </c>
      <c r="D181" t="s">
        <v>4402</v>
      </c>
      <c r="E181" s="11">
        <v>0.375</v>
      </c>
      <c r="F181" s="11">
        <v>0.375</v>
      </c>
      <c r="G181">
        <v>71436</v>
      </c>
      <c r="H181" t="s">
        <v>4586</v>
      </c>
      <c r="I181" t="s">
        <v>187</v>
      </c>
      <c r="J181" t="s">
        <v>4404</v>
      </c>
      <c r="K181" t="s">
        <v>4405</v>
      </c>
      <c r="L181" t="s">
        <v>4406</v>
      </c>
      <c r="M181" t="s">
        <v>4407</v>
      </c>
      <c r="N181" t="s">
        <v>60</v>
      </c>
      <c r="O181" t="s">
        <v>34</v>
      </c>
      <c r="P181" s="3">
        <v>32434</v>
      </c>
      <c r="Q181" s="3">
        <v>32434</v>
      </c>
      <c r="R181">
        <v>70</v>
      </c>
      <c r="S181" s="3">
        <v>32364</v>
      </c>
      <c r="T181" t="s">
        <v>4408</v>
      </c>
      <c r="U181">
        <v>7932908</v>
      </c>
    </row>
    <row r="182" spans="1:21" x14ac:dyDescent="0.25">
      <c r="A182" s="9" t="s">
        <v>4401</v>
      </c>
      <c r="B182" s="10">
        <v>44049</v>
      </c>
      <c r="C182" s="1">
        <v>44048</v>
      </c>
      <c r="D182" t="s">
        <v>4402</v>
      </c>
      <c r="E182" s="11">
        <v>0.375</v>
      </c>
      <c r="F182" s="11">
        <v>0.375</v>
      </c>
      <c r="G182">
        <v>71438</v>
      </c>
      <c r="H182" t="s">
        <v>4587</v>
      </c>
      <c r="I182">
        <v>3</v>
      </c>
      <c r="J182" t="s">
        <v>4404</v>
      </c>
      <c r="K182" t="s">
        <v>4405</v>
      </c>
      <c r="L182" t="s">
        <v>4406</v>
      </c>
      <c r="M182" t="s">
        <v>4407</v>
      </c>
      <c r="N182" t="s">
        <v>60</v>
      </c>
      <c r="O182" t="s">
        <v>34</v>
      </c>
      <c r="P182" s="3">
        <v>32157</v>
      </c>
      <c r="Q182" s="3">
        <v>32157</v>
      </c>
      <c r="R182">
        <v>0</v>
      </c>
      <c r="S182" s="3">
        <v>32157</v>
      </c>
      <c r="T182" t="s">
        <v>4408</v>
      </c>
      <c r="U182">
        <v>7932908</v>
      </c>
    </row>
    <row r="183" spans="1:21" x14ac:dyDescent="0.25">
      <c r="A183" s="9" t="s">
        <v>4401</v>
      </c>
      <c r="B183" s="10">
        <v>44049</v>
      </c>
      <c r="C183" s="1">
        <v>44048</v>
      </c>
      <c r="D183" t="s">
        <v>4402</v>
      </c>
      <c r="E183" s="11">
        <v>0.375</v>
      </c>
      <c r="F183" s="11">
        <v>0.375</v>
      </c>
      <c r="G183">
        <v>71439</v>
      </c>
      <c r="H183" t="s">
        <v>4588</v>
      </c>
      <c r="I183">
        <v>2</v>
      </c>
      <c r="J183" t="s">
        <v>4404</v>
      </c>
      <c r="K183" t="s">
        <v>4405</v>
      </c>
      <c r="L183" t="s">
        <v>4406</v>
      </c>
      <c r="M183" t="s">
        <v>4407</v>
      </c>
      <c r="N183" t="s">
        <v>34</v>
      </c>
      <c r="O183" t="s">
        <v>34</v>
      </c>
      <c r="P183" s="3">
        <v>5878</v>
      </c>
      <c r="Q183" s="3">
        <v>5878</v>
      </c>
      <c r="R183">
        <v>375</v>
      </c>
      <c r="S183" s="3">
        <v>5503</v>
      </c>
      <c r="T183" t="s">
        <v>4408</v>
      </c>
      <c r="U183">
        <v>7932908</v>
      </c>
    </row>
    <row r="184" spans="1:21" x14ac:dyDescent="0.25">
      <c r="A184" s="9" t="s">
        <v>4401</v>
      </c>
      <c r="B184" s="10">
        <v>44049</v>
      </c>
      <c r="C184" s="1">
        <v>44048</v>
      </c>
      <c r="D184" t="s">
        <v>4402</v>
      </c>
      <c r="E184" s="11">
        <v>0.375</v>
      </c>
      <c r="F184" s="11">
        <v>0.375</v>
      </c>
      <c r="G184">
        <v>71455</v>
      </c>
      <c r="H184" t="s">
        <v>4589</v>
      </c>
      <c r="I184">
        <v>3</v>
      </c>
      <c r="J184" t="s">
        <v>4404</v>
      </c>
      <c r="K184" t="s">
        <v>4405</v>
      </c>
      <c r="L184" t="s">
        <v>4406</v>
      </c>
      <c r="M184" t="s">
        <v>4407</v>
      </c>
      <c r="N184" t="s">
        <v>60</v>
      </c>
      <c r="O184" t="s">
        <v>34</v>
      </c>
      <c r="P184" s="3">
        <v>5323</v>
      </c>
      <c r="Q184" s="3">
        <v>5353</v>
      </c>
      <c r="R184">
        <v>0</v>
      </c>
      <c r="S184" s="3">
        <v>5353</v>
      </c>
      <c r="T184" t="s">
        <v>4408</v>
      </c>
      <c r="U184">
        <v>7932908</v>
      </c>
    </row>
    <row r="185" spans="1:21" x14ac:dyDescent="0.25">
      <c r="A185" s="9" t="s">
        <v>4401</v>
      </c>
      <c r="B185" s="10">
        <v>44049</v>
      </c>
      <c r="C185" s="1">
        <v>44048</v>
      </c>
      <c r="D185" t="s">
        <v>4402</v>
      </c>
      <c r="E185" s="11">
        <v>0.375</v>
      </c>
      <c r="F185" s="11">
        <v>0.375</v>
      </c>
      <c r="G185">
        <v>71461</v>
      </c>
      <c r="H185" t="s">
        <v>4590</v>
      </c>
      <c r="I185">
        <v>3</v>
      </c>
      <c r="J185" t="s">
        <v>4404</v>
      </c>
      <c r="K185" t="s">
        <v>4405</v>
      </c>
      <c r="L185" t="s">
        <v>4406</v>
      </c>
      <c r="M185" t="s">
        <v>4407</v>
      </c>
      <c r="N185" t="s">
        <v>60</v>
      </c>
      <c r="O185" t="s">
        <v>34</v>
      </c>
      <c r="P185" s="3">
        <v>10922</v>
      </c>
      <c r="Q185" s="3">
        <v>10922</v>
      </c>
      <c r="R185" s="3">
        <v>1297</v>
      </c>
      <c r="S185" s="3">
        <v>9625</v>
      </c>
      <c r="T185" t="s">
        <v>4408</v>
      </c>
      <c r="U185">
        <v>7932908</v>
      </c>
    </row>
    <row r="186" spans="1:21" x14ac:dyDescent="0.25">
      <c r="A186" s="9" t="s">
        <v>4401</v>
      </c>
      <c r="B186" s="10">
        <v>44049</v>
      </c>
      <c r="C186" s="1">
        <v>44048</v>
      </c>
      <c r="D186" t="s">
        <v>4402</v>
      </c>
      <c r="E186" s="11">
        <v>0.375</v>
      </c>
      <c r="F186" s="11">
        <v>0.375</v>
      </c>
      <c r="G186">
        <v>71463</v>
      </c>
      <c r="H186" t="s">
        <v>4591</v>
      </c>
      <c r="I186">
        <v>1</v>
      </c>
      <c r="J186" t="s">
        <v>4404</v>
      </c>
      <c r="K186" t="s">
        <v>4405</v>
      </c>
      <c r="L186" t="s">
        <v>4406</v>
      </c>
      <c r="M186" t="s">
        <v>4407</v>
      </c>
      <c r="N186" t="s">
        <v>60</v>
      </c>
      <c r="O186" t="s">
        <v>34</v>
      </c>
      <c r="P186" s="3">
        <v>8090</v>
      </c>
      <c r="Q186" s="3">
        <v>8090</v>
      </c>
      <c r="R186">
        <v>39</v>
      </c>
      <c r="S186" s="3">
        <v>8051</v>
      </c>
      <c r="T186" t="s">
        <v>4408</v>
      </c>
      <c r="U186">
        <v>7932908</v>
      </c>
    </row>
    <row r="187" spans="1:21" x14ac:dyDescent="0.25">
      <c r="A187" s="9" t="s">
        <v>4401</v>
      </c>
      <c r="B187" s="10">
        <v>44049</v>
      </c>
      <c r="C187" s="1">
        <v>44048</v>
      </c>
      <c r="D187" t="s">
        <v>4402</v>
      </c>
      <c r="E187" s="11">
        <v>0.375</v>
      </c>
      <c r="F187" s="11">
        <v>0.375</v>
      </c>
      <c r="G187">
        <v>71464</v>
      </c>
      <c r="H187" t="s">
        <v>4592</v>
      </c>
      <c r="I187">
        <v>3</v>
      </c>
      <c r="J187" t="s">
        <v>4404</v>
      </c>
      <c r="K187" t="s">
        <v>4405</v>
      </c>
      <c r="L187" t="s">
        <v>4406</v>
      </c>
      <c r="M187" t="s">
        <v>4407</v>
      </c>
      <c r="N187" t="s">
        <v>60</v>
      </c>
      <c r="O187" t="s">
        <v>34</v>
      </c>
      <c r="P187" s="3">
        <v>96299</v>
      </c>
      <c r="Q187" s="3">
        <v>96299</v>
      </c>
      <c r="R187" s="3">
        <v>2883</v>
      </c>
      <c r="S187" s="3">
        <v>93416</v>
      </c>
      <c r="T187" t="s">
        <v>4408</v>
      </c>
      <c r="U187">
        <v>7932908</v>
      </c>
    </row>
    <row r="188" spans="1:21" x14ac:dyDescent="0.25">
      <c r="A188" s="9" t="s">
        <v>4401</v>
      </c>
      <c r="B188" s="10">
        <v>44049</v>
      </c>
      <c r="C188" s="1">
        <v>44048</v>
      </c>
      <c r="D188" t="s">
        <v>4402</v>
      </c>
      <c r="E188" s="11">
        <v>0.375</v>
      </c>
      <c r="F188" s="11">
        <v>0.375</v>
      </c>
      <c r="G188">
        <v>71469</v>
      </c>
      <c r="H188" t="s">
        <v>4593</v>
      </c>
      <c r="I188">
        <v>1</v>
      </c>
      <c r="J188" t="s">
        <v>4404</v>
      </c>
      <c r="K188" t="s">
        <v>4405</v>
      </c>
      <c r="L188" t="s">
        <v>4406</v>
      </c>
      <c r="M188" t="s">
        <v>4407</v>
      </c>
      <c r="N188" t="s">
        <v>60</v>
      </c>
      <c r="O188" t="s">
        <v>34</v>
      </c>
      <c r="P188" s="3">
        <v>4809</v>
      </c>
      <c r="Q188" s="3">
        <v>4809</v>
      </c>
      <c r="R188">
        <v>1</v>
      </c>
      <c r="S188" s="3">
        <v>4808</v>
      </c>
      <c r="T188" t="s">
        <v>4408</v>
      </c>
      <c r="U188">
        <v>7932908</v>
      </c>
    </row>
    <row r="189" spans="1:21" x14ac:dyDescent="0.25">
      <c r="A189" s="9" t="s">
        <v>4401</v>
      </c>
      <c r="B189" s="10">
        <v>44049</v>
      </c>
      <c r="C189" s="1">
        <v>44048</v>
      </c>
      <c r="D189" t="s">
        <v>4402</v>
      </c>
      <c r="E189" s="11">
        <v>0.375</v>
      </c>
      <c r="F189" s="11">
        <v>0.375</v>
      </c>
      <c r="G189">
        <v>71473</v>
      </c>
      <c r="H189" t="s">
        <v>4594</v>
      </c>
      <c r="I189" t="s">
        <v>680</v>
      </c>
      <c r="J189" t="s">
        <v>4404</v>
      </c>
      <c r="K189" t="s">
        <v>4405</v>
      </c>
      <c r="L189" t="s">
        <v>4406</v>
      </c>
      <c r="M189" t="s">
        <v>4407</v>
      </c>
      <c r="N189" t="s">
        <v>60</v>
      </c>
      <c r="O189" t="s">
        <v>34</v>
      </c>
      <c r="P189">
        <v>720</v>
      </c>
      <c r="Q189">
        <v>720</v>
      </c>
      <c r="R189">
        <v>99</v>
      </c>
      <c r="S189">
        <v>621</v>
      </c>
      <c r="T189" t="s">
        <v>4408</v>
      </c>
      <c r="U189">
        <v>7932908</v>
      </c>
    </row>
    <row r="190" spans="1:21" x14ac:dyDescent="0.25">
      <c r="A190" s="9" t="s">
        <v>4401</v>
      </c>
      <c r="B190" s="10">
        <v>44049</v>
      </c>
      <c r="C190" s="1">
        <v>44048</v>
      </c>
      <c r="D190" t="s">
        <v>4402</v>
      </c>
      <c r="E190" s="11">
        <v>0.375</v>
      </c>
      <c r="F190" s="11">
        <v>0.375</v>
      </c>
      <c r="G190">
        <v>71485</v>
      </c>
      <c r="H190" t="s">
        <v>4595</v>
      </c>
      <c r="I190" t="s">
        <v>680</v>
      </c>
      <c r="J190" t="s">
        <v>4404</v>
      </c>
      <c r="K190" t="s">
        <v>4405</v>
      </c>
      <c r="L190" t="s">
        <v>4406</v>
      </c>
      <c r="M190" t="s">
        <v>4407</v>
      </c>
      <c r="N190" t="s">
        <v>60</v>
      </c>
      <c r="O190" t="s">
        <v>34</v>
      </c>
      <c r="P190" s="3">
        <v>152656</v>
      </c>
      <c r="Q190" s="3">
        <v>152656</v>
      </c>
      <c r="R190">
        <v>0</v>
      </c>
      <c r="S190" s="3">
        <v>152656</v>
      </c>
      <c r="T190" t="s">
        <v>4408</v>
      </c>
      <c r="U190">
        <v>7932908</v>
      </c>
    </row>
    <row r="191" spans="1:21" x14ac:dyDescent="0.25">
      <c r="A191" s="9" t="s">
        <v>4401</v>
      </c>
      <c r="B191" s="10">
        <v>44049</v>
      </c>
      <c r="C191" s="1">
        <v>44048</v>
      </c>
      <c r="D191" t="s">
        <v>4402</v>
      </c>
      <c r="E191" s="11">
        <v>0.375</v>
      </c>
      <c r="F191" s="11">
        <v>0.375</v>
      </c>
      <c r="G191">
        <v>71486</v>
      </c>
      <c r="H191" t="s">
        <v>4596</v>
      </c>
      <c r="I191" t="s">
        <v>543</v>
      </c>
      <c r="J191" t="s">
        <v>4458</v>
      </c>
      <c r="K191" t="s">
        <v>4459</v>
      </c>
      <c r="L191" t="s">
        <v>4460</v>
      </c>
      <c r="M191" t="s">
        <v>4407</v>
      </c>
      <c r="N191" t="s">
        <v>60</v>
      </c>
      <c r="O191" t="s">
        <v>34</v>
      </c>
      <c r="P191" s="3">
        <v>399596</v>
      </c>
      <c r="Q191" s="3">
        <v>399596</v>
      </c>
      <c r="R191" s="3">
        <v>25000</v>
      </c>
      <c r="S191" s="3">
        <v>374596</v>
      </c>
      <c r="T191" t="s">
        <v>4408</v>
      </c>
      <c r="U191">
        <v>7932908</v>
      </c>
    </row>
    <row r="192" spans="1:21" x14ac:dyDescent="0.25">
      <c r="A192" s="9" t="s">
        <v>4401</v>
      </c>
      <c r="B192" s="10">
        <v>44049</v>
      </c>
      <c r="C192" s="1">
        <v>44048</v>
      </c>
      <c r="D192" t="s">
        <v>4402</v>
      </c>
      <c r="E192" s="11">
        <v>0.375</v>
      </c>
      <c r="F192" s="11">
        <v>0.375</v>
      </c>
      <c r="G192">
        <v>71497</v>
      </c>
      <c r="H192" t="s">
        <v>4597</v>
      </c>
      <c r="I192" t="s">
        <v>543</v>
      </c>
      <c r="J192" t="s">
        <v>4404</v>
      </c>
      <c r="K192" t="s">
        <v>4405</v>
      </c>
      <c r="L192" t="s">
        <v>4406</v>
      </c>
      <c r="M192" t="s">
        <v>4407</v>
      </c>
      <c r="N192" t="s">
        <v>60</v>
      </c>
      <c r="O192" t="s">
        <v>34</v>
      </c>
      <c r="P192" s="3">
        <v>44669</v>
      </c>
      <c r="Q192" s="3">
        <v>44669</v>
      </c>
      <c r="R192">
        <v>0</v>
      </c>
      <c r="S192" s="3">
        <v>44669</v>
      </c>
      <c r="T192" t="s">
        <v>4408</v>
      </c>
      <c r="U192">
        <v>7932908</v>
      </c>
    </row>
    <row r="193" spans="1:21" x14ac:dyDescent="0.25">
      <c r="A193" s="9" t="s">
        <v>4401</v>
      </c>
      <c r="B193" s="10">
        <v>44049</v>
      </c>
      <c r="C193" s="1">
        <v>44048</v>
      </c>
      <c r="D193" t="s">
        <v>4402</v>
      </c>
      <c r="E193" s="11">
        <v>0.375</v>
      </c>
      <c r="F193" s="11">
        <v>0.375</v>
      </c>
      <c r="G193">
        <v>71503</v>
      </c>
      <c r="H193" t="s">
        <v>4598</v>
      </c>
      <c r="I193" t="s">
        <v>543</v>
      </c>
      <c r="J193" t="s">
        <v>4458</v>
      </c>
      <c r="K193" t="s">
        <v>4459</v>
      </c>
      <c r="L193" t="s">
        <v>4460</v>
      </c>
      <c r="M193" t="s">
        <v>4407</v>
      </c>
      <c r="N193" t="s">
        <v>60</v>
      </c>
      <c r="O193" t="s">
        <v>34</v>
      </c>
      <c r="P193" s="3">
        <v>9291</v>
      </c>
      <c r="Q193" s="3">
        <v>9291</v>
      </c>
      <c r="R193">
        <v>200</v>
      </c>
      <c r="S193" s="3">
        <v>9091</v>
      </c>
      <c r="T193" t="s">
        <v>4408</v>
      </c>
      <c r="U193">
        <v>7932908</v>
      </c>
    </row>
    <row r="194" spans="1:21" x14ac:dyDescent="0.25">
      <c r="A194" s="9" t="s">
        <v>4401</v>
      </c>
      <c r="B194" s="10">
        <v>44049</v>
      </c>
      <c r="C194" s="1">
        <v>44048</v>
      </c>
      <c r="D194" t="s">
        <v>4402</v>
      </c>
      <c r="E194" s="11">
        <v>0.375</v>
      </c>
      <c r="F194" s="11">
        <v>0.375</v>
      </c>
      <c r="G194">
        <v>71512</v>
      </c>
      <c r="H194" t="s">
        <v>4599</v>
      </c>
      <c r="I194">
        <v>1</v>
      </c>
      <c r="J194" t="s">
        <v>4404</v>
      </c>
      <c r="K194" t="s">
        <v>4405</v>
      </c>
      <c r="L194" t="s">
        <v>4406</v>
      </c>
      <c r="M194" t="s">
        <v>4407</v>
      </c>
      <c r="N194" t="s">
        <v>60</v>
      </c>
      <c r="O194" t="s">
        <v>34</v>
      </c>
      <c r="P194" s="3">
        <v>1953</v>
      </c>
      <c r="Q194" s="3">
        <v>1953</v>
      </c>
      <c r="R194">
        <v>0</v>
      </c>
      <c r="S194" s="3">
        <v>1953</v>
      </c>
      <c r="T194" t="s">
        <v>4408</v>
      </c>
      <c r="U194">
        <v>7932908</v>
      </c>
    </row>
    <row r="195" spans="1:21" x14ac:dyDescent="0.25">
      <c r="A195" s="9" t="s">
        <v>4401</v>
      </c>
      <c r="B195" s="10">
        <v>44049</v>
      </c>
      <c r="C195" s="1">
        <v>44048</v>
      </c>
      <c r="D195" t="s">
        <v>4402</v>
      </c>
      <c r="E195" s="11">
        <v>0.375</v>
      </c>
      <c r="F195" s="11">
        <v>0.375</v>
      </c>
      <c r="G195">
        <v>71528</v>
      </c>
      <c r="H195" t="s">
        <v>4600</v>
      </c>
      <c r="I195">
        <v>3</v>
      </c>
      <c r="J195" t="s">
        <v>4404</v>
      </c>
      <c r="K195" t="s">
        <v>4405</v>
      </c>
      <c r="L195" t="s">
        <v>4406</v>
      </c>
      <c r="M195" t="s">
        <v>4407</v>
      </c>
      <c r="N195" t="s">
        <v>60</v>
      </c>
      <c r="O195" t="s">
        <v>34</v>
      </c>
      <c r="P195" s="3">
        <v>20248</v>
      </c>
      <c r="Q195" s="3">
        <v>20248</v>
      </c>
      <c r="R195" s="3">
        <v>1505</v>
      </c>
      <c r="S195" s="3">
        <v>18743</v>
      </c>
      <c r="T195" t="s">
        <v>4408</v>
      </c>
      <c r="U195">
        <v>7932908</v>
      </c>
    </row>
    <row r="196" spans="1:21" x14ac:dyDescent="0.25">
      <c r="A196" s="9" t="s">
        <v>4401</v>
      </c>
      <c r="B196" s="10">
        <v>44049</v>
      </c>
      <c r="C196" s="1">
        <v>44048</v>
      </c>
      <c r="D196" t="s">
        <v>4402</v>
      </c>
      <c r="E196" s="11">
        <v>0.375</v>
      </c>
      <c r="F196" s="11">
        <v>0.375</v>
      </c>
      <c r="G196">
        <v>71579</v>
      </c>
      <c r="H196" t="s">
        <v>4601</v>
      </c>
      <c r="I196" t="s">
        <v>680</v>
      </c>
      <c r="J196" t="s">
        <v>4458</v>
      </c>
      <c r="K196" t="s">
        <v>4459</v>
      </c>
      <c r="L196" t="s">
        <v>4460</v>
      </c>
      <c r="M196" t="s">
        <v>4407</v>
      </c>
      <c r="N196" t="s">
        <v>60</v>
      </c>
      <c r="O196" t="s">
        <v>34</v>
      </c>
      <c r="P196" s="3">
        <v>60560</v>
      </c>
      <c r="Q196" s="3">
        <v>63581</v>
      </c>
      <c r="R196">
        <v>0</v>
      </c>
      <c r="S196" s="3">
        <v>63581</v>
      </c>
      <c r="T196" t="s">
        <v>4408</v>
      </c>
      <c r="U196">
        <v>7932908</v>
      </c>
    </row>
    <row r="197" spans="1:21" x14ac:dyDescent="0.25">
      <c r="A197" s="9" t="s">
        <v>4401</v>
      </c>
      <c r="B197" s="10">
        <v>44049</v>
      </c>
      <c r="C197" s="1">
        <v>44048</v>
      </c>
      <c r="D197" t="s">
        <v>4402</v>
      </c>
      <c r="E197" s="11">
        <v>0.375</v>
      </c>
      <c r="F197" s="11">
        <v>0.375</v>
      </c>
      <c r="G197">
        <v>71607</v>
      </c>
      <c r="H197" t="s">
        <v>4602</v>
      </c>
      <c r="I197" t="s">
        <v>367</v>
      </c>
      <c r="J197" t="s">
        <v>4458</v>
      </c>
      <c r="K197" t="s">
        <v>4459</v>
      </c>
      <c r="L197" t="s">
        <v>4460</v>
      </c>
      <c r="M197" t="s">
        <v>4407</v>
      </c>
      <c r="N197" t="s">
        <v>60</v>
      </c>
      <c r="O197" t="s">
        <v>34</v>
      </c>
      <c r="P197" s="3">
        <v>9733</v>
      </c>
      <c r="Q197" s="3">
        <v>9733</v>
      </c>
      <c r="R197">
        <v>0</v>
      </c>
      <c r="S197" s="3">
        <v>9733</v>
      </c>
      <c r="T197" t="s">
        <v>4408</v>
      </c>
      <c r="U197">
        <v>7932908</v>
      </c>
    </row>
    <row r="198" spans="1:21" x14ac:dyDescent="0.25">
      <c r="A198" s="9" t="s">
        <v>4401</v>
      </c>
      <c r="B198" s="10">
        <v>44049</v>
      </c>
      <c r="C198" s="1">
        <v>44048</v>
      </c>
      <c r="D198" t="s">
        <v>4402</v>
      </c>
      <c r="E198" s="11">
        <v>0.375</v>
      </c>
      <c r="F198" s="11">
        <v>0.375</v>
      </c>
      <c r="G198">
        <v>71616</v>
      </c>
      <c r="H198" t="s">
        <v>4603</v>
      </c>
      <c r="I198">
        <v>2</v>
      </c>
      <c r="J198" t="s">
        <v>4458</v>
      </c>
      <c r="K198" t="s">
        <v>4459</v>
      </c>
      <c r="L198" t="s">
        <v>4460</v>
      </c>
      <c r="M198" t="s">
        <v>4407</v>
      </c>
      <c r="N198" t="s">
        <v>60</v>
      </c>
      <c r="O198" t="s">
        <v>34</v>
      </c>
      <c r="P198" s="3">
        <v>280765</v>
      </c>
      <c r="Q198" s="3">
        <v>280765</v>
      </c>
      <c r="R198" s="3">
        <v>1185</v>
      </c>
      <c r="S198" s="3">
        <v>279580</v>
      </c>
      <c r="T198" t="s">
        <v>4408</v>
      </c>
      <c r="U198">
        <v>7932908</v>
      </c>
    </row>
    <row r="199" spans="1:21" x14ac:dyDescent="0.25">
      <c r="A199" s="9" t="s">
        <v>4401</v>
      </c>
      <c r="B199" s="10">
        <v>44049</v>
      </c>
      <c r="C199" s="1">
        <v>44048</v>
      </c>
      <c r="D199" t="s">
        <v>4402</v>
      </c>
      <c r="E199" s="11">
        <v>0.375</v>
      </c>
      <c r="F199" s="11">
        <v>0.375</v>
      </c>
      <c r="G199">
        <v>71655</v>
      </c>
      <c r="H199" t="s">
        <v>4604</v>
      </c>
      <c r="I199">
        <v>2</v>
      </c>
      <c r="J199" t="s">
        <v>4605</v>
      </c>
      <c r="K199" t="s">
        <v>4606</v>
      </c>
      <c r="L199" t="s">
        <v>4607</v>
      </c>
      <c r="M199" t="s">
        <v>4407</v>
      </c>
      <c r="N199" t="s">
        <v>60</v>
      </c>
      <c r="O199" t="s">
        <v>34</v>
      </c>
      <c r="P199" s="3">
        <v>694652</v>
      </c>
      <c r="Q199" s="3">
        <v>694652</v>
      </c>
      <c r="R199">
        <v>262</v>
      </c>
      <c r="S199" s="3">
        <v>694390</v>
      </c>
      <c r="T199" t="s">
        <v>4408</v>
      </c>
      <c r="U199">
        <v>7932908</v>
      </c>
    </row>
    <row r="200" spans="1:21" x14ac:dyDescent="0.25">
      <c r="A200" s="9" t="s">
        <v>4401</v>
      </c>
      <c r="B200" s="10">
        <v>44049</v>
      </c>
      <c r="C200" s="1">
        <v>44048</v>
      </c>
      <c r="D200" t="s">
        <v>4402</v>
      </c>
      <c r="E200" s="11">
        <v>0.375</v>
      </c>
      <c r="F200" s="11">
        <v>0.375</v>
      </c>
      <c r="G200">
        <v>71671</v>
      </c>
      <c r="H200" t="s">
        <v>4608</v>
      </c>
      <c r="I200">
        <v>3</v>
      </c>
      <c r="J200" t="s">
        <v>4404</v>
      </c>
      <c r="K200" t="s">
        <v>4405</v>
      </c>
      <c r="L200" t="s">
        <v>4406</v>
      </c>
      <c r="M200" t="s">
        <v>4407</v>
      </c>
      <c r="N200" t="s">
        <v>60</v>
      </c>
      <c r="O200" t="s">
        <v>34</v>
      </c>
      <c r="P200" s="3">
        <v>76328</v>
      </c>
      <c r="Q200" s="3">
        <v>76328</v>
      </c>
      <c r="R200">
        <v>0</v>
      </c>
      <c r="S200" s="3">
        <v>76328</v>
      </c>
      <c r="T200" t="s">
        <v>4408</v>
      </c>
      <c r="U200">
        <v>7932908</v>
      </c>
    </row>
    <row r="201" spans="1:21" x14ac:dyDescent="0.25">
      <c r="A201" s="9" t="s">
        <v>4401</v>
      </c>
      <c r="B201" s="10">
        <v>44049</v>
      </c>
      <c r="C201" s="1">
        <v>44048</v>
      </c>
      <c r="D201" t="s">
        <v>4402</v>
      </c>
      <c r="E201" s="11">
        <v>0.375</v>
      </c>
      <c r="F201" s="11">
        <v>0.375</v>
      </c>
      <c r="G201">
        <v>71682</v>
      </c>
      <c r="H201" t="s">
        <v>4609</v>
      </c>
      <c r="I201">
        <v>3</v>
      </c>
      <c r="J201" t="s">
        <v>4404</v>
      </c>
      <c r="K201" t="s">
        <v>4405</v>
      </c>
      <c r="L201" t="s">
        <v>4406</v>
      </c>
      <c r="M201" t="s">
        <v>4407</v>
      </c>
      <c r="N201" t="s">
        <v>60</v>
      </c>
      <c r="O201" t="s">
        <v>34</v>
      </c>
      <c r="P201" s="3">
        <v>12212</v>
      </c>
      <c r="Q201" s="3">
        <v>12212</v>
      </c>
      <c r="R201">
        <v>0</v>
      </c>
      <c r="S201" s="3">
        <v>12212</v>
      </c>
      <c r="T201" t="s">
        <v>4408</v>
      </c>
      <c r="U201">
        <v>7932908</v>
      </c>
    </row>
    <row r="202" spans="1:21" x14ac:dyDescent="0.25">
      <c r="A202" s="9" t="s">
        <v>4401</v>
      </c>
      <c r="B202" s="10">
        <v>44049</v>
      </c>
      <c r="C202" s="1">
        <v>44048</v>
      </c>
      <c r="D202" t="s">
        <v>4402</v>
      </c>
      <c r="E202" s="11">
        <v>0.375</v>
      </c>
      <c r="F202" s="11">
        <v>0.375</v>
      </c>
      <c r="G202">
        <v>71704</v>
      </c>
      <c r="H202" t="s">
        <v>4610</v>
      </c>
      <c r="I202" t="s">
        <v>543</v>
      </c>
      <c r="J202" t="s">
        <v>4404</v>
      </c>
      <c r="K202" t="s">
        <v>4405</v>
      </c>
      <c r="L202" t="s">
        <v>4406</v>
      </c>
      <c r="M202" t="s">
        <v>4407</v>
      </c>
      <c r="N202" t="s">
        <v>60</v>
      </c>
      <c r="O202" t="s">
        <v>34</v>
      </c>
      <c r="P202" s="3">
        <v>37177</v>
      </c>
      <c r="Q202" s="3">
        <v>37177</v>
      </c>
      <c r="R202">
        <v>0</v>
      </c>
      <c r="S202" s="3">
        <v>37177</v>
      </c>
      <c r="T202" t="s">
        <v>4408</v>
      </c>
      <c r="U202">
        <v>7932908</v>
      </c>
    </row>
    <row r="203" spans="1:21" x14ac:dyDescent="0.25">
      <c r="A203" s="9" t="s">
        <v>4401</v>
      </c>
      <c r="B203" s="10">
        <v>44049</v>
      </c>
      <c r="C203" s="1">
        <v>44048</v>
      </c>
      <c r="D203" t="s">
        <v>4402</v>
      </c>
      <c r="E203" s="11">
        <v>0.375</v>
      </c>
      <c r="F203" s="11">
        <v>0.375</v>
      </c>
      <c r="G203">
        <v>71706</v>
      </c>
      <c r="H203" t="s">
        <v>4611</v>
      </c>
      <c r="I203" t="s">
        <v>187</v>
      </c>
      <c r="J203" t="s">
        <v>4458</v>
      </c>
      <c r="K203" t="s">
        <v>4459</v>
      </c>
      <c r="L203" t="s">
        <v>4460</v>
      </c>
      <c r="M203" t="s">
        <v>4407</v>
      </c>
      <c r="N203" t="s">
        <v>60</v>
      </c>
      <c r="O203" t="s">
        <v>34</v>
      </c>
      <c r="P203" s="3">
        <v>16726</v>
      </c>
      <c r="Q203" s="3">
        <v>16726</v>
      </c>
      <c r="R203">
        <v>420</v>
      </c>
      <c r="S203" s="3">
        <v>16306</v>
      </c>
      <c r="T203" t="s">
        <v>4408</v>
      </c>
      <c r="U203">
        <v>7932908</v>
      </c>
    </row>
    <row r="204" spans="1:21" x14ac:dyDescent="0.25">
      <c r="A204" s="9" t="s">
        <v>4401</v>
      </c>
      <c r="B204" s="10">
        <v>44049</v>
      </c>
      <c r="C204" s="1">
        <v>44048</v>
      </c>
      <c r="D204" t="s">
        <v>4402</v>
      </c>
      <c r="E204" s="11">
        <v>0.375</v>
      </c>
      <c r="F204" s="11">
        <v>0.375</v>
      </c>
      <c r="G204">
        <v>71709</v>
      </c>
      <c r="H204" t="s">
        <v>4612</v>
      </c>
      <c r="I204" t="s">
        <v>187</v>
      </c>
      <c r="J204" t="s">
        <v>4404</v>
      </c>
      <c r="K204" t="s">
        <v>4405</v>
      </c>
      <c r="L204" t="s">
        <v>4406</v>
      </c>
      <c r="M204" t="s">
        <v>4407</v>
      </c>
      <c r="N204" t="s">
        <v>60</v>
      </c>
      <c r="O204" t="s">
        <v>34</v>
      </c>
      <c r="P204" s="3">
        <v>5085</v>
      </c>
      <c r="Q204" s="3">
        <v>5085</v>
      </c>
      <c r="R204">
        <v>0</v>
      </c>
      <c r="S204" s="3">
        <v>5085</v>
      </c>
      <c r="T204" t="s">
        <v>4408</v>
      </c>
      <c r="U204">
        <v>7932908</v>
      </c>
    </row>
    <row r="205" spans="1:21" x14ac:dyDescent="0.25">
      <c r="A205" s="9" t="s">
        <v>4401</v>
      </c>
      <c r="B205" s="10">
        <v>44049</v>
      </c>
      <c r="C205" s="1">
        <v>44048</v>
      </c>
      <c r="D205" t="s">
        <v>4402</v>
      </c>
      <c r="E205" s="11">
        <v>0.375</v>
      </c>
      <c r="F205" s="11">
        <v>0.375</v>
      </c>
      <c r="G205">
        <v>71716</v>
      </c>
      <c r="H205" t="s">
        <v>4613</v>
      </c>
      <c r="I205" t="s">
        <v>680</v>
      </c>
      <c r="J205" t="s">
        <v>4458</v>
      </c>
      <c r="K205" t="s">
        <v>4459</v>
      </c>
      <c r="L205" t="s">
        <v>4460</v>
      </c>
      <c r="M205" t="s">
        <v>4407</v>
      </c>
      <c r="N205" t="s">
        <v>60</v>
      </c>
      <c r="O205" t="s">
        <v>34</v>
      </c>
      <c r="P205" s="3">
        <v>266391</v>
      </c>
      <c r="Q205" s="3">
        <v>266391</v>
      </c>
      <c r="R205">
        <v>0</v>
      </c>
      <c r="S205" s="3">
        <v>266391</v>
      </c>
      <c r="T205" t="s">
        <v>4408</v>
      </c>
      <c r="U205">
        <v>7932908</v>
      </c>
    </row>
    <row r="206" spans="1:21" x14ac:dyDescent="0.25">
      <c r="A206" s="9" t="s">
        <v>4401</v>
      </c>
      <c r="B206" s="10">
        <v>44049</v>
      </c>
      <c r="C206" s="1">
        <v>44048</v>
      </c>
      <c r="D206" t="s">
        <v>4402</v>
      </c>
      <c r="E206" s="11">
        <v>0.375</v>
      </c>
      <c r="F206" s="11">
        <v>0.375</v>
      </c>
      <c r="G206">
        <v>71744</v>
      </c>
      <c r="H206" t="s">
        <v>4614</v>
      </c>
      <c r="I206">
        <v>3</v>
      </c>
      <c r="J206" t="s">
        <v>4404</v>
      </c>
      <c r="K206" t="s">
        <v>4405</v>
      </c>
      <c r="L206" t="s">
        <v>4406</v>
      </c>
      <c r="M206" t="s">
        <v>4407</v>
      </c>
      <c r="N206" t="s">
        <v>60</v>
      </c>
      <c r="O206" t="s">
        <v>34</v>
      </c>
      <c r="P206" s="3">
        <v>377137</v>
      </c>
      <c r="Q206" s="3">
        <v>377137</v>
      </c>
      <c r="R206">
        <v>0</v>
      </c>
      <c r="S206" s="3">
        <v>377137</v>
      </c>
      <c r="T206" t="s">
        <v>4408</v>
      </c>
      <c r="U206">
        <v>7932908</v>
      </c>
    </row>
    <row r="207" spans="1:21" x14ac:dyDescent="0.25">
      <c r="A207" s="9" t="s">
        <v>4401</v>
      </c>
      <c r="B207" s="10">
        <v>44049</v>
      </c>
      <c r="C207" s="1">
        <v>44048</v>
      </c>
      <c r="D207" t="s">
        <v>4402</v>
      </c>
      <c r="E207" s="11">
        <v>0.375</v>
      </c>
      <c r="F207" s="11">
        <v>0.375</v>
      </c>
      <c r="G207">
        <v>71745</v>
      </c>
      <c r="H207" t="s">
        <v>4615</v>
      </c>
      <c r="I207">
        <v>3</v>
      </c>
      <c r="J207" t="s">
        <v>4404</v>
      </c>
      <c r="K207" t="s">
        <v>4405</v>
      </c>
      <c r="L207" t="s">
        <v>4406</v>
      </c>
      <c r="M207" t="s">
        <v>4407</v>
      </c>
      <c r="N207" t="s">
        <v>60</v>
      </c>
      <c r="O207" t="s">
        <v>34</v>
      </c>
      <c r="P207" s="3">
        <v>736372</v>
      </c>
      <c r="Q207" s="3">
        <v>736372</v>
      </c>
      <c r="R207" s="3">
        <v>65464</v>
      </c>
      <c r="S207" s="3">
        <v>670908</v>
      </c>
      <c r="T207" t="s">
        <v>4408</v>
      </c>
      <c r="U207">
        <v>7932908</v>
      </c>
    </row>
    <row r="208" spans="1:21" x14ac:dyDescent="0.25">
      <c r="A208" s="9" t="s">
        <v>4401</v>
      </c>
      <c r="B208" s="10">
        <v>44049</v>
      </c>
      <c r="C208" s="1">
        <v>44048</v>
      </c>
      <c r="D208" t="s">
        <v>4402</v>
      </c>
      <c r="E208" s="11">
        <v>0.375</v>
      </c>
      <c r="F208" s="11">
        <v>0.375</v>
      </c>
      <c r="G208">
        <v>71750</v>
      </c>
      <c r="H208" t="s">
        <v>4616</v>
      </c>
      <c r="I208" t="s">
        <v>680</v>
      </c>
      <c r="J208" t="s">
        <v>4458</v>
      </c>
      <c r="K208" t="s">
        <v>4459</v>
      </c>
      <c r="L208" t="s">
        <v>4460</v>
      </c>
      <c r="M208" t="s">
        <v>4407</v>
      </c>
      <c r="N208" t="s">
        <v>60</v>
      </c>
      <c r="O208" t="s">
        <v>34</v>
      </c>
      <c r="P208" s="3">
        <v>124061</v>
      </c>
      <c r="Q208" s="3">
        <v>124061</v>
      </c>
      <c r="R208">
        <v>0</v>
      </c>
      <c r="S208" s="3">
        <v>124061</v>
      </c>
      <c r="T208" t="s">
        <v>4408</v>
      </c>
      <c r="U208">
        <v>7932908</v>
      </c>
    </row>
    <row r="209" spans="1:21" x14ac:dyDescent="0.25">
      <c r="A209" s="9" t="s">
        <v>4401</v>
      </c>
      <c r="B209" s="10">
        <v>44049</v>
      </c>
      <c r="C209" s="1">
        <v>44048</v>
      </c>
      <c r="D209" t="s">
        <v>4402</v>
      </c>
      <c r="E209" s="11">
        <v>0.375</v>
      </c>
      <c r="F209" s="11">
        <v>0.375</v>
      </c>
      <c r="G209">
        <v>71773</v>
      </c>
      <c r="H209" t="s">
        <v>4617</v>
      </c>
      <c r="I209" t="s">
        <v>367</v>
      </c>
      <c r="J209" t="s">
        <v>4458</v>
      </c>
      <c r="K209" t="s">
        <v>4459</v>
      </c>
      <c r="L209" t="s">
        <v>4460</v>
      </c>
      <c r="M209" t="s">
        <v>4407</v>
      </c>
      <c r="N209" t="s">
        <v>60</v>
      </c>
      <c r="O209" t="s">
        <v>34</v>
      </c>
      <c r="P209" s="3">
        <v>4427</v>
      </c>
      <c r="Q209" s="3">
        <v>4427</v>
      </c>
      <c r="R209">
        <v>1</v>
      </c>
      <c r="S209" s="3">
        <v>4426</v>
      </c>
      <c r="T209" t="s">
        <v>4408</v>
      </c>
      <c r="U209">
        <v>7932908</v>
      </c>
    </row>
    <row r="210" spans="1:21" x14ac:dyDescent="0.25">
      <c r="A210" s="9" t="s">
        <v>4401</v>
      </c>
      <c r="B210" s="10">
        <v>44049</v>
      </c>
      <c r="C210" s="1">
        <v>44048</v>
      </c>
      <c r="D210" t="s">
        <v>4402</v>
      </c>
      <c r="E210" s="11">
        <v>0.375</v>
      </c>
      <c r="F210" s="11">
        <v>0.375</v>
      </c>
      <c r="G210">
        <v>71814</v>
      </c>
      <c r="H210" t="s">
        <v>4618</v>
      </c>
      <c r="I210" t="s">
        <v>367</v>
      </c>
      <c r="J210" t="s">
        <v>4404</v>
      </c>
      <c r="K210" t="s">
        <v>4405</v>
      </c>
      <c r="L210" t="s">
        <v>4406</v>
      </c>
      <c r="M210" t="s">
        <v>4407</v>
      </c>
      <c r="N210" t="s">
        <v>60</v>
      </c>
      <c r="O210" t="s">
        <v>34</v>
      </c>
      <c r="P210" s="3">
        <v>65562</v>
      </c>
      <c r="Q210" s="3">
        <v>65562</v>
      </c>
      <c r="R210">
        <v>0</v>
      </c>
      <c r="S210" s="3">
        <v>65562</v>
      </c>
      <c r="T210" t="s">
        <v>4408</v>
      </c>
      <c r="U210">
        <v>7932908</v>
      </c>
    </row>
    <row r="211" spans="1:21" x14ac:dyDescent="0.25">
      <c r="A211" s="9" t="s">
        <v>4401</v>
      </c>
      <c r="B211" s="10">
        <v>44049</v>
      </c>
      <c r="C211" s="1">
        <v>44048</v>
      </c>
      <c r="D211" t="s">
        <v>4402</v>
      </c>
      <c r="E211" s="11">
        <v>0.375</v>
      </c>
      <c r="F211" s="11">
        <v>0.375</v>
      </c>
      <c r="G211">
        <v>71825</v>
      </c>
      <c r="H211" t="s">
        <v>4619</v>
      </c>
      <c r="I211">
        <v>2</v>
      </c>
      <c r="J211" t="s">
        <v>4458</v>
      </c>
      <c r="K211" t="s">
        <v>4459</v>
      </c>
      <c r="L211" t="s">
        <v>4460</v>
      </c>
      <c r="M211" t="s">
        <v>4407</v>
      </c>
      <c r="N211" t="s">
        <v>60</v>
      </c>
      <c r="O211" t="s">
        <v>34</v>
      </c>
      <c r="P211" s="3">
        <v>71450</v>
      </c>
      <c r="Q211" s="3">
        <v>71450</v>
      </c>
      <c r="R211">
        <v>0</v>
      </c>
      <c r="S211" s="3">
        <v>71450</v>
      </c>
      <c r="T211" t="s">
        <v>4408</v>
      </c>
      <c r="U211">
        <v>7932908</v>
      </c>
    </row>
    <row r="212" spans="1:21" x14ac:dyDescent="0.25">
      <c r="A212" s="9" t="s">
        <v>4401</v>
      </c>
      <c r="B212" s="10">
        <v>44049</v>
      </c>
      <c r="C212" s="1">
        <v>44048</v>
      </c>
      <c r="D212" t="s">
        <v>4402</v>
      </c>
      <c r="E212" s="11">
        <v>0.375</v>
      </c>
      <c r="F212" s="11">
        <v>0.375</v>
      </c>
      <c r="G212">
        <v>71841</v>
      </c>
      <c r="H212" t="s">
        <v>4620</v>
      </c>
      <c r="I212">
        <v>2</v>
      </c>
      <c r="J212" t="s">
        <v>4404</v>
      </c>
      <c r="K212" t="s">
        <v>4405</v>
      </c>
      <c r="L212" t="s">
        <v>4406</v>
      </c>
      <c r="M212" t="s">
        <v>4407</v>
      </c>
      <c r="N212" t="s">
        <v>60</v>
      </c>
      <c r="O212" t="s">
        <v>34</v>
      </c>
      <c r="P212" s="3">
        <v>16275</v>
      </c>
      <c r="Q212" s="3">
        <v>16275</v>
      </c>
      <c r="R212">
        <v>0</v>
      </c>
      <c r="S212" s="3">
        <v>16275</v>
      </c>
      <c r="T212" t="s">
        <v>4408</v>
      </c>
      <c r="U212">
        <v>7932908</v>
      </c>
    </row>
    <row r="213" spans="1:21" x14ac:dyDescent="0.25">
      <c r="A213" s="9" t="s">
        <v>4401</v>
      </c>
      <c r="B213" s="10">
        <v>44049</v>
      </c>
      <c r="C213" s="1">
        <v>44048</v>
      </c>
      <c r="D213" t="s">
        <v>4402</v>
      </c>
      <c r="E213" s="11">
        <v>0.375</v>
      </c>
      <c r="F213" s="11">
        <v>0.375</v>
      </c>
      <c r="G213">
        <v>71862</v>
      </c>
      <c r="H213" t="s">
        <v>4621</v>
      </c>
      <c r="I213" t="s">
        <v>367</v>
      </c>
      <c r="J213" t="s">
        <v>4458</v>
      </c>
      <c r="K213" t="s">
        <v>4459</v>
      </c>
      <c r="L213" t="s">
        <v>4460</v>
      </c>
      <c r="M213" t="s">
        <v>4407</v>
      </c>
      <c r="N213" t="s">
        <v>60</v>
      </c>
      <c r="O213" t="s">
        <v>34</v>
      </c>
      <c r="P213" s="3">
        <v>8613</v>
      </c>
      <c r="Q213" s="3">
        <v>8613</v>
      </c>
      <c r="R213">
        <v>150</v>
      </c>
      <c r="S213" s="3">
        <v>8463</v>
      </c>
      <c r="T213" t="s">
        <v>4408</v>
      </c>
      <c r="U213">
        <v>7932908</v>
      </c>
    </row>
    <row r="214" spans="1:21" x14ac:dyDescent="0.25">
      <c r="A214" s="9" t="s">
        <v>4401</v>
      </c>
      <c r="B214" s="10">
        <v>44049</v>
      </c>
      <c r="C214" s="1">
        <v>44048</v>
      </c>
      <c r="D214" t="s">
        <v>4402</v>
      </c>
      <c r="E214" s="11">
        <v>0.375</v>
      </c>
      <c r="F214" s="11">
        <v>0.375</v>
      </c>
      <c r="G214">
        <v>71887</v>
      </c>
      <c r="H214" t="s">
        <v>4622</v>
      </c>
      <c r="I214" t="s">
        <v>680</v>
      </c>
      <c r="J214" t="s">
        <v>4458</v>
      </c>
      <c r="K214" t="s">
        <v>4459</v>
      </c>
      <c r="L214" t="s">
        <v>4460</v>
      </c>
      <c r="M214" t="s">
        <v>4407</v>
      </c>
      <c r="N214" t="s">
        <v>60</v>
      </c>
      <c r="O214" t="s">
        <v>34</v>
      </c>
      <c r="P214" s="3">
        <v>8381</v>
      </c>
      <c r="Q214" s="3">
        <v>8381</v>
      </c>
      <c r="R214">
        <v>0</v>
      </c>
      <c r="S214" s="3">
        <v>8381</v>
      </c>
      <c r="T214" t="s">
        <v>4408</v>
      </c>
      <c r="U214">
        <v>7932908</v>
      </c>
    </row>
    <row r="215" spans="1:21" x14ac:dyDescent="0.25">
      <c r="A215" s="9" t="s">
        <v>4401</v>
      </c>
      <c r="B215" s="10">
        <v>44049</v>
      </c>
      <c r="C215" s="1">
        <v>44048</v>
      </c>
      <c r="D215" t="s">
        <v>4402</v>
      </c>
      <c r="E215" s="11">
        <v>0.375</v>
      </c>
      <c r="F215" s="11">
        <v>0.375</v>
      </c>
      <c r="G215">
        <v>71889</v>
      </c>
      <c r="H215" t="s">
        <v>4623</v>
      </c>
      <c r="I215" t="s">
        <v>543</v>
      </c>
      <c r="J215" t="s">
        <v>4458</v>
      </c>
      <c r="K215" t="s">
        <v>4459</v>
      </c>
      <c r="L215" t="s">
        <v>4460</v>
      </c>
      <c r="M215" t="s">
        <v>4407</v>
      </c>
      <c r="N215" t="s">
        <v>60</v>
      </c>
      <c r="O215" t="s">
        <v>34</v>
      </c>
      <c r="P215" s="3">
        <v>17354</v>
      </c>
      <c r="Q215" s="3">
        <v>17354</v>
      </c>
      <c r="R215">
        <v>0</v>
      </c>
      <c r="S215" s="3">
        <v>17354</v>
      </c>
      <c r="T215" t="s">
        <v>4408</v>
      </c>
      <c r="U215">
        <v>7932908</v>
      </c>
    </row>
    <row r="216" spans="1:21" x14ac:dyDescent="0.25">
      <c r="A216" s="9" t="s">
        <v>4401</v>
      </c>
      <c r="B216" s="10">
        <v>44049</v>
      </c>
      <c r="C216" s="1">
        <v>44048</v>
      </c>
      <c r="D216" t="s">
        <v>4402</v>
      </c>
      <c r="E216" s="11">
        <v>0.375</v>
      </c>
      <c r="F216" s="11">
        <v>0.375</v>
      </c>
      <c r="G216">
        <v>71963</v>
      </c>
      <c r="H216" t="s">
        <v>4624</v>
      </c>
      <c r="I216">
        <v>1</v>
      </c>
      <c r="J216" t="s">
        <v>4458</v>
      </c>
      <c r="K216" t="s">
        <v>4459</v>
      </c>
      <c r="L216" t="s">
        <v>4460</v>
      </c>
      <c r="M216" t="s">
        <v>4407</v>
      </c>
      <c r="N216" t="s">
        <v>60</v>
      </c>
      <c r="O216" t="s">
        <v>34</v>
      </c>
      <c r="P216" s="3">
        <v>4911</v>
      </c>
      <c r="Q216" s="3">
        <v>4911</v>
      </c>
      <c r="R216">
        <v>135</v>
      </c>
      <c r="S216" s="3">
        <v>4776</v>
      </c>
      <c r="T216" t="s">
        <v>4408</v>
      </c>
      <c r="U216">
        <v>7932908</v>
      </c>
    </row>
    <row r="217" spans="1:21" x14ac:dyDescent="0.25">
      <c r="A217" s="9" t="s">
        <v>4401</v>
      </c>
      <c r="B217" s="10">
        <v>44049</v>
      </c>
      <c r="C217" s="1">
        <v>44048</v>
      </c>
      <c r="D217" t="s">
        <v>4402</v>
      </c>
      <c r="E217" s="11">
        <v>0.375</v>
      </c>
      <c r="F217" s="11">
        <v>0.375</v>
      </c>
      <c r="G217">
        <v>71964</v>
      </c>
      <c r="H217" t="s">
        <v>4625</v>
      </c>
      <c r="I217" t="s">
        <v>187</v>
      </c>
      <c r="J217" t="s">
        <v>4458</v>
      </c>
      <c r="K217" t="s">
        <v>4459</v>
      </c>
      <c r="L217" t="s">
        <v>4460</v>
      </c>
      <c r="M217" t="s">
        <v>4407</v>
      </c>
      <c r="N217" t="s">
        <v>60</v>
      </c>
      <c r="O217" t="s">
        <v>34</v>
      </c>
      <c r="P217" s="3">
        <v>50885</v>
      </c>
      <c r="Q217" s="3">
        <v>64402</v>
      </c>
      <c r="R217" s="3">
        <v>14000</v>
      </c>
      <c r="S217" s="3">
        <v>50402</v>
      </c>
      <c r="T217" t="s">
        <v>4408</v>
      </c>
      <c r="U217">
        <v>7932908</v>
      </c>
    </row>
    <row r="218" spans="1:21" x14ac:dyDescent="0.25">
      <c r="A218" s="9" t="s">
        <v>4401</v>
      </c>
      <c r="B218" s="10">
        <v>44049</v>
      </c>
      <c r="C218" s="1">
        <v>44048</v>
      </c>
      <c r="D218" t="s">
        <v>4402</v>
      </c>
      <c r="E218" s="11">
        <v>0.375</v>
      </c>
      <c r="F218" s="11">
        <v>0.375</v>
      </c>
      <c r="G218">
        <v>71987</v>
      </c>
      <c r="H218" t="s">
        <v>4626</v>
      </c>
      <c r="I218">
        <v>3</v>
      </c>
      <c r="J218" t="s">
        <v>4404</v>
      </c>
      <c r="K218" t="s">
        <v>4405</v>
      </c>
      <c r="L218" t="s">
        <v>4406</v>
      </c>
      <c r="M218" t="s">
        <v>4407</v>
      </c>
      <c r="N218" t="s">
        <v>60</v>
      </c>
      <c r="O218" t="s">
        <v>34</v>
      </c>
      <c r="P218" s="3">
        <v>78657</v>
      </c>
      <c r="Q218" s="3">
        <v>78657</v>
      </c>
      <c r="R218" s="3">
        <v>21759</v>
      </c>
      <c r="S218" s="3">
        <v>56898</v>
      </c>
      <c r="T218" t="s">
        <v>4408</v>
      </c>
      <c r="U218">
        <v>7932908</v>
      </c>
    </row>
    <row r="219" spans="1:21" x14ac:dyDescent="0.25">
      <c r="A219" s="9" t="s">
        <v>4401</v>
      </c>
      <c r="B219" s="10">
        <v>44049</v>
      </c>
      <c r="C219" s="1">
        <v>44048</v>
      </c>
      <c r="D219" t="s">
        <v>4402</v>
      </c>
      <c r="E219" s="11">
        <v>0.375</v>
      </c>
      <c r="F219" s="11">
        <v>0.375</v>
      </c>
      <c r="G219">
        <v>71993</v>
      </c>
      <c r="H219" t="s">
        <v>4627</v>
      </c>
      <c r="I219">
        <v>2</v>
      </c>
      <c r="J219" t="s">
        <v>4404</v>
      </c>
      <c r="K219" t="s">
        <v>4405</v>
      </c>
      <c r="L219" t="s">
        <v>4406</v>
      </c>
      <c r="M219" t="s">
        <v>4407</v>
      </c>
      <c r="N219" t="s">
        <v>60</v>
      </c>
      <c r="O219" t="s">
        <v>34</v>
      </c>
      <c r="P219" s="3">
        <v>6998</v>
      </c>
      <c r="Q219" s="3">
        <v>6998</v>
      </c>
      <c r="R219" s="3">
        <v>1956</v>
      </c>
      <c r="S219" s="3">
        <v>5042</v>
      </c>
      <c r="T219" t="s">
        <v>4408</v>
      </c>
      <c r="U219">
        <v>7932908</v>
      </c>
    </row>
    <row r="220" spans="1:21" x14ac:dyDescent="0.25">
      <c r="A220" s="9" t="s">
        <v>4401</v>
      </c>
      <c r="B220" s="10">
        <v>44049</v>
      </c>
      <c r="C220" s="1">
        <v>44048</v>
      </c>
      <c r="D220" t="s">
        <v>4402</v>
      </c>
      <c r="E220" s="11">
        <v>0.375</v>
      </c>
      <c r="F220" s="11">
        <v>0.375</v>
      </c>
      <c r="G220">
        <v>72004</v>
      </c>
      <c r="H220" t="s">
        <v>4628</v>
      </c>
      <c r="I220">
        <v>3</v>
      </c>
      <c r="J220" t="s">
        <v>4404</v>
      </c>
      <c r="K220" t="s">
        <v>4405</v>
      </c>
      <c r="L220" t="s">
        <v>4406</v>
      </c>
      <c r="M220" t="s">
        <v>4407</v>
      </c>
      <c r="N220" t="s">
        <v>60</v>
      </c>
      <c r="O220" t="s">
        <v>34</v>
      </c>
      <c r="P220" s="3">
        <v>40415</v>
      </c>
      <c r="Q220" s="3">
        <v>40415</v>
      </c>
      <c r="R220">
        <v>0</v>
      </c>
      <c r="S220" s="3">
        <v>40415</v>
      </c>
      <c r="T220" t="s">
        <v>4408</v>
      </c>
      <c r="U220">
        <v>7932908</v>
      </c>
    </row>
    <row r="221" spans="1:21" x14ac:dyDescent="0.25">
      <c r="A221" s="9" t="s">
        <v>4401</v>
      </c>
      <c r="B221" s="10">
        <v>44049</v>
      </c>
      <c r="C221" s="1">
        <v>44048</v>
      </c>
      <c r="D221" t="s">
        <v>4402</v>
      </c>
      <c r="E221" s="11">
        <v>0.375</v>
      </c>
      <c r="F221" s="11">
        <v>0.375</v>
      </c>
      <c r="G221">
        <v>72026</v>
      </c>
      <c r="H221" t="s">
        <v>4629</v>
      </c>
      <c r="I221">
        <v>2</v>
      </c>
      <c r="J221" t="s">
        <v>4404</v>
      </c>
      <c r="K221" t="s">
        <v>4405</v>
      </c>
      <c r="L221" t="s">
        <v>4406</v>
      </c>
      <c r="M221" t="s">
        <v>4407</v>
      </c>
      <c r="N221" t="s">
        <v>60</v>
      </c>
      <c r="O221" t="s">
        <v>34</v>
      </c>
      <c r="P221" s="3">
        <v>6139</v>
      </c>
      <c r="Q221" s="3">
        <v>6139</v>
      </c>
      <c r="R221">
        <v>0</v>
      </c>
      <c r="S221" s="3">
        <v>6139</v>
      </c>
      <c r="T221" t="s">
        <v>4408</v>
      </c>
      <c r="U221">
        <v>7932908</v>
      </c>
    </row>
    <row r="222" spans="1:21" x14ac:dyDescent="0.25">
      <c r="A222" s="9" t="s">
        <v>4401</v>
      </c>
      <c r="B222" s="10">
        <v>44049</v>
      </c>
      <c r="C222" s="1">
        <v>44048</v>
      </c>
      <c r="D222" t="s">
        <v>4402</v>
      </c>
      <c r="E222" s="11">
        <v>0.375</v>
      </c>
      <c r="F222" s="11">
        <v>0.375</v>
      </c>
      <c r="G222">
        <v>72035</v>
      </c>
      <c r="H222" t="s">
        <v>4630</v>
      </c>
      <c r="I222" t="s">
        <v>187</v>
      </c>
      <c r="J222" t="s">
        <v>4458</v>
      </c>
      <c r="K222" t="s">
        <v>4459</v>
      </c>
      <c r="L222" t="s">
        <v>4460</v>
      </c>
      <c r="M222" t="s">
        <v>4407</v>
      </c>
      <c r="N222" t="s">
        <v>60</v>
      </c>
      <c r="O222" t="s">
        <v>34</v>
      </c>
      <c r="P222" s="3">
        <v>4261</v>
      </c>
      <c r="Q222" s="3">
        <v>4261</v>
      </c>
      <c r="R222">
        <v>0</v>
      </c>
      <c r="S222" s="3">
        <v>4261</v>
      </c>
      <c r="T222" t="s">
        <v>4408</v>
      </c>
      <c r="U222">
        <v>7932908</v>
      </c>
    </row>
    <row r="223" spans="1:21" x14ac:dyDescent="0.25">
      <c r="A223" s="9" t="s">
        <v>4401</v>
      </c>
      <c r="B223" s="10">
        <v>44049</v>
      </c>
      <c r="C223" s="1">
        <v>44048</v>
      </c>
      <c r="D223" t="s">
        <v>4402</v>
      </c>
      <c r="E223" s="11">
        <v>0.375</v>
      </c>
      <c r="F223" s="11">
        <v>0.375</v>
      </c>
      <c r="G223">
        <v>72080</v>
      </c>
      <c r="H223" t="s">
        <v>4631</v>
      </c>
      <c r="I223">
        <v>3</v>
      </c>
      <c r="J223" t="s">
        <v>4458</v>
      </c>
      <c r="K223" t="s">
        <v>4459</v>
      </c>
      <c r="L223" t="s">
        <v>4460</v>
      </c>
      <c r="M223" t="s">
        <v>4407</v>
      </c>
      <c r="N223" t="s">
        <v>60</v>
      </c>
      <c r="O223" t="s">
        <v>34</v>
      </c>
      <c r="P223" s="3">
        <v>17953</v>
      </c>
      <c r="Q223" s="3">
        <v>17953</v>
      </c>
      <c r="R223">
        <v>200</v>
      </c>
      <c r="S223" s="3">
        <v>17753</v>
      </c>
      <c r="T223" t="s">
        <v>4408</v>
      </c>
      <c r="U223">
        <v>7932908</v>
      </c>
    </row>
    <row r="224" spans="1:21" x14ac:dyDescent="0.25">
      <c r="A224" s="9" t="s">
        <v>4401</v>
      </c>
      <c r="B224" s="10">
        <v>44049</v>
      </c>
      <c r="C224" s="1">
        <v>44048</v>
      </c>
      <c r="D224" t="s">
        <v>4402</v>
      </c>
      <c r="E224" s="11">
        <v>0.375</v>
      </c>
      <c r="F224" s="11">
        <v>0.375</v>
      </c>
      <c r="G224">
        <v>72103</v>
      </c>
      <c r="H224" t="s">
        <v>4632</v>
      </c>
      <c r="I224" t="s">
        <v>367</v>
      </c>
      <c r="J224" t="s">
        <v>4458</v>
      </c>
      <c r="K224" t="s">
        <v>4459</v>
      </c>
      <c r="L224" t="s">
        <v>4460</v>
      </c>
      <c r="M224" t="s">
        <v>4407</v>
      </c>
      <c r="N224" t="s">
        <v>60</v>
      </c>
      <c r="O224" t="s">
        <v>34</v>
      </c>
      <c r="P224" s="3">
        <v>3917</v>
      </c>
      <c r="Q224" s="3">
        <v>3917</v>
      </c>
      <c r="R224">
        <v>0</v>
      </c>
      <c r="S224" s="3">
        <v>3917</v>
      </c>
      <c r="T224" t="s">
        <v>4408</v>
      </c>
      <c r="U224">
        <v>7932908</v>
      </c>
    </row>
    <row r="225" spans="1:21" x14ac:dyDescent="0.25">
      <c r="A225" s="9" t="s">
        <v>4401</v>
      </c>
      <c r="B225" s="10">
        <v>44049</v>
      </c>
      <c r="C225" s="1">
        <v>44048</v>
      </c>
      <c r="D225" t="s">
        <v>4402</v>
      </c>
      <c r="E225" s="11">
        <v>0.375</v>
      </c>
      <c r="F225" s="11">
        <v>0.375</v>
      </c>
      <c r="G225">
        <v>72131</v>
      </c>
      <c r="H225" t="s">
        <v>4633</v>
      </c>
      <c r="I225" t="s">
        <v>187</v>
      </c>
      <c r="J225" t="s">
        <v>4458</v>
      </c>
      <c r="K225" t="s">
        <v>4459</v>
      </c>
      <c r="L225" t="s">
        <v>4460</v>
      </c>
      <c r="M225" t="s">
        <v>4407</v>
      </c>
      <c r="N225" t="s">
        <v>60</v>
      </c>
      <c r="O225" t="s">
        <v>34</v>
      </c>
      <c r="P225" s="3">
        <v>4275</v>
      </c>
      <c r="Q225" s="3">
        <v>4275</v>
      </c>
      <c r="R225">
        <v>1</v>
      </c>
      <c r="S225" s="3">
        <v>4274</v>
      </c>
      <c r="T225" t="s">
        <v>4408</v>
      </c>
      <c r="U225">
        <v>7932908</v>
      </c>
    </row>
    <row r="226" spans="1:21" x14ac:dyDescent="0.25">
      <c r="A226" s="9" t="s">
        <v>4401</v>
      </c>
      <c r="B226" s="10">
        <v>44049</v>
      </c>
      <c r="C226" s="1">
        <v>44048</v>
      </c>
      <c r="D226" t="s">
        <v>4402</v>
      </c>
      <c r="E226" s="11">
        <v>0.375</v>
      </c>
      <c r="F226" s="11">
        <v>0.375</v>
      </c>
      <c r="G226">
        <v>72135</v>
      </c>
      <c r="H226" t="s">
        <v>4634</v>
      </c>
      <c r="I226" t="s">
        <v>680</v>
      </c>
      <c r="J226" t="s">
        <v>4458</v>
      </c>
      <c r="K226" t="s">
        <v>4459</v>
      </c>
      <c r="L226" t="s">
        <v>4460</v>
      </c>
      <c r="M226" t="s">
        <v>4407</v>
      </c>
      <c r="N226" t="s">
        <v>60</v>
      </c>
      <c r="O226" t="s">
        <v>34</v>
      </c>
      <c r="P226" s="3">
        <v>76202</v>
      </c>
      <c r="Q226" s="3">
        <v>76202</v>
      </c>
      <c r="R226">
        <v>0</v>
      </c>
      <c r="S226" s="3">
        <v>76202</v>
      </c>
      <c r="T226" t="s">
        <v>4408</v>
      </c>
      <c r="U226">
        <v>7932908</v>
      </c>
    </row>
    <row r="227" spans="1:21" x14ac:dyDescent="0.25">
      <c r="A227" s="9" t="s">
        <v>4401</v>
      </c>
      <c r="B227" s="10">
        <v>44049</v>
      </c>
      <c r="C227" s="1">
        <v>44048</v>
      </c>
      <c r="D227" t="s">
        <v>4402</v>
      </c>
      <c r="E227" s="11">
        <v>0.375</v>
      </c>
      <c r="F227" s="11">
        <v>0.375</v>
      </c>
      <c r="G227">
        <v>72137</v>
      </c>
      <c r="H227" t="s">
        <v>4635</v>
      </c>
      <c r="I227" t="s">
        <v>543</v>
      </c>
      <c r="J227" t="s">
        <v>4458</v>
      </c>
      <c r="K227" t="s">
        <v>4459</v>
      </c>
      <c r="L227" t="s">
        <v>4460</v>
      </c>
      <c r="M227" t="s">
        <v>4407</v>
      </c>
      <c r="N227" t="s">
        <v>60</v>
      </c>
      <c r="O227" t="s">
        <v>34</v>
      </c>
      <c r="P227" s="3">
        <v>223584</v>
      </c>
      <c r="Q227" s="3">
        <v>223584</v>
      </c>
      <c r="R227">
        <v>0</v>
      </c>
      <c r="S227" s="3">
        <v>223584</v>
      </c>
      <c r="T227" t="s">
        <v>4408</v>
      </c>
      <c r="U227">
        <v>7932908</v>
      </c>
    </row>
    <row r="228" spans="1:21" x14ac:dyDescent="0.25">
      <c r="A228" s="9" t="s">
        <v>4401</v>
      </c>
      <c r="B228" s="10">
        <v>44049</v>
      </c>
      <c r="C228" s="1">
        <v>44048</v>
      </c>
      <c r="D228" t="s">
        <v>4402</v>
      </c>
      <c r="E228" s="11">
        <v>0.375</v>
      </c>
      <c r="F228" s="11">
        <v>0.375</v>
      </c>
      <c r="G228">
        <v>72138</v>
      </c>
      <c r="H228" t="s">
        <v>4636</v>
      </c>
      <c r="I228" t="s">
        <v>543</v>
      </c>
      <c r="J228" t="s">
        <v>4458</v>
      </c>
      <c r="K228" t="s">
        <v>4459</v>
      </c>
      <c r="L228" t="s">
        <v>4460</v>
      </c>
      <c r="M228" t="s">
        <v>4407</v>
      </c>
      <c r="N228" t="s">
        <v>60</v>
      </c>
      <c r="O228" t="s">
        <v>34</v>
      </c>
      <c r="P228" s="3">
        <v>223806</v>
      </c>
      <c r="Q228" s="3">
        <v>223806</v>
      </c>
      <c r="R228">
        <v>0</v>
      </c>
      <c r="S228" s="3">
        <v>223806</v>
      </c>
      <c r="T228" t="s">
        <v>4408</v>
      </c>
      <c r="U228">
        <v>7932908</v>
      </c>
    </row>
    <row r="229" spans="1:21" x14ac:dyDescent="0.25">
      <c r="A229" s="9" t="s">
        <v>4401</v>
      </c>
      <c r="B229" s="10">
        <v>44049</v>
      </c>
      <c r="C229" s="1">
        <v>44048</v>
      </c>
      <c r="D229" t="s">
        <v>4402</v>
      </c>
      <c r="E229" s="11">
        <v>0.375</v>
      </c>
      <c r="F229" s="11">
        <v>0.375</v>
      </c>
      <c r="G229">
        <v>72158</v>
      </c>
      <c r="H229" t="s">
        <v>4637</v>
      </c>
      <c r="I229">
        <v>1</v>
      </c>
      <c r="J229" t="s">
        <v>4458</v>
      </c>
      <c r="K229" t="s">
        <v>4459</v>
      </c>
      <c r="L229" t="s">
        <v>4460</v>
      </c>
      <c r="M229" t="s">
        <v>4407</v>
      </c>
      <c r="N229" t="s">
        <v>60</v>
      </c>
      <c r="O229" t="s">
        <v>34</v>
      </c>
      <c r="P229" s="3">
        <v>10782</v>
      </c>
      <c r="Q229" s="3">
        <v>10782</v>
      </c>
      <c r="R229">
        <v>1</v>
      </c>
      <c r="S229" s="3">
        <v>10781</v>
      </c>
      <c r="T229" t="s">
        <v>4408</v>
      </c>
      <c r="U229">
        <v>7932908</v>
      </c>
    </row>
    <row r="230" spans="1:21" x14ac:dyDescent="0.25">
      <c r="A230" s="9" t="s">
        <v>4401</v>
      </c>
      <c r="B230" s="10">
        <v>44049</v>
      </c>
      <c r="C230" s="1">
        <v>44048</v>
      </c>
      <c r="D230" t="s">
        <v>4402</v>
      </c>
      <c r="E230" s="11">
        <v>0.375</v>
      </c>
      <c r="F230" s="11">
        <v>0.375</v>
      </c>
      <c r="G230">
        <v>72172</v>
      </c>
      <c r="H230" t="s">
        <v>4638</v>
      </c>
      <c r="I230">
        <v>1</v>
      </c>
      <c r="J230" t="s">
        <v>4458</v>
      </c>
      <c r="K230" t="s">
        <v>4459</v>
      </c>
      <c r="L230" t="s">
        <v>4460</v>
      </c>
      <c r="M230" t="s">
        <v>4407</v>
      </c>
      <c r="N230" t="s">
        <v>60</v>
      </c>
      <c r="O230" t="s">
        <v>34</v>
      </c>
      <c r="P230" s="3">
        <v>4903</v>
      </c>
      <c r="Q230" s="3">
        <v>4903</v>
      </c>
      <c r="R230">
        <v>0</v>
      </c>
      <c r="S230" s="3">
        <v>4903</v>
      </c>
      <c r="T230" t="s">
        <v>4408</v>
      </c>
      <c r="U230">
        <v>7932908</v>
      </c>
    </row>
    <row r="231" spans="1:21" x14ac:dyDescent="0.25">
      <c r="A231" s="9" t="s">
        <v>4401</v>
      </c>
      <c r="B231" s="10">
        <v>44049</v>
      </c>
      <c r="C231" s="1">
        <v>44048</v>
      </c>
      <c r="D231" t="s">
        <v>4402</v>
      </c>
      <c r="E231" s="11">
        <v>0.375</v>
      </c>
      <c r="F231" s="11">
        <v>0.375</v>
      </c>
      <c r="G231">
        <v>72185</v>
      </c>
      <c r="H231" t="s">
        <v>4639</v>
      </c>
      <c r="I231" t="s">
        <v>367</v>
      </c>
      <c r="J231" t="s">
        <v>4458</v>
      </c>
      <c r="K231" t="s">
        <v>4459</v>
      </c>
      <c r="L231" t="s">
        <v>4460</v>
      </c>
      <c r="M231" t="s">
        <v>4407</v>
      </c>
      <c r="N231" t="s">
        <v>60</v>
      </c>
      <c r="O231" t="s">
        <v>34</v>
      </c>
      <c r="P231" s="3">
        <v>4038</v>
      </c>
      <c r="Q231" s="3">
        <v>4038</v>
      </c>
      <c r="R231">
        <v>0</v>
      </c>
      <c r="S231" s="3">
        <v>4038</v>
      </c>
      <c r="T231" t="s">
        <v>4408</v>
      </c>
      <c r="U231">
        <v>7932908</v>
      </c>
    </row>
    <row r="232" spans="1:21" x14ac:dyDescent="0.25">
      <c r="A232" s="9" t="s">
        <v>4401</v>
      </c>
      <c r="B232" s="10">
        <v>44049</v>
      </c>
      <c r="C232" s="1">
        <v>44048</v>
      </c>
      <c r="D232" t="s">
        <v>4402</v>
      </c>
      <c r="E232" s="11">
        <v>0.375</v>
      </c>
      <c r="F232" s="11">
        <v>0.375</v>
      </c>
      <c r="G232">
        <v>72187</v>
      </c>
      <c r="H232" t="s">
        <v>4640</v>
      </c>
      <c r="I232" t="s">
        <v>543</v>
      </c>
      <c r="J232" t="s">
        <v>4404</v>
      </c>
      <c r="K232" t="s">
        <v>4405</v>
      </c>
      <c r="L232" t="s">
        <v>4406</v>
      </c>
      <c r="M232" t="s">
        <v>4407</v>
      </c>
      <c r="N232" t="s">
        <v>60</v>
      </c>
      <c r="O232" t="s">
        <v>34</v>
      </c>
      <c r="P232" s="3">
        <v>287695</v>
      </c>
      <c r="Q232" s="3">
        <v>287695</v>
      </c>
      <c r="R232" s="3">
        <v>120069</v>
      </c>
      <c r="S232" s="3">
        <v>167626</v>
      </c>
      <c r="T232" t="s">
        <v>4408</v>
      </c>
      <c r="U232">
        <v>7932908</v>
      </c>
    </row>
    <row r="233" spans="1:21" x14ac:dyDescent="0.25">
      <c r="A233" s="9" t="s">
        <v>4401</v>
      </c>
      <c r="B233" s="10">
        <v>44049</v>
      </c>
      <c r="C233" s="1">
        <v>44048</v>
      </c>
      <c r="D233" t="s">
        <v>4402</v>
      </c>
      <c r="E233" s="11">
        <v>0.375</v>
      </c>
      <c r="F233" s="11">
        <v>0.375</v>
      </c>
      <c r="G233">
        <v>72190</v>
      </c>
      <c r="H233" t="s">
        <v>4641</v>
      </c>
      <c r="I233">
        <v>1</v>
      </c>
      <c r="J233" t="s">
        <v>4404</v>
      </c>
      <c r="K233" t="s">
        <v>4405</v>
      </c>
      <c r="L233" t="s">
        <v>4406</v>
      </c>
      <c r="M233" t="s">
        <v>4407</v>
      </c>
      <c r="N233" t="s">
        <v>60</v>
      </c>
      <c r="O233" t="s">
        <v>34</v>
      </c>
      <c r="P233" s="3">
        <v>11311</v>
      </c>
      <c r="Q233" s="3">
        <v>11311</v>
      </c>
      <c r="R233">
        <v>0</v>
      </c>
      <c r="S233" s="3">
        <v>11311</v>
      </c>
      <c r="T233" t="s">
        <v>4408</v>
      </c>
      <c r="U233">
        <v>7932908</v>
      </c>
    </row>
    <row r="234" spans="1:21" x14ac:dyDescent="0.25">
      <c r="A234" s="9" t="s">
        <v>4401</v>
      </c>
      <c r="B234" s="10">
        <v>44049</v>
      </c>
      <c r="C234" s="1">
        <v>44048</v>
      </c>
      <c r="D234" t="s">
        <v>4402</v>
      </c>
      <c r="E234" s="11">
        <v>0.375</v>
      </c>
      <c r="F234" s="11">
        <v>0.375</v>
      </c>
      <c r="G234">
        <v>72206</v>
      </c>
      <c r="H234" t="s">
        <v>4642</v>
      </c>
      <c r="I234" t="s">
        <v>543</v>
      </c>
      <c r="J234" t="s">
        <v>4404</v>
      </c>
      <c r="K234" t="s">
        <v>4405</v>
      </c>
      <c r="L234" t="s">
        <v>4406</v>
      </c>
      <c r="M234" t="s">
        <v>4407</v>
      </c>
      <c r="N234" t="s">
        <v>60</v>
      </c>
      <c r="O234" t="s">
        <v>34</v>
      </c>
      <c r="P234" s="3">
        <v>33021</v>
      </c>
      <c r="Q234" s="3">
        <v>33021</v>
      </c>
      <c r="R234" s="3">
        <v>32405</v>
      </c>
      <c r="S234">
        <v>616</v>
      </c>
      <c r="T234" t="s">
        <v>4408</v>
      </c>
      <c r="U234">
        <v>7932908</v>
      </c>
    </row>
    <row r="235" spans="1:21" x14ac:dyDescent="0.25">
      <c r="A235" s="9" t="s">
        <v>4401</v>
      </c>
      <c r="B235" s="10">
        <v>44049</v>
      </c>
      <c r="C235" s="1">
        <v>44048</v>
      </c>
      <c r="D235" t="s">
        <v>4402</v>
      </c>
      <c r="E235" s="11">
        <v>0.375</v>
      </c>
      <c r="F235" s="11">
        <v>0.375</v>
      </c>
      <c r="G235">
        <v>72210</v>
      </c>
      <c r="H235" t="s">
        <v>4643</v>
      </c>
      <c r="I235">
        <v>3</v>
      </c>
      <c r="J235" t="s">
        <v>4404</v>
      </c>
      <c r="K235" t="s">
        <v>4405</v>
      </c>
      <c r="L235" t="s">
        <v>4406</v>
      </c>
      <c r="M235" t="s">
        <v>4407</v>
      </c>
      <c r="N235" t="s">
        <v>60</v>
      </c>
      <c r="O235" t="s">
        <v>34</v>
      </c>
      <c r="P235" s="3">
        <v>339584</v>
      </c>
      <c r="Q235" s="3">
        <v>339584</v>
      </c>
      <c r="R235">
        <v>0</v>
      </c>
      <c r="S235" s="3">
        <v>339584</v>
      </c>
      <c r="T235" t="s">
        <v>4408</v>
      </c>
      <c r="U235">
        <v>7932908</v>
      </c>
    </row>
    <row r="236" spans="1:21" x14ac:dyDescent="0.25">
      <c r="A236" s="9" t="s">
        <v>4401</v>
      </c>
      <c r="B236" s="10">
        <v>44049</v>
      </c>
      <c r="C236" s="1">
        <v>44048</v>
      </c>
      <c r="D236" t="s">
        <v>4402</v>
      </c>
      <c r="E236" s="11">
        <v>0.375</v>
      </c>
      <c r="F236" s="11">
        <v>0.375</v>
      </c>
      <c r="G236">
        <v>72222</v>
      </c>
      <c r="H236" t="s">
        <v>4644</v>
      </c>
      <c r="I236" t="s">
        <v>367</v>
      </c>
      <c r="J236" t="s">
        <v>4458</v>
      </c>
      <c r="K236" t="s">
        <v>4459</v>
      </c>
      <c r="L236" t="s">
        <v>4460</v>
      </c>
      <c r="M236" t="s">
        <v>4407</v>
      </c>
      <c r="N236" t="s">
        <v>60</v>
      </c>
      <c r="O236" t="s">
        <v>34</v>
      </c>
      <c r="P236" s="3">
        <v>10079</v>
      </c>
      <c r="Q236" s="3">
        <v>10079</v>
      </c>
      <c r="R236">
        <v>0</v>
      </c>
      <c r="S236" s="3">
        <v>10079</v>
      </c>
      <c r="T236" t="s">
        <v>4408</v>
      </c>
      <c r="U236">
        <v>7932908</v>
      </c>
    </row>
    <row r="237" spans="1:21" x14ac:dyDescent="0.25">
      <c r="A237" s="9" t="s">
        <v>4401</v>
      </c>
      <c r="B237" s="10">
        <v>44049</v>
      </c>
      <c r="C237" s="1">
        <v>44048</v>
      </c>
      <c r="D237" t="s">
        <v>4402</v>
      </c>
      <c r="E237" s="11">
        <v>0.375</v>
      </c>
      <c r="F237" s="11">
        <v>0.375</v>
      </c>
      <c r="G237">
        <v>72248</v>
      </c>
      <c r="H237" t="s">
        <v>4645</v>
      </c>
      <c r="I237" t="s">
        <v>367</v>
      </c>
      <c r="J237" t="s">
        <v>4458</v>
      </c>
      <c r="K237" t="s">
        <v>4459</v>
      </c>
      <c r="L237" t="s">
        <v>4460</v>
      </c>
      <c r="M237" t="s">
        <v>4407</v>
      </c>
      <c r="N237" t="s">
        <v>60</v>
      </c>
      <c r="O237" t="s">
        <v>34</v>
      </c>
      <c r="P237" s="3">
        <v>265102</v>
      </c>
      <c r="Q237" s="3">
        <v>265102</v>
      </c>
      <c r="R237" s="3">
        <v>26235</v>
      </c>
      <c r="S237" s="3">
        <v>238867</v>
      </c>
      <c r="T237" t="s">
        <v>4408</v>
      </c>
      <c r="U237">
        <v>7932908</v>
      </c>
    </row>
    <row r="238" spans="1:21" x14ac:dyDescent="0.25">
      <c r="A238" s="9" t="s">
        <v>4401</v>
      </c>
      <c r="B238" s="10">
        <v>44049</v>
      </c>
      <c r="C238" s="1">
        <v>44048</v>
      </c>
      <c r="D238" t="s">
        <v>4402</v>
      </c>
      <c r="E238" s="11">
        <v>0.375</v>
      </c>
      <c r="F238" s="11">
        <v>0.375</v>
      </c>
      <c r="G238">
        <v>72249</v>
      </c>
      <c r="H238" t="s">
        <v>4646</v>
      </c>
      <c r="I238" t="s">
        <v>367</v>
      </c>
      <c r="J238" t="s">
        <v>4458</v>
      </c>
      <c r="K238" t="s">
        <v>4459</v>
      </c>
      <c r="L238" t="s">
        <v>4460</v>
      </c>
      <c r="M238" t="s">
        <v>4407</v>
      </c>
      <c r="N238" t="s">
        <v>60</v>
      </c>
      <c r="O238" t="s">
        <v>34</v>
      </c>
      <c r="P238" s="3">
        <v>4427</v>
      </c>
      <c r="Q238" s="3">
        <v>4427</v>
      </c>
      <c r="R238">
        <v>0</v>
      </c>
      <c r="S238" s="3">
        <v>4427</v>
      </c>
      <c r="T238" t="s">
        <v>4408</v>
      </c>
      <c r="U238">
        <v>7932908</v>
      </c>
    </row>
    <row r="239" spans="1:21" x14ac:dyDescent="0.25">
      <c r="A239" s="9" t="s">
        <v>4401</v>
      </c>
      <c r="B239" s="10">
        <v>44049</v>
      </c>
      <c r="C239" s="1">
        <v>44048</v>
      </c>
      <c r="D239" t="s">
        <v>4402</v>
      </c>
      <c r="E239" s="11">
        <v>0.375</v>
      </c>
      <c r="F239" s="11">
        <v>0.375</v>
      </c>
      <c r="G239">
        <v>72252</v>
      </c>
      <c r="H239" t="s">
        <v>4647</v>
      </c>
      <c r="I239" t="s">
        <v>187</v>
      </c>
      <c r="J239" t="s">
        <v>4458</v>
      </c>
      <c r="K239" t="s">
        <v>4459</v>
      </c>
      <c r="L239" t="s">
        <v>4460</v>
      </c>
      <c r="M239" t="s">
        <v>4407</v>
      </c>
      <c r="N239" t="s">
        <v>60</v>
      </c>
      <c r="O239" t="s">
        <v>34</v>
      </c>
      <c r="P239" s="3">
        <v>16434</v>
      </c>
      <c r="Q239" s="3">
        <v>16434</v>
      </c>
      <c r="R239">
        <v>0</v>
      </c>
      <c r="S239" s="3">
        <v>16434</v>
      </c>
      <c r="T239" t="s">
        <v>4408</v>
      </c>
      <c r="U239">
        <v>7932908</v>
      </c>
    </row>
    <row r="240" spans="1:21" x14ac:dyDescent="0.25">
      <c r="A240" s="9" t="s">
        <v>4401</v>
      </c>
      <c r="B240" s="10">
        <v>44049</v>
      </c>
      <c r="C240" s="1">
        <v>44048</v>
      </c>
      <c r="D240" t="s">
        <v>4402</v>
      </c>
      <c r="E240" s="11">
        <v>0.375</v>
      </c>
      <c r="F240" s="11">
        <v>0.375</v>
      </c>
      <c r="G240">
        <v>72263</v>
      </c>
      <c r="H240" t="s">
        <v>4648</v>
      </c>
      <c r="I240">
        <v>3</v>
      </c>
      <c r="J240" t="s">
        <v>4404</v>
      </c>
      <c r="K240" t="s">
        <v>4405</v>
      </c>
      <c r="L240" t="s">
        <v>4406</v>
      </c>
      <c r="M240" t="s">
        <v>4407</v>
      </c>
      <c r="N240" t="s">
        <v>60</v>
      </c>
      <c r="O240" t="s">
        <v>34</v>
      </c>
      <c r="P240" s="3">
        <v>156768</v>
      </c>
      <c r="Q240" s="3">
        <v>156768</v>
      </c>
      <c r="R240" s="3">
        <v>14613</v>
      </c>
      <c r="S240" s="3">
        <v>142155</v>
      </c>
      <c r="T240" t="s">
        <v>4408</v>
      </c>
      <c r="U240">
        <v>7932908</v>
      </c>
    </row>
    <row r="241" spans="1:21" x14ac:dyDescent="0.25">
      <c r="A241" s="9" t="s">
        <v>4401</v>
      </c>
      <c r="B241" s="10">
        <v>44049</v>
      </c>
      <c r="C241" s="1">
        <v>44048</v>
      </c>
      <c r="D241" t="s">
        <v>4402</v>
      </c>
      <c r="E241" s="11">
        <v>0.375</v>
      </c>
      <c r="F241" s="11">
        <v>0.375</v>
      </c>
      <c r="G241">
        <v>72266</v>
      </c>
      <c r="H241" t="s">
        <v>4649</v>
      </c>
      <c r="I241" t="s">
        <v>367</v>
      </c>
      <c r="J241" t="s">
        <v>4458</v>
      </c>
      <c r="K241" t="s">
        <v>4459</v>
      </c>
      <c r="L241" t="s">
        <v>4460</v>
      </c>
      <c r="M241" t="s">
        <v>4407</v>
      </c>
      <c r="N241" t="s">
        <v>60</v>
      </c>
      <c r="O241" t="s">
        <v>34</v>
      </c>
      <c r="P241" s="3">
        <v>3896</v>
      </c>
      <c r="Q241" s="3">
        <v>3896</v>
      </c>
      <c r="R241">
        <v>0</v>
      </c>
      <c r="S241" s="3">
        <v>3896</v>
      </c>
      <c r="T241" t="s">
        <v>4408</v>
      </c>
      <c r="U241">
        <v>7932908</v>
      </c>
    </row>
    <row r="242" spans="1:21" x14ac:dyDescent="0.25">
      <c r="A242" s="9" t="s">
        <v>4401</v>
      </c>
      <c r="B242" s="10">
        <v>44049</v>
      </c>
      <c r="C242" s="1">
        <v>44048</v>
      </c>
      <c r="D242" t="s">
        <v>4402</v>
      </c>
      <c r="E242" s="11">
        <v>0.375</v>
      </c>
      <c r="F242" s="11">
        <v>0.375</v>
      </c>
      <c r="G242">
        <v>72295</v>
      </c>
      <c r="H242" t="s">
        <v>4650</v>
      </c>
      <c r="I242" t="s">
        <v>367</v>
      </c>
      <c r="J242" t="s">
        <v>4458</v>
      </c>
      <c r="K242" t="s">
        <v>4459</v>
      </c>
      <c r="L242" t="s">
        <v>4460</v>
      </c>
      <c r="M242" t="s">
        <v>4407</v>
      </c>
      <c r="N242" t="s">
        <v>60</v>
      </c>
      <c r="O242" t="s">
        <v>34</v>
      </c>
      <c r="P242" s="3">
        <v>4627</v>
      </c>
      <c r="Q242" s="3">
        <v>4627</v>
      </c>
      <c r="R242">
        <v>1</v>
      </c>
      <c r="S242" s="3">
        <v>4626</v>
      </c>
      <c r="T242" t="s">
        <v>4408</v>
      </c>
      <c r="U242">
        <v>7932908</v>
      </c>
    </row>
    <row r="243" spans="1:21" x14ac:dyDescent="0.25">
      <c r="A243" s="9" t="s">
        <v>4401</v>
      </c>
      <c r="B243" s="10">
        <v>44049</v>
      </c>
      <c r="C243" s="1">
        <v>44048</v>
      </c>
      <c r="D243" t="s">
        <v>4402</v>
      </c>
      <c r="E243" s="11">
        <v>0.375</v>
      </c>
      <c r="F243" s="11">
        <v>0.375</v>
      </c>
      <c r="G243">
        <v>72303</v>
      </c>
      <c r="H243" t="s">
        <v>4651</v>
      </c>
      <c r="I243" t="s">
        <v>187</v>
      </c>
      <c r="J243" t="s">
        <v>4458</v>
      </c>
      <c r="K243" t="s">
        <v>4459</v>
      </c>
      <c r="L243" t="s">
        <v>4460</v>
      </c>
      <c r="M243" t="s">
        <v>4407</v>
      </c>
      <c r="N243" t="s">
        <v>60</v>
      </c>
      <c r="O243" t="s">
        <v>34</v>
      </c>
      <c r="P243" s="3">
        <v>4771</v>
      </c>
      <c r="Q243" s="3">
        <v>4771</v>
      </c>
      <c r="R243">
        <v>0</v>
      </c>
      <c r="S243" s="3">
        <v>4771</v>
      </c>
      <c r="T243" t="s">
        <v>4408</v>
      </c>
      <c r="U243">
        <v>7932908</v>
      </c>
    </row>
    <row r="244" spans="1:21" x14ac:dyDescent="0.25">
      <c r="A244" s="9" t="s">
        <v>4401</v>
      </c>
      <c r="B244" s="10">
        <v>44049</v>
      </c>
      <c r="C244" s="1">
        <v>44048</v>
      </c>
      <c r="D244" t="s">
        <v>4402</v>
      </c>
      <c r="E244" s="11">
        <v>0.375</v>
      </c>
      <c r="F244" s="11">
        <v>0.375</v>
      </c>
      <c r="G244">
        <v>72307</v>
      </c>
      <c r="H244" t="s">
        <v>4652</v>
      </c>
      <c r="I244" t="s">
        <v>187</v>
      </c>
      <c r="J244" t="s">
        <v>4458</v>
      </c>
      <c r="K244" t="s">
        <v>4459</v>
      </c>
      <c r="L244" t="s">
        <v>4460</v>
      </c>
      <c r="M244" t="s">
        <v>4407</v>
      </c>
      <c r="N244" t="s">
        <v>60</v>
      </c>
      <c r="O244" t="s">
        <v>34</v>
      </c>
      <c r="P244" s="3">
        <v>17354</v>
      </c>
      <c r="Q244" s="3">
        <v>17354</v>
      </c>
      <c r="R244">
        <v>125</v>
      </c>
      <c r="S244" s="3">
        <v>17229</v>
      </c>
      <c r="T244" t="s">
        <v>4408</v>
      </c>
      <c r="U244">
        <v>7932908</v>
      </c>
    </row>
    <row r="245" spans="1:21" x14ac:dyDescent="0.25">
      <c r="A245" s="9" t="s">
        <v>4401</v>
      </c>
      <c r="B245" s="10">
        <v>44049</v>
      </c>
      <c r="C245" s="1">
        <v>44048</v>
      </c>
      <c r="D245" t="s">
        <v>4402</v>
      </c>
      <c r="E245" s="11">
        <v>0.375</v>
      </c>
      <c r="F245" s="11">
        <v>0.375</v>
      </c>
      <c r="G245">
        <v>72309</v>
      </c>
      <c r="H245" t="s">
        <v>4653</v>
      </c>
      <c r="I245" t="s">
        <v>367</v>
      </c>
      <c r="J245" t="s">
        <v>4458</v>
      </c>
      <c r="K245" t="s">
        <v>4459</v>
      </c>
      <c r="L245" t="s">
        <v>4460</v>
      </c>
      <c r="M245" t="s">
        <v>4407</v>
      </c>
      <c r="N245" t="s">
        <v>60</v>
      </c>
      <c r="O245" t="s">
        <v>34</v>
      </c>
      <c r="P245" s="3">
        <v>4435</v>
      </c>
      <c r="Q245" s="3">
        <v>4435</v>
      </c>
      <c r="R245">
        <v>0</v>
      </c>
      <c r="S245" s="3">
        <v>4435</v>
      </c>
      <c r="T245" t="s">
        <v>4408</v>
      </c>
      <c r="U245">
        <v>7932908</v>
      </c>
    </row>
    <row r="246" spans="1:21" x14ac:dyDescent="0.25">
      <c r="A246" s="9" t="s">
        <v>4401</v>
      </c>
      <c r="B246" s="10">
        <v>44049</v>
      </c>
      <c r="C246" s="1">
        <v>44048</v>
      </c>
      <c r="D246" t="s">
        <v>4402</v>
      </c>
      <c r="E246" s="11">
        <v>0.375</v>
      </c>
      <c r="F246" s="11">
        <v>0.375</v>
      </c>
      <c r="G246">
        <v>72319</v>
      </c>
      <c r="H246" t="s">
        <v>4654</v>
      </c>
      <c r="I246" t="s">
        <v>543</v>
      </c>
      <c r="J246" t="s">
        <v>4458</v>
      </c>
      <c r="K246" t="s">
        <v>4459</v>
      </c>
      <c r="L246" t="s">
        <v>4460</v>
      </c>
      <c r="M246" t="s">
        <v>4407</v>
      </c>
      <c r="N246" t="s">
        <v>60</v>
      </c>
      <c r="O246" t="s">
        <v>34</v>
      </c>
      <c r="P246" s="3">
        <v>76201</v>
      </c>
      <c r="Q246" s="3">
        <v>76201</v>
      </c>
      <c r="R246">
        <v>250</v>
      </c>
      <c r="S246" s="3">
        <v>75951</v>
      </c>
      <c r="T246" t="s">
        <v>4408</v>
      </c>
      <c r="U246">
        <v>7932908</v>
      </c>
    </row>
    <row r="247" spans="1:21" x14ac:dyDescent="0.25">
      <c r="A247" s="9" t="s">
        <v>4401</v>
      </c>
      <c r="B247" s="10">
        <v>44049</v>
      </c>
      <c r="C247" s="1">
        <v>44048</v>
      </c>
      <c r="D247" t="s">
        <v>4402</v>
      </c>
      <c r="E247" s="11">
        <v>0.375</v>
      </c>
      <c r="F247" s="11">
        <v>0.375</v>
      </c>
      <c r="G247">
        <v>72337</v>
      </c>
      <c r="H247" t="s">
        <v>4655</v>
      </c>
      <c r="I247">
        <v>1</v>
      </c>
      <c r="J247" t="s">
        <v>4458</v>
      </c>
      <c r="K247" t="s">
        <v>4459</v>
      </c>
      <c r="L247" t="s">
        <v>4460</v>
      </c>
      <c r="M247" t="s">
        <v>4407</v>
      </c>
      <c r="N247" t="s">
        <v>60</v>
      </c>
      <c r="O247" t="s">
        <v>34</v>
      </c>
      <c r="P247" s="3">
        <v>9338</v>
      </c>
      <c r="Q247" s="3">
        <v>9338</v>
      </c>
      <c r="R247">
        <v>85</v>
      </c>
      <c r="S247" s="3">
        <v>9253</v>
      </c>
      <c r="T247" t="s">
        <v>4408</v>
      </c>
      <c r="U247">
        <v>7932908</v>
      </c>
    </row>
    <row r="248" spans="1:21" x14ac:dyDescent="0.25">
      <c r="A248" s="9" t="s">
        <v>4401</v>
      </c>
      <c r="B248" s="10">
        <v>44049</v>
      </c>
      <c r="C248" s="1">
        <v>44048</v>
      </c>
      <c r="D248" t="s">
        <v>4402</v>
      </c>
      <c r="E248" s="11">
        <v>0.375</v>
      </c>
      <c r="F248" s="11">
        <v>0.375</v>
      </c>
      <c r="G248">
        <v>72367</v>
      </c>
      <c r="H248" t="s">
        <v>4656</v>
      </c>
      <c r="I248" t="s">
        <v>543</v>
      </c>
      <c r="J248" t="s">
        <v>4404</v>
      </c>
      <c r="K248" t="s">
        <v>4405</v>
      </c>
      <c r="L248" t="s">
        <v>4406</v>
      </c>
      <c r="M248" t="s">
        <v>4407</v>
      </c>
      <c r="N248" t="s">
        <v>60</v>
      </c>
      <c r="O248" t="s">
        <v>34</v>
      </c>
      <c r="P248" s="3">
        <v>8922</v>
      </c>
      <c r="Q248" s="3">
        <v>8260</v>
      </c>
      <c r="R248">
        <v>0</v>
      </c>
      <c r="S248" s="3">
        <v>8260</v>
      </c>
      <c r="T248" t="s">
        <v>4408</v>
      </c>
      <c r="U248">
        <v>7932908</v>
      </c>
    </row>
    <row r="249" spans="1:21" x14ac:dyDescent="0.25">
      <c r="A249" s="9" t="s">
        <v>4401</v>
      </c>
      <c r="B249" s="10">
        <v>44049</v>
      </c>
      <c r="C249" s="1">
        <v>44048</v>
      </c>
      <c r="D249" t="s">
        <v>4402</v>
      </c>
      <c r="E249" s="11">
        <v>0.375</v>
      </c>
      <c r="F249" s="11">
        <v>0.375</v>
      </c>
      <c r="G249">
        <v>72377</v>
      </c>
      <c r="H249" t="s">
        <v>4657</v>
      </c>
      <c r="I249" t="s">
        <v>367</v>
      </c>
      <c r="J249" t="s">
        <v>4458</v>
      </c>
      <c r="K249" t="s">
        <v>4459</v>
      </c>
      <c r="L249" t="s">
        <v>4460</v>
      </c>
      <c r="M249" t="s">
        <v>4407</v>
      </c>
      <c r="N249" t="s">
        <v>60</v>
      </c>
      <c r="O249" t="s">
        <v>34</v>
      </c>
      <c r="P249" s="3">
        <v>10090</v>
      </c>
      <c r="Q249" s="3">
        <v>10090</v>
      </c>
      <c r="R249">
        <v>50</v>
      </c>
      <c r="S249" s="3">
        <v>10040</v>
      </c>
      <c r="T249" t="s">
        <v>4408</v>
      </c>
      <c r="U249">
        <v>7932908</v>
      </c>
    </row>
    <row r="250" spans="1:21" x14ac:dyDescent="0.25">
      <c r="A250" s="9" t="s">
        <v>4401</v>
      </c>
      <c r="B250" s="10">
        <v>44049</v>
      </c>
      <c r="C250" s="1">
        <v>44048</v>
      </c>
      <c r="D250" t="s">
        <v>4402</v>
      </c>
      <c r="E250" s="11">
        <v>0.375</v>
      </c>
      <c r="F250" s="11">
        <v>0.375</v>
      </c>
      <c r="G250">
        <v>72382</v>
      </c>
      <c r="H250" t="s">
        <v>4658</v>
      </c>
      <c r="I250" t="s">
        <v>367</v>
      </c>
      <c r="J250" t="s">
        <v>4404</v>
      </c>
      <c r="K250" t="s">
        <v>4405</v>
      </c>
      <c r="L250" t="s">
        <v>4406</v>
      </c>
      <c r="M250" t="s">
        <v>4407</v>
      </c>
      <c r="N250" t="s">
        <v>60</v>
      </c>
      <c r="O250" t="s">
        <v>34</v>
      </c>
      <c r="P250" s="3">
        <v>55329</v>
      </c>
      <c r="Q250" s="3">
        <v>55329</v>
      </c>
      <c r="R250">
        <v>0</v>
      </c>
      <c r="S250" s="3">
        <v>55329</v>
      </c>
      <c r="T250" t="s">
        <v>4408</v>
      </c>
      <c r="U250">
        <v>7932908</v>
      </c>
    </row>
    <row r="251" spans="1:21" x14ac:dyDescent="0.25">
      <c r="A251" s="9" t="s">
        <v>4401</v>
      </c>
      <c r="B251" s="10">
        <v>44049</v>
      </c>
      <c r="C251" s="1">
        <v>44048</v>
      </c>
      <c r="D251" t="s">
        <v>4402</v>
      </c>
      <c r="E251" s="11">
        <v>0.375</v>
      </c>
      <c r="F251" s="11">
        <v>0.375</v>
      </c>
      <c r="G251">
        <v>72395</v>
      </c>
      <c r="H251" t="s">
        <v>4659</v>
      </c>
      <c r="I251" t="s">
        <v>680</v>
      </c>
      <c r="J251" t="s">
        <v>4404</v>
      </c>
      <c r="K251" t="s">
        <v>4405</v>
      </c>
      <c r="L251" t="s">
        <v>4406</v>
      </c>
      <c r="M251" t="s">
        <v>4407</v>
      </c>
      <c r="N251" t="s">
        <v>60</v>
      </c>
      <c r="O251" t="s">
        <v>34</v>
      </c>
      <c r="P251" s="3">
        <v>135980</v>
      </c>
      <c r="Q251" s="3">
        <v>135980</v>
      </c>
      <c r="R251" s="3">
        <v>89060</v>
      </c>
      <c r="S251" s="3">
        <v>46920</v>
      </c>
      <c r="T251" t="s">
        <v>4408</v>
      </c>
      <c r="U251">
        <v>7932908</v>
      </c>
    </row>
    <row r="252" spans="1:21" x14ac:dyDescent="0.25">
      <c r="A252" s="9" t="s">
        <v>4401</v>
      </c>
      <c r="B252" s="10">
        <v>44049</v>
      </c>
      <c r="C252" s="1">
        <v>44048</v>
      </c>
      <c r="D252" t="s">
        <v>4402</v>
      </c>
      <c r="E252" s="11">
        <v>0.375</v>
      </c>
      <c r="F252" s="11">
        <v>0.375</v>
      </c>
      <c r="G252">
        <v>72405</v>
      </c>
      <c r="H252" t="s">
        <v>4660</v>
      </c>
      <c r="I252">
        <v>3</v>
      </c>
      <c r="J252" t="s">
        <v>4404</v>
      </c>
      <c r="K252" t="s">
        <v>4405</v>
      </c>
      <c r="L252" t="s">
        <v>4406</v>
      </c>
      <c r="M252" t="s">
        <v>4407</v>
      </c>
      <c r="N252" t="s">
        <v>60</v>
      </c>
      <c r="O252" t="s">
        <v>34</v>
      </c>
      <c r="P252" s="3">
        <v>78790</v>
      </c>
      <c r="Q252" s="3">
        <v>78790</v>
      </c>
      <c r="R252" s="3">
        <v>6636</v>
      </c>
      <c r="S252" s="3">
        <v>72154</v>
      </c>
      <c r="T252" t="s">
        <v>4408</v>
      </c>
      <c r="U252">
        <v>7932908</v>
      </c>
    </row>
    <row r="253" spans="1:21" x14ac:dyDescent="0.25">
      <c r="A253" s="9" t="s">
        <v>4401</v>
      </c>
      <c r="B253" s="10">
        <v>44049</v>
      </c>
      <c r="C253" s="1">
        <v>44048</v>
      </c>
      <c r="D253" t="s">
        <v>4402</v>
      </c>
      <c r="E253" s="11">
        <v>0.375</v>
      </c>
      <c r="F253" s="11">
        <v>0.375</v>
      </c>
      <c r="G253">
        <v>72428</v>
      </c>
      <c r="H253" t="s">
        <v>4440</v>
      </c>
      <c r="I253">
        <v>2</v>
      </c>
      <c r="J253" t="s">
        <v>4458</v>
      </c>
      <c r="K253" t="s">
        <v>4459</v>
      </c>
      <c r="L253" t="s">
        <v>4460</v>
      </c>
      <c r="M253" t="s">
        <v>4407</v>
      </c>
      <c r="N253" t="s">
        <v>60</v>
      </c>
      <c r="O253" t="s">
        <v>34</v>
      </c>
      <c r="P253" s="3">
        <v>17352</v>
      </c>
      <c r="Q253" s="3">
        <v>17352</v>
      </c>
      <c r="R253" s="3">
        <v>4915</v>
      </c>
      <c r="S253" s="3">
        <v>12437</v>
      </c>
      <c r="T253" t="s">
        <v>4408</v>
      </c>
      <c r="U253">
        <v>7932908</v>
      </c>
    </row>
    <row r="254" spans="1:21" x14ac:dyDescent="0.25">
      <c r="A254" s="9" t="s">
        <v>4401</v>
      </c>
      <c r="B254" s="10">
        <v>44049</v>
      </c>
      <c r="C254" s="1">
        <v>44048</v>
      </c>
      <c r="D254" t="s">
        <v>4402</v>
      </c>
      <c r="E254" s="11">
        <v>0.375</v>
      </c>
      <c r="F254" s="11">
        <v>0.375</v>
      </c>
      <c r="G254">
        <v>72451</v>
      </c>
      <c r="H254" t="s">
        <v>4661</v>
      </c>
      <c r="I254" t="s">
        <v>367</v>
      </c>
      <c r="J254" t="s">
        <v>4458</v>
      </c>
      <c r="K254" t="s">
        <v>4459</v>
      </c>
      <c r="L254" t="s">
        <v>4460</v>
      </c>
      <c r="M254" t="s">
        <v>4407</v>
      </c>
      <c r="N254" t="s">
        <v>60</v>
      </c>
      <c r="O254" t="s">
        <v>34</v>
      </c>
      <c r="P254" s="3">
        <v>4589</v>
      </c>
      <c r="Q254" s="3">
        <v>4589</v>
      </c>
      <c r="R254">
        <v>100</v>
      </c>
      <c r="S254" s="3">
        <v>4489</v>
      </c>
      <c r="T254" t="s">
        <v>4408</v>
      </c>
      <c r="U254">
        <v>7932908</v>
      </c>
    </row>
    <row r="255" spans="1:21" x14ac:dyDescent="0.25">
      <c r="A255" s="9" t="s">
        <v>4401</v>
      </c>
      <c r="B255" s="10">
        <v>44049</v>
      </c>
      <c r="C255" s="1">
        <v>44048</v>
      </c>
      <c r="D255" t="s">
        <v>4402</v>
      </c>
      <c r="E255" s="11">
        <v>0.375</v>
      </c>
      <c r="F255" s="11">
        <v>0.375</v>
      </c>
      <c r="G255">
        <v>72457</v>
      </c>
      <c r="H255" t="s">
        <v>4662</v>
      </c>
      <c r="I255" t="s">
        <v>367</v>
      </c>
      <c r="J255" t="s">
        <v>4458</v>
      </c>
      <c r="K255" t="s">
        <v>4459</v>
      </c>
      <c r="L255" t="s">
        <v>4460</v>
      </c>
      <c r="M255" t="s">
        <v>4407</v>
      </c>
      <c r="N255" t="s">
        <v>60</v>
      </c>
      <c r="O255" t="s">
        <v>34</v>
      </c>
      <c r="P255" s="3">
        <v>4275</v>
      </c>
      <c r="Q255" s="3">
        <v>4275</v>
      </c>
      <c r="R255">
        <v>0</v>
      </c>
      <c r="S255" s="3">
        <v>4275</v>
      </c>
      <c r="T255" t="s">
        <v>4408</v>
      </c>
      <c r="U255">
        <v>7932908</v>
      </c>
    </row>
    <row r="256" spans="1:21" x14ac:dyDescent="0.25">
      <c r="A256" s="9" t="s">
        <v>4401</v>
      </c>
      <c r="B256" s="10">
        <v>44049</v>
      </c>
      <c r="C256" s="1">
        <v>44048</v>
      </c>
      <c r="D256" t="s">
        <v>4402</v>
      </c>
      <c r="E256" s="11">
        <v>0.375</v>
      </c>
      <c r="F256" s="11">
        <v>0.375</v>
      </c>
      <c r="G256">
        <v>72458</v>
      </c>
      <c r="H256" t="s">
        <v>4663</v>
      </c>
      <c r="I256" t="s">
        <v>187</v>
      </c>
      <c r="J256" t="s">
        <v>4458</v>
      </c>
      <c r="K256" t="s">
        <v>4459</v>
      </c>
      <c r="L256" t="s">
        <v>4460</v>
      </c>
      <c r="M256" t="s">
        <v>4407</v>
      </c>
      <c r="N256" t="s">
        <v>60</v>
      </c>
      <c r="O256" t="s">
        <v>34</v>
      </c>
      <c r="P256" s="3">
        <v>4471</v>
      </c>
      <c r="Q256" s="3">
        <v>4471</v>
      </c>
      <c r="R256">
        <v>50</v>
      </c>
      <c r="S256" s="3">
        <v>4421</v>
      </c>
      <c r="T256" t="s">
        <v>4408</v>
      </c>
      <c r="U256">
        <v>7932908</v>
      </c>
    </row>
    <row r="257" spans="1:21" x14ac:dyDescent="0.25">
      <c r="A257" s="9" t="s">
        <v>4401</v>
      </c>
      <c r="B257" s="10">
        <v>44049</v>
      </c>
      <c r="C257" s="1">
        <v>44048</v>
      </c>
      <c r="D257" t="s">
        <v>4402</v>
      </c>
      <c r="E257" s="11">
        <v>0.375</v>
      </c>
      <c r="F257" s="11">
        <v>0.375</v>
      </c>
      <c r="G257">
        <v>72476</v>
      </c>
      <c r="H257" t="s">
        <v>4664</v>
      </c>
      <c r="I257" t="s">
        <v>187</v>
      </c>
      <c r="J257" t="s">
        <v>4458</v>
      </c>
      <c r="K257" t="s">
        <v>4459</v>
      </c>
      <c r="L257" t="s">
        <v>4460</v>
      </c>
      <c r="M257" t="s">
        <v>4407</v>
      </c>
      <c r="N257" t="s">
        <v>60</v>
      </c>
      <c r="O257" t="s">
        <v>34</v>
      </c>
      <c r="P257" s="3">
        <v>10090</v>
      </c>
      <c r="Q257" s="3">
        <v>10090</v>
      </c>
      <c r="R257">
        <v>0</v>
      </c>
      <c r="S257" s="3">
        <v>10090</v>
      </c>
      <c r="T257" t="s">
        <v>4408</v>
      </c>
      <c r="U257">
        <v>7932908</v>
      </c>
    </row>
    <row r="258" spans="1:21" x14ac:dyDescent="0.25">
      <c r="A258" s="9" t="s">
        <v>4401</v>
      </c>
      <c r="B258" s="10">
        <v>44049</v>
      </c>
      <c r="C258" s="1">
        <v>44048</v>
      </c>
      <c r="D258" t="s">
        <v>4402</v>
      </c>
      <c r="E258" s="11">
        <v>0.375</v>
      </c>
      <c r="F258" s="11">
        <v>0.375</v>
      </c>
      <c r="G258">
        <v>72499</v>
      </c>
      <c r="H258" t="s">
        <v>4665</v>
      </c>
      <c r="I258">
        <v>1</v>
      </c>
      <c r="J258" t="s">
        <v>4458</v>
      </c>
      <c r="K258" t="s">
        <v>4459</v>
      </c>
      <c r="L258" t="s">
        <v>4460</v>
      </c>
      <c r="M258" t="s">
        <v>4407</v>
      </c>
      <c r="N258" t="s">
        <v>60</v>
      </c>
      <c r="O258" t="s">
        <v>34</v>
      </c>
      <c r="P258" s="3">
        <v>126675</v>
      </c>
      <c r="Q258" s="3">
        <v>126675</v>
      </c>
      <c r="R258" s="3">
        <v>15809</v>
      </c>
      <c r="S258" s="3">
        <v>110866</v>
      </c>
      <c r="T258" t="s">
        <v>4408</v>
      </c>
      <c r="U258">
        <v>7932908</v>
      </c>
    </row>
    <row r="259" spans="1:21" x14ac:dyDescent="0.25">
      <c r="A259" s="9" t="s">
        <v>4401</v>
      </c>
      <c r="B259" s="10">
        <v>44049</v>
      </c>
      <c r="C259" s="1">
        <v>44048</v>
      </c>
      <c r="D259" t="s">
        <v>4402</v>
      </c>
      <c r="E259" s="11">
        <v>0.375</v>
      </c>
      <c r="F259" s="11">
        <v>0.375</v>
      </c>
      <c r="G259">
        <v>72514</v>
      </c>
      <c r="H259" t="s">
        <v>4666</v>
      </c>
      <c r="I259">
        <v>1</v>
      </c>
      <c r="J259" t="s">
        <v>4458</v>
      </c>
      <c r="K259" t="s">
        <v>4459</v>
      </c>
      <c r="L259" t="s">
        <v>4460</v>
      </c>
      <c r="M259" t="s">
        <v>4407</v>
      </c>
      <c r="N259" t="s">
        <v>60</v>
      </c>
      <c r="O259" t="s">
        <v>34</v>
      </c>
      <c r="P259" s="3">
        <v>9369</v>
      </c>
      <c r="Q259" s="3">
        <v>9369</v>
      </c>
      <c r="R259">
        <v>0</v>
      </c>
      <c r="S259" s="3">
        <v>9369</v>
      </c>
      <c r="T259" t="s">
        <v>4408</v>
      </c>
      <c r="U259">
        <v>7932908</v>
      </c>
    </row>
    <row r="260" spans="1:21" x14ac:dyDescent="0.25">
      <c r="A260" s="9" t="s">
        <v>4401</v>
      </c>
      <c r="B260" s="10">
        <v>44049</v>
      </c>
      <c r="C260" s="1">
        <v>44048</v>
      </c>
      <c r="D260" t="s">
        <v>4402</v>
      </c>
      <c r="E260" s="11">
        <v>0.375</v>
      </c>
      <c r="F260" s="11">
        <v>0.375</v>
      </c>
      <c r="G260">
        <v>72525</v>
      </c>
      <c r="H260" t="s">
        <v>4667</v>
      </c>
      <c r="I260" t="s">
        <v>187</v>
      </c>
      <c r="J260" t="s">
        <v>4458</v>
      </c>
      <c r="K260" t="s">
        <v>4459</v>
      </c>
      <c r="L260" t="s">
        <v>4460</v>
      </c>
      <c r="M260" t="s">
        <v>4407</v>
      </c>
      <c r="N260" t="s">
        <v>60</v>
      </c>
      <c r="O260" t="s">
        <v>34</v>
      </c>
      <c r="P260" s="3">
        <v>9732</v>
      </c>
      <c r="Q260" s="3">
        <v>9732</v>
      </c>
      <c r="R260">
        <v>1</v>
      </c>
      <c r="S260" s="3">
        <v>9731</v>
      </c>
      <c r="T260" t="s">
        <v>4408</v>
      </c>
      <c r="U260">
        <v>7932908</v>
      </c>
    </row>
    <row r="261" spans="1:21" x14ac:dyDescent="0.25">
      <c r="A261" s="9" t="s">
        <v>4401</v>
      </c>
      <c r="B261" s="10">
        <v>44049</v>
      </c>
      <c r="C261" s="1">
        <v>44048</v>
      </c>
      <c r="D261" t="s">
        <v>4402</v>
      </c>
      <c r="E261" s="11">
        <v>0.375</v>
      </c>
      <c r="F261" s="11">
        <v>0.375</v>
      </c>
      <c r="G261">
        <v>72533</v>
      </c>
      <c r="H261" t="s">
        <v>4668</v>
      </c>
      <c r="I261">
        <v>2</v>
      </c>
      <c r="J261" t="s">
        <v>4404</v>
      </c>
      <c r="K261" t="s">
        <v>4405</v>
      </c>
      <c r="L261" t="s">
        <v>4406</v>
      </c>
      <c r="M261" t="s">
        <v>4407</v>
      </c>
      <c r="N261" t="s">
        <v>34</v>
      </c>
      <c r="O261" t="s">
        <v>34</v>
      </c>
      <c r="P261" s="3">
        <v>1942</v>
      </c>
      <c r="Q261" s="3">
        <v>1942</v>
      </c>
      <c r="R261">
        <v>50</v>
      </c>
      <c r="S261" s="3">
        <v>1892</v>
      </c>
      <c r="T261" t="s">
        <v>4408</v>
      </c>
      <c r="U261">
        <v>7932908</v>
      </c>
    </row>
    <row r="262" spans="1:21" x14ac:dyDescent="0.25">
      <c r="A262" s="9" t="s">
        <v>4401</v>
      </c>
      <c r="B262" s="10">
        <v>44049</v>
      </c>
      <c r="C262" s="1">
        <v>44048</v>
      </c>
      <c r="D262" t="s">
        <v>4402</v>
      </c>
      <c r="E262" s="11">
        <v>0.375</v>
      </c>
      <c r="F262" s="11">
        <v>0.375</v>
      </c>
      <c r="G262">
        <v>72536</v>
      </c>
      <c r="H262" t="s">
        <v>4669</v>
      </c>
      <c r="I262">
        <v>2</v>
      </c>
      <c r="J262" t="s">
        <v>4404</v>
      </c>
      <c r="K262" t="s">
        <v>4405</v>
      </c>
      <c r="L262" t="s">
        <v>4406</v>
      </c>
      <c r="M262" t="s">
        <v>4407</v>
      </c>
      <c r="N262" t="s">
        <v>60</v>
      </c>
      <c r="O262" t="s">
        <v>34</v>
      </c>
      <c r="P262" s="3">
        <v>3870</v>
      </c>
      <c r="Q262" s="3">
        <v>3870</v>
      </c>
      <c r="R262">
        <v>30</v>
      </c>
      <c r="S262" s="3">
        <v>3840</v>
      </c>
      <c r="T262" t="s">
        <v>4408</v>
      </c>
      <c r="U262">
        <v>7932908</v>
      </c>
    </row>
    <row r="263" spans="1:21" x14ac:dyDescent="0.25">
      <c r="A263" s="9" t="s">
        <v>4401</v>
      </c>
      <c r="B263" s="10">
        <v>44049</v>
      </c>
      <c r="C263" s="1">
        <v>44048</v>
      </c>
      <c r="D263" t="s">
        <v>4402</v>
      </c>
      <c r="E263" s="11">
        <v>0.375</v>
      </c>
      <c r="F263" s="11">
        <v>0.375</v>
      </c>
      <c r="G263">
        <v>72566</v>
      </c>
      <c r="H263" t="s">
        <v>4670</v>
      </c>
      <c r="I263">
        <v>1</v>
      </c>
      <c r="J263" t="s">
        <v>4404</v>
      </c>
      <c r="K263" t="s">
        <v>4405</v>
      </c>
      <c r="L263" t="s">
        <v>4406</v>
      </c>
      <c r="M263" t="s">
        <v>4407</v>
      </c>
      <c r="N263" t="s">
        <v>60</v>
      </c>
      <c r="O263" t="s">
        <v>34</v>
      </c>
      <c r="P263" s="3">
        <v>115931</v>
      </c>
      <c r="Q263" s="3">
        <v>115931</v>
      </c>
      <c r="R263">
        <v>0</v>
      </c>
      <c r="S263" s="3">
        <v>115931</v>
      </c>
      <c r="T263" t="s">
        <v>4408</v>
      </c>
      <c r="U263">
        <v>7932908</v>
      </c>
    </row>
    <row r="264" spans="1:21" x14ac:dyDescent="0.25">
      <c r="A264" s="9" t="s">
        <v>4401</v>
      </c>
      <c r="B264" s="10">
        <v>44049</v>
      </c>
      <c r="C264" s="1">
        <v>44048</v>
      </c>
      <c r="D264" t="s">
        <v>4402</v>
      </c>
      <c r="E264" s="11">
        <v>0.375</v>
      </c>
      <c r="F264" s="11">
        <v>0.375</v>
      </c>
      <c r="G264">
        <v>72568</v>
      </c>
      <c r="H264" t="s">
        <v>4671</v>
      </c>
      <c r="I264" t="s">
        <v>543</v>
      </c>
      <c r="J264" t="s">
        <v>4458</v>
      </c>
      <c r="K264" t="s">
        <v>4459</v>
      </c>
      <c r="L264" t="s">
        <v>4460</v>
      </c>
      <c r="M264" t="s">
        <v>4407</v>
      </c>
      <c r="N264" t="s">
        <v>60</v>
      </c>
      <c r="O264" t="s">
        <v>34</v>
      </c>
      <c r="P264" s="3">
        <v>307806</v>
      </c>
      <c r="Q264" s="3">
        <v>307806</v>
      </c>
      <c r="R264" s="3">
        <v>15000</v>
      </c>
      <c r="S264" s="3">
        <v>292806</v>
      </c>
      <c r="T264" t="s">
        <v>4408</v>
      </c>
      <c r="U264">
        <v>7932908</v>
      </c>
    </row>
    <row r="265" spans="1:21" x14ac:dyDescent="0.25">
      <c r="A265" s="9" t="s">
        <v>4401</v>
      </c>
      <c r="B265" s="10">
        <v>44049</v>
      </c>
      <c r="C265" s="1">
        <v>44048</v>
      </c>
      <c r="D265" t="s">
        <v>4402</v>
      </c>
      <c r="E265" s="11">
        <v>0.375</v>
      </c>
      <c r="F265" s="11">
        <v>0.375</v>
      </c>
      <c r="G265">
        <v>72571</v>
      </c>
      <c r="H265" t="s">
        <v>4672</v>
      </c>
      <c r="I265">
        <v>3</v>
      </c>
      <c r="J265" t="s">
        <v>4404</v>
      </c>
      <c r="K265" t="s">
        <v>4405</v>
      </c>
      <c r="L265" t="s">
        <v>4406</v>
      </c>
      <c r="M265" t="s">
        <v>4407</v>
      </c>
      <c r="N265" t="s">
        <v>60</v>
      </c>
      <c r="O265" t="s">
        <v>34</v>
      </c>
      <c r="P265" s="3">
        <v>67554</v>
      </c>
      <c r="Q265" s="3">
        <v>67554</v>
      </c>
      <c r="R265">
        <v>130</v>
      </c>
      <c r="S265" s="3">
        <v>67424</v>
      </c>
      <c r="T265" t="s">
        <v>4408</v>
      </c>
      <c r="U265">
        <v>7932908</v>
      </c>
    </row>
    <row r="266" spans="1:21" x14ac:dyDescent="0.25">
      <c r="A266" s="9" t="s">
        <v>4401</v>
      </c>
      <c r="B266" s="10">
        <v>44049</v>
      </c>
      <c r="C266" s="1">
        <v>44048</v>
      </c>
      <c r="D266" t="s">
        <v>4402</v>
      </c>
      <c r="E266" s="11">
        <v>0.375</v>
      </c>
      <c r="F266" s="11">
        <v>0.375</v>
      </c>
      <c r="G266">
        <v>72580</v>
      </c>
      <c r="H266" t="s">
        <v>4673</v>
      </c>
      <c r="I266" t="s">
        <v>543</v>
      </c>
      <c r="J266" t="s">
        <v>4404</v>
      </c>
      <c r="K266" t="s">
        <v>4405</v>
      </c>
      <c r="L266" t="s">
        <v>4406</v>
      </c>
      <c r="M266" t="s">
        <v>4407</v>
      </c>
      <c r="N266" t="s">
        <v>60</v>
      </c>
      <c r="O266" t="s">
        <v>34</v>
      </c>
      <c r="P266" s="3">
        <v>97571</v>
      </c>
      <c r="Q266" s="3">
        <v>97571</v>
      </c>
      <c r="R266" s="3">
        <v>30000</v>
      </c>
      <c r="S266" s="3">
        <v>67571</v>
      </c>
      <c r="T266" t="s">
        <v>4408</v>
      </c>
      <c r="U266">
        <v>7932908</v>
      </c>
    </row>
    <row r="267" spans="1:21" x14ac:dyDescent="0.25">
      <c r="A267" s="9" t="s">
        <v>4401</v>
      </c>
      <c r="B267" s="10">
        <v>44049</v>
      </c>
      <c r="C267" s="1">
        <v>44048</v>
      </c>
      <c r="D267" t="s">
        <v>4402</v>
      </c>
      <c r="E267" s="11">
        <v>0.375</v>
      </c>
      <c r="F267" s="11">
        <v>0.375</v>
      </c>
      <c r="G267">
        <v>72584</v>
      </c>
      <c r="H267" t="s">
        <v>4674</v>
      </c>
      <c r="I267" t="s">
        <v>187</v>
      </c>
      <c r="J267" t="s">
        <v>4458</v>
      </c>
      <c r="K267" t="s">
        <v>4459</v>
      </c>
      <c r="L267" t="s">
        <v>4460</v>
      </c>
      <c r="M267" t="s">
        <v>4407</v>
      </c>
      <c r="N267" t="s">
        <v>60</v>
      </c>
      <c r="O267" t="s">
        <v>34</v>
      </c>
      <c r="P267" s="3">
        <v>9733</v>
      </c>
      <c r="Q267" s="3">
        <v>9733</v>
      </c>
      <c r="R267">
        <v>0</v>
      </c>
      <c r="S267" s="3">
        <v>9733</v>
      </c>
      <c r="T267" t="s">
        <v>4408</v>
      </c>
      <c r="U267">
        <v>7932908</v>
      </c>
    </row>
    <row r="268" spans="1:21" x14ac:dyDescent="0.25">
      <c r="A268" s="9" t="s">
        <v>4401</v>
      </c>
      <c r="B268" s="10">
        <v>44049</v>
      </c>
      <c r="C268" s="1">
        <v>44048</v>
      </c>
      <c r="D268" t="s">
        <v>4402</v>
      </c>
      <c r="E268" s="11">
        <v>0.375</v>
      </c>
      <c r="F268" s="11">
        <v>0.375</v>
      </c>
      <c r="G268">
        <v>72587</v>
      </c>
      <c r="H268" t="s">
        <v>4675</v>
      </c>
      <c r="I268" t="s">
        <v>543</v>
      </c>
      <c r="J268" t="s">
        <v>4404</v>
      </c>
      <c r="K268" t="s">
        <v>4405</v>
      </c>
      <c r="L268" t="s">
        <v>4406</v>
      </c>
      <c r="M268" t="s">
        <v>4407</v>
      </c>
      <c r="N268" t="s">
        <v>60</v>
      </c>
      <c r="O268" t="s">
        <v>34</v>
      </c>
      <c r="P268" s="3">
        <v>135981</v>
      </c>
      <c r="Q268" s="3">
        <v>135981</v>
      </c>
      <c r="R268" s="3">
        <v>14000</v>
      </c>
      <c r="S268" s="3">
        <v>121981</v>
      </c>
      <c r="T268" t="s">
        <v>4408</v>
      </c>
      <c r="U268">
        <v>7932908</v>
      </c>
    </row>
    <row r="269" spans="1:21" x14ac:dyDescent="0.25">
      <c r="A269" s="9" t="s">
        <v>4401</v>
      </c>
      <c r="B269" s="10">
        <v>44049</v>
      </c>
      <c r="C269" s="1">
        <v>44048</v>
      </c>
      <c r="D269" t="s">
        <v>4402</v>
      </c>
      <c r="E269" s="11">
        <v>0.375</v>
      </c>
      <c r="F269" s="11">
        <v>0.375</v>
      </c>
      <c r="G269">
        <v>72592</v>
      </c>
      <c r="H269" t="s">
        <v>4676</v>
      </c>
      <c r="I269" t="s">
        <v>367</v>
      </c>
      <c r="J269" t="s">
        <v>4458</v>
      </c>
      <c r="K269" t="s">
        <v>4459</v>
      </c>
      <c r="L269" t="s">
        <v>4460</v>
      </c>
      <c r="M269" t="s">
        <v>4407</v>
      </c>
      <c r="N269" t="s">
        <v>60</v>
      </c>
      <c r="O269" t="s">
        <v>34</v>
      </c>
      <c r="P269" s="3">
        <v>213645</v>
      </c>
      <c r="Q269" s="3">
        <v>213645</v>
      </c>
      <c r="R269">
        <v>0</v>
      </c>
      <c r="S269" s="3">
        <v>213645</v>
      </c>
      <c r="T269" t="s">
        <v>4408</v>
      </c>
      <c r="U269">
        <v>7932908</v>
      </c>
    </row>
    <row r="270" spans="1:21" x14ac:dyDescent="0.25">
      <c r="A270" s="9" t="s">
        <v>4401</v>
      </c>
      <c r="B270" s="10">
        <v>44049</v>
      </c>
      <c r="C270" s="1">
        <v>44048</v>
      </c>
      <c r="D270" t="s">
        <v>4402</v>
      </c>
      <c r="E270" s="11">
        <v>0.375</v>
      </c>
      <c r="F270" s="11">
        <v>0.375</v>
      </c>
      <c r="G270">
        <v>72594</v>
      </c>
      <c r="H270" t="s">
        <v>4677</v>
      </c>
      <c r="I270">
        <v>1</v>
      </c>
      <c r="J270" t="s">
        <v>4458</v>
      </c>
      <c r="K270" t="s">
        <v>4459</v>
      </c>
      <c r="L270" t="s">
        <v>4460</v>
      </c>
      <c r="M270" t="s">
        <v>4407</v>
      </c>
      <c r="N270" t="s">
        <v>60</v>
      </c>
      <c r="O270" t="s">
        <v>34</v>
      </c>
      <c r="P270" s="3">
        <v>17983</v>
      </c>
      <c r="Q270" s="3">
        <v>17983</v>
      </c>
      <c r="R270">
        <v>60</v>
      </c>
      <c r="S270" s="3">
        <v>17923</v>
      </c>
      <c r="T270" t="s">
        <v>4408</v>
      </c>
      <c r="U270">
        <v>7932908</v>
      </c>
    </row>
    <row r="271" spans="1:21" x14ac:dyDescent="0.25">
      <c r="A271" s="9" t="s">
        <v>4401</v>
      </c>
      <c r="B271" s="10">
        <v>44049</v>
      </c>
      <c r="C271" s="1">
        <v>44048</v>
      </c>
      <c r="D271" t="s">
        <v>4402</v>
      </c>
      <c r="E271" s="11">
        <v>0.375</v>
      </c>
      <c r="F271" s="11">
        <v>0.375</v>
      </c>
      <c r="G271">
        <v>72597</v>
      </c>
      <c r="H271" t="s">
        <v>4678</v>
      </c>
      <c r="I271">
        <v>1</v>
      </c>
      <c r="J271" t="s">
        <v>4404</v>
      </c>
      <c r="K271" t="s">
        <v>4405</v>
      </c>
      <c r="L271" t="s">
        <v>4406</v>
      </c>
      <c r="M271" t="s">
        <v>4407</v>
      </c>
      <c r="N271" t="s">
        <v>60</v>
      </c>
      <c r="O271" t="s">
        <v>34</v>
      </c>
      <c r="P271" s="3">
        <v>2348</v>
      </c>
      <c r="Q271" s="3">
        <v>2348</v>
      </c>
      <c r="R271">
        <v>50</v>
      </c>
      <c r="S271" s="3">
        <v>2298</v>
      </c>
      <c r="T271" t="s">
        <v>4408</v>
      </c>
      <c r="U271">
        <v>7932908</v>
      </c>
    </row>
    <row r="272" spans="1:21" x14ac:dyDescent="0.25">
      <c r="A272" s="9" t="s">
        <v>4401</v>
      </c>
      <c r="B272" s="10">
        <v>44049</v>
      </c>
      <c r="C272" s="1">
        <v>44048</v>
      </c>
      <c r="D272" t="s">
        <v>4402</v>
      </c>
      <c r="E272" s="11">
        <v>0.375</v>
      </c>
      <c r="F272" s="11">
        <v>0.375</v>
      </c>
      <c r="G272">
        <v>72601</v>
      </c>
      <c r="H272" t="s">
        <v>4679</v>
      </c>
      <c r="I272" t="s">
        <v>367</v>
      </c>
      <c r="J272" t="s">
        <v>4458</v>
      </c>
      <c r="K272" t="s">
        <v>4459</v>
      </c>
      <c r="L272" t="s">
        <v>4460</v>
      </c>
      <c r="M272" t="s">
        <v>4407</v>
      </c>
      <c r="N272" t="s">
        <v>60</v>
      </c>
      <c r="O272" t="s">
        <v>34</v>
      </c>
      <c r="P272" s="3">
        <v>294631</v>
      </c>
      <c r="Q272" s="3">
        <v>294631</v>
      </c>
      <c r="R272">
        <v>0</v>
      </c>
      <c r="S272" s="3">
        <v>294631</v>
      </c>
      <c r="T272" t="s">
        <v>4408</v>
      </c>
      <c r="U272">
        <v>7932908</v>
      </c>
    </row>
    <row r="273" spans="1:21" x14ac:dyDescent="0.25">
      <c r="A273" s="9" t="s">
        <v>4401</v>
      </c>
      <c r="B273" s="10">
        <v>44049</v>
      </c>
      <c r="C273" s="1">
        <v>44048</v>
      </c>
      <c r="D273" t="s">
        <v>4402</v>
      </c>
      <c r="E273" s="11">
        <v>0.375</v>
      </c>
      <c r="F273" s="11">
        <v>0.375</v>
      </c>
      <c r="G273">
        <v>72603</v>
      </c>
      <c r="H273" t="s">
        <v>4680</v>
      </c>
      <c r="I273" t="s">
        <v>367</v>
      </c>
      <c r="J273" t="s">
        <v>4404</v>
      </c>
      <c r="K273" t="s">
        <v>4405</v>
      </c>
      <c r="L273" t="s">
        <v>4406</v>
      </c>
      <c r="M273" t="s">
        <v>4407</v>
      </c>
      <c r="N273" t="s">
        <v>60</v>
      </c>
      <c r="O273" t="s">
        <v>34</v>
      </c>
      <c r="P273" s="3">
        <v>131284</v>
      </c>
      <c r="Q273" s="3">
        <v>131284</v>
      </c>
      <c r="R273" s="3">
        <v>40000</v>
      </c>
      <c r="S273" s="3">
        <v>91284</v>
      </c>
      <c r="T273" t="s">
        <v>4408</v>
      </c>
      <c r="U273">
        <v>7932908</v>
      </c>
    </row>
    <row r="274" spans="1:21" x14ac:dyDescent="0.25">
      <c r="A274" s="9" t="s">
        <v>4401</v>
      </c>
      <c r="B274" s="10">
        <v>44049</v>
      </c>
      <c r="C274" s="1">
        <v>44048</v>
      </c>
      <c r="D274" t="s">
        <v>4402</v>
      </c>
      <c r="E274" s="11">
        <v>0.375</v>
      </c>
      <c r="F274" s="11">
        <v>0.375</v>
      </c>
      <c r="G274">
        <v>72604</v>
      </c>
      <c r="H274" t="s">
        <v>4681</v>
      </c>
      <c r="I274" t="s">
        <v>680</v>
      </c>
      <c r="J274" t="s">
        <v>4404</v>
      </c>
      <c r="K274" t="s">
        <v>4405</v>
      </c>
      <c r="L274" t="s">
        <v>4406</v>
      </c>
      <c r="M274" t="s">
        <v>4407</v>
      </c>
      <c r="N274" t="s">
        <v>60</v>
      </c>
      <c r="O274" t="s">
        <v>34</v>
      </c>
      <c r="P274" s="3">
        <v>191432</v>
      </c>
      <c r="Q274" s="3">
        <v>195931</v>
      </c>
      <c r="R274" s="3">
        <v>64708</v>
      </c>
      <c r="S274" s="3">
        <v>131223</v>
      </c>
      <c r="T274" t="s">
        <v>4408</v>
      </c>
      <c r="U274">
        <v>7932908</v>
      </c>
    </row>
    <row r="275" spans="1:21" x14ac:dyDescent="0.25">
      <c r="A275" s="9" t="s">
        <v>4401</v>
      </c>
      <c r="B275" s="10">
        <v>44049</v>
      </c>
      <c r="C275" s="1">
        <v>44048</v>
      </c>
      <c r="D275" t="s">
        <v>4402</v>
      </c>
      <c r="E275" s="11">
        <v>0.375</v>
      </c>
      <c r="F275" s="11">
        <v>0.375</v>
      </c>
      <c r="G275">
        <v>72614</v>
      </c>
      <c r="H275" t="s">
        <v>4682</v>
      </c>
      <c r="I275" t="s">
        <v>543</v>
      </c>
      <c r="J275" t="s">
        <v>4458</v>
      </c>
      <c r="K275" t="s">
        <v>4459</v>
      </c>
      <c r="L275" t="s">
        <v>4460</v>
      </c>
      <c r="M275" t="s">
        <v>4407</v>
      </c>
      <c r="N275" t="s">
        <v>60</v>
      </c>
      <c r="O275" t="s">
        <v>34</v>
      </c>
      <c r="P275" s="3">
        <v>157102</v>
      </c>
      <c r="Q275" s="3">
        <v>157102</v>
      </c>
      <c r="R275" s="3">
        <v>17400</v>
      </c>
      <c r="S275" s="3">
        <v>139702</v>
      </c>
      <c r="T275" t="s">
        <v>4408</v>
      </c>
      <c r="U275">
        <v>7932908</v>
      </c>
    </row>
    <row r="276" spans="1:21" x14ac:dyDescent="0.25">
      <c r="A276" s="9" t="s">
        <v>4401</v>
      </c>
      <c r="B276" s="10">
        <v>44049</v>
      </c>
      <c r="C276" s="1">
        <v>44048</v>
      </c>
      <c r="D276" t="s">
        <v>4402</v>
      </c>
      <c r="E276" s="11">
        <v>0.375</v>
      </c>
      <c r="F276" s="11">
        <v>0.375</v>
      </c>
      <c r="G276">
        <v>72616</v>
      </c>
      <c r="H276" t="s">
        <v>4683</v>
      </c>
      <c r="I276" t="s">
        <v>543</v>
      </c>
      <c r="J276" t="s">
        <v>4458</v>
      </c>
      <c r="K276" t="s">
        <v>4459</v>
      </c>
      <c r="L276" t="s">
        <v>4460</v>
      </c>
      <c r="M276" t="s">
        <v>4407</v>
      </c>
      <c r="N276" t="s">
        <v>60</v>
      </c>
      <c r="O276" t="s">
        <v>34</v>
      </c>
      <c r="P276" s="3">
        <v>70955</v>
      </c>
      <c r="Q276" s="3">
        <v>70955</v>
      </c>
      <c r="R276">
        <v>30</v>
      </c>
      <c r="S276" s="3">
        <v>70925</v>
      </c>
      <c r="T276" t="s">
        <v>4408</v>
      </c>
      <c r="U276">
        <v>7932908</v>
      </c>
    </row>
    <row r="277" spans="1:21" x14ac:dyDescent="0.25">
      <c r="A277" s="9" t="s">
        <v>4401</v>
      </c>
      <c r="B277" s="10">
        <v>44049</v>
      </c>
      <c r="C277" s="1">
        <v>44048</v>
      </c>
      <c r="D277" t="s">
        <v>4402</v>
      </c>
      <c r="E277" s="11">
        <v>0.375</v>
      </c>
      <c r="F277" s="11">
        <v>0.375</v>
      </c>
      <c r="G277">
        <v>72621</v>
      </c>
      <c r="H277" t="s">
        <v>4684</v>
      </c>
      <c r="I277" t="s">
        <v>367</v>
      </c>
      <c r="J277" t="s">
        <v>4458</v>
      </c>
      <c r="K277" t="s">
        <v>4459</v>
      </c>
      <c r="L277" t="s">
        <v>4460</v>
      </c>
      <c r="M277" t="s">
        <v>4407</v>
      </c>
      <c r="N277" t="s">
        <v>60</v>
      </c>
      <c r="O277" t="s">
        <v>34</v>
      </c>
      <c r="P277" s="3">
        <v>66456</v>
      </c>
      <c r="Q277" s="3">
        <v>66456</v>
      </c>
      <c r="R277">
        <v>0</v>
      </c>
      <c r="S277" s="3">
        <v>66456</v>
      </c>
      <c r="T277" t="s">
        <v>4408</v>
      </c>
      <c r="U277">
        <v>7932908</v>
      </c>
    </row>
    <row r="278" spans="1:21" x14ac:dyDescent="0.25">
      <c r="A278" s="9" t="s">
        <v>4401</v>
      </c>
      <c r="B278" s="10">
        <v>44049</v>
      </c>
      <c r="C278" s="1">
        <v>44048</v>
      </c>
      <c r="D278" t="s">
        <v>4402</v>
      </c>
      <c r="E278" s="11">
        <v>0.375</v>
      </c>
      <c r="F278" s="11">
        <v>0.375</v>
      </c>
      <c r="G278">
        <v>72626</v>
      </c>
      <c r="H278" t="s">
        <v>4685</v>
      </c>
      <c r="I278" t="s">
        <v>367</v>
      </c>
      <c r="J278" t="s">
        <v>4458</v>
      </c>
      <c r="K278" t="s">
        <v>4459</v>
      </c>
      <c r="L278" t="s">
        <v>4460</v>
      </c>
      <c r="M278" t="s">
        <v>4407</v>
      </c>
      <c r="N278" t="s">
        <v>60</v>
      </c>
      <c r="O278" t="s">
        <v>34</v>
      </c>
      <c r="P278" s="3">
        <v>15647</v>
      </c>
      <c r="Q278" s="3">
        <v>15647</v>
      </c>
      <c r="R278">
        <v>0</v>
      </c>
      <c r="S278" s="3">
        <v>15647</v>
      </c>
      <c r="T278" t="s">
        <v>4408</v>
      </c>
      <c r="U278">
        <v>7932908</v>
      </c>
    </row>
    <row r="279" spans="1:21" x14ac:dyDescent="0.25">
      <c r="A279" s="9" t="s">
        <v>4401</v>
      </c>
      <c r="B279" s="10">
        <v>44049</v>
      </c>
      <c r="C279" s="1">
        <v>44048</v>
      </c>
      <c r="D279" t="s">
        <v>4402</v>
      </c>
      <c r="E279" s="11">
        <v>0.375</v>
      </c>
      <c r="F279" s="11">
        <v>0.375</v>
      </c>
      <c r="G279">
        <v>72636</v>
      </c>
      <c r="H279" t="s">
        <v>4686</v>
      </c>
      <c r="I279">
        <v>3</v>
      </c>
      <c r="J279" t="s">
        <v>4404</v>
      </c>
      <c r="K279" t="s">
        <v>4405</v>
      </c>
      <c r="L279" t="s">
        <v>4406</v>
      </c>
      <c r="M279" t="s">
        <v>4407</v>
      </c>
      <c r="N279" t="s">
        <v>60</v>
      </c>
      <c r="O279" t="s">
        <v>34</v>
      </c>
      <c r="P279" s="3">
        <v>46674</v>
      </c>
      <c r="Q279" s="3">
        <v>46674</v>
      </c>
      <c r="R279">
        <v>0</v>
      </c>
      <c r="S279" s="3">
        <v>46674</v>
      </c>
      <c r="T279" t="s">
        <v>4408</v>
      </c>
      <c r="U279">
        <v>7932908</v>
      </c>
    </row>
    <row r="280" spans="1:21" x14ac:dyDescent="0.25">
      <c r="A280" s="9" t="s">
        <v>4401</v>
      </c>
      <c r="B280" s="10">
        <v>44049</v>
      </c>
      <c r="C280" s="1">
        <v>44048</v>
      </c>
      <c r="D280" t="s">
        <v>4402</v>
      </c>
      <c r="E280" s="11">
        <v>0.375</v>
      </c>
      <c r="F280" s="11">
        <v>0.375</v>
      </c>
      <c r="G280">
        <v>72637</v>
      </c>
      <c r="H280" t="s">
        <v>4687</v>
      </c>
      <c r="I280">
        <v>2</v>
      </c>
      <c r="J280" t="s">
        <v>4404</v>
      </c>
      <c r="K280" t="s">
        <v>4405</v>
      </c>
      <c r="L280" t="s">
        <v>4406</v>
      </c>
      <c r="M280" t="s">
        <v>4407</v>
      </c>
      <c r="N280" t="s">
        <v>60</v>
      </c>
      <c r="O280" t="s">
        <v>34</v>
      </c>
      <c r="P280" s="3">
        <v>189294</v>
      </c>
      <c r="Q280" s="3">
        <v>189294</v>
      </c>
      <c r="R280" s="3">
        <v>3000</v>
      </c>
      <c r="S280" s="3">
        <v>186294</v>
      </c>
      <c r="T280" t="s">
        <v>4408</v>
      </c>
      <c r="U280">
        <v>7932908</v>
      </c>
    </row>
    <row r="281" spans="1:21" x14ac:dyDescent="0.25">
      <c r="A281" s="9" t="s">
        <v>4401</v>
      </c>
      <c r="B281" s="10">
        <v>44049</v>
      </c>
      <c r="C281" s="1">
        <v>44048</v>
      </c>
      <c r="D281" t="s">
        <v>4402</v>
      </c>
      <c r="E281" s="11">
        <v>0.375</v>
      </c>
      <c r="F281" s="11">
        <v>0.375</v>
      </c>
      <c r="G281">
        <v>72648</v>
      </c>
      <c r="H281" t="s">
        <v>4688</v>
      </c>
      <c r="I281">
        <v>2</v>
      </c>
      <c r="J281" t="s">
        <v>4404</v>
      </c>
      <c r="K281" t="s">
        <v>4405</v>
      </c>
      <c r="L281" t="s">
        <v>4406</v>
      </c>
      <c r="M281" t="s">
        <v>4407</v>
      </c>
      <c r="N281" t="s">
        <v>60</v>
      </c>
      <c r="O281" t="s">
        <v>34</v>
      </c>
      <c r="P281" s="3">
        <v>167636</v>
      </c>
      <c r="Q281" s="3">
        <v>167636</v>
      </c>
      <c r="R281">
        <v>0</v>
      </c>
      <c r="S281" s="3">
        <v>167636</v>
      </c>
      <c r="T281" t="s">
        <v>4408</v>
      </c>
      <c r="U281">
        <v>7932908</v>
      </c>
    </row>
    <row r="282" spans="1:21" x14ac:dyDescent="0.25">
      <c r="A282" s="9" t="s">
        <v>4401</v>
      </c>
      <c r="B282" s="10">
        <v>44049</v>
      </c>
      <c r="C282" s="1">
        <v>44048</v>
      </c>
      <c r="D282" t="s">
        <v>4402</v>
      </c>
      <c r="E282" s="11">
        <v>0.375</v>
      </c>
      <c r="F282" s="11">
        <v>0.375</v>
      </c>
      <c r="G282">
        <v>72649</v>
      </c>
      <c r="H282" t="s">
        <v>4689</v>
      </c>
      <c r="I282">
        <v>3</v>
      </c>
      <c r="J282" t="s">
        <v>4404</v>
      </c>
      <c r="K282" t="s">
        <v>4405</v>
      </c>
      <c r="L282" t="s">
        <v>4406</v>
      </c>
      <c r="M282" t="s">
        <v>4407</v>
      </c>
      <c r="N282" t="s">
        <v>60</v>
      </c>
      <c r="O282" t="s">
        <v>34</v>
      </c>
      <c r="P282" s="3">
        <v>34552</v>
      </c>
      <c r="Q282" s="3">
        <v>35000</v>
      </c>
      <c r="R282" s="3">
        <v>4000</v>
      </c>
      <c r="S282" s="3">
        <v>31000</v>
      </c>
      <c r="T282" t="s">
        <v>4408</v>
      </c>
      <c r="U282">
        <v>7932908</v>
      </c>
    </row>
    <row r="283" spans="1:21" x14ac:dyDescent="0.25">
      <c r="A283" s="9" t="s">
        <v>4401</v>
      </c>
      <c r="B283" s="10">
        <v>44049</v>
      </c>
      <c r="C283" s="1">
        <v>44048</v>
      </c>
      <c r="D283" t="s">
        <v>4402</v>
      </c>
      <c r="E283" s="11">
        <v>0.375</v>
      </c>
      <c r="F283" s="11">
        <v>0.375</v>
      </c>
      <c r="G283">
        <v>72654</v>
      </c>
      <c r="H283" t="s">
        <v>4690</v>
      </c>
      <c r="I283" t="s">
        <v>367</v>
      </c>
      <c r="J283" t="s">
        <v>4458</v>
      </c>
      <c r="K283" t="s">
        <v>4459</v>
      </c>
      <c r="L283" t="s">
        <v>4460</v>
      </c>
      <c r="M283" t="s">
        <v>4407</v>
      </c>
      <c r="N283" t="s">
        <v>60</v>
      </c>
      <c r="O283" t="s">
        <v>34</v>
      </c>
      <c r="P283" s="3">
        <v>65813</v>
      </c>
      <c r="Q283" s="3">
        <v>65813</v>
      </c>
      <c r="R283">
        <v>120</v>
      </c>
      <c r="S283" s="3">
        <v>65693</v>
      </c>
      <c r="T283" t="s">
        <v>4408</v>
      </c>
      <c r="U283">
        <v>7932908</v>
      </c>
    </row>
    <row r="284" spans="1:21" x14ac:dyDescent="0.25">
      <c r="A284" s="9" t="s">
        <v>4401</v>
      </c>
      <c r="B284" s="10">
        <v>44049</v>
      </c>
      <c r="C284" s="1">
        <v>44048</v>
      </c>
      <c r="D284" t="s">
        <v>4402</v>
      </c>
      <c r="E284" s="11">
        <v>0.375</v>
      </c>
      <c r="F284" s="11">
        <v>0.375</v>
      </c>
      <c r="G284">
        <v>72655</v>
      </c>
      <c r="H284" t="s">
        <v>4691</v>
      </c>
      <c r="I284" t="s">
        <v>367</v>
      </c>
      <c r="J284" t="s">
        <v>4458</v>
      </c>
      <c r="K284" t="s">
        <v>4459</v>
      </c>
      <c r="L284" t="s">
        <v>4460</v>
      </c>
      <c r="M284" t="s">
        <v>4407</v>
      </c>
      <c r="N284" t="s">
        <v>60</v>
      </c>
      <c r="O284" t="s">
        <v>34</v>
      </c>
      <c r="P284" s="3">
        <v>138077</v>
      </c>
      <c r="Q284" s="3">
        <v>138077</v>
      </c>
      <c r="R284">
        <v>0</v>
      </c>
      <c r="S284" s="3">
        <v>138077</v>
      </c>
      <c r="T284" t="s">
        <v>4408</v>
      </c>
      <c r="U284">
        <v>7932908</v>
      </c>
    </row>
    <row r="285" spans="1:21" x14ac:dyDescent="0.25">
      <c r="A285" s="9" t="s">
        <v>4401</v>
      </c>
      <c r="B285" s="10">
        <v>44049</v>
      </c>
      <c r="C285" s="1">
        <v>44048</v>
      </c>
      <c r="D285" t="s">
        <v>4402</v>
      </c>
      <c r="E285" s="11">
        <v>0.375</v>
      </c>
      <c r="F285" s="11">
        <v>0.375</v>
      </c>
      <c r="G285">
        <v>72664</v>
      </c>
      <c r="H285" t="s">
        <v>4692</v>
      </c>
      <c r="I285">
        <v>1</v>
      </c>
      <c r="J285" t="s">
        <v>4404</v>
      </c>
      <c r="K285" t="s">
        <v>4405</v>
      </c>
      <c r="L285" t="s">
        <v>4406</v>
      </c>
      <c r="M285" t="s">
        <v>4407</v>
      </c>
      <c r="N285" t="s">
        <v>60</v>
      </c>
      <c r="O285" t="s">
        <v>34</v>
      </c>
      <c r="P285" s="3">
        <v>5345</v>
      </c>
      <c r="Q285" s="3">
        <v>5345</v>
      </c>
      <c r="R285" s="3">
        <v>1684</v>
      </c>
      <c r="S285" s="3">
        <v>3661</v>
      </c>
      <c r="T285" t="s">
        <v>4408</v>
      </c>
      <c r="U285">
        <v>7932908</v>
      </c>
    </row>
    <row r="286" spans="1:21" x14ac:dyDescent="0.25">
      <c r="A286" s="9" t="s">
        <v>4401</v>
      </c>
      <c r="B286" s="10">
        <v>44049</v>
      </c>
      <c r="C286" s="1">
        <v>44048</v>
      </c>
      <c r="D286" t="s">
        <v>4402</v>
      </c>
      <c r="E286" s="11">
        <v>0.375</v>
      </c>
      <c r="F286" s="11">
        <v>0.375</v>
      </c>
      <c r="G286">
        <v>72668</v>
      </c>
      <c r="H286" t="s">
        <v>4693</v>
      </c>
      <c r="I286" t="s">
        <v>367</v>
      </c>
      <c r="J286" t="s">
        <v>4458</v>
      </c>
      <c r="K286" t="s">
        <v>4459</v>
      </c>
      <c r="L286" t="s">
        <v>4460</v>
      </c>
      <c r="M286" t="s">
        <v>4407</v>
      </c>
      <c r="N286" t="s">
        <v>60</v>
      </c>
      <c r="O286" t="s">
        <v>34</v>
      </c>
      <c r="P286" s="3">
        <v>9733</v>
      </c>
      <c r="Q286" s="3">
        <v>9733</v>
      </c>
      <c r="R286">
        <v>0</v>
      </c>
      <c r="S286" s="3">
        <v>9733</v>
      </c>
      <c r="T286" t="s">
        <v>4408</v>
      </c>
      <c r="U286">
        <v>7932908</v>
      </c>
    </row>
    <row r="287" spans="1:21" x14ac:dyDescent="0.25">
      <c r="A287" s="9" t="s">
        <v>4401</v>
      </c>
      <c r="B287" s="10">
        <v>44049</v>
      </c>
      <c r="C287" s="1">
        <v>44048</v>
      </c>
      <c r="D287" t="s">
        <v>4402</v>
      </c>
      <c r="E287" s="11">
        <v>0.375</v>
      </c>
      <c r="F287" s="11">
        <v>0.375</v>
      </c>
      <c r="G287">
        <v>72672</v>
      </c>
      <c r="H287" t="s">
        <v>4694</v>
      </c>
      <c r="I287">
        <v>1</v>
      </c>
      <c r="J287" t="s">
        <v>4404</v>
      </c>
      <c r="K287" t="s">
        <v>4405</v>
      </c>
      <c r="L287" t="s">
        <v>4406</v>
      </c>
      <c r="M287" t="s">
        <v>4407</v>
      </c>
      <c r="N287" t="s">
        <v>60</v>
      </c>
      <c r="O287" t="s">
        <v>34</v>
      </c>
      <c r="P287" s="3">
        <v>67828</v>
      </c>
      <c r="Q287" s="3">
        <v>67828</v>
      </c>
      <c r="R287">
        <v>0</v>
      </c>
      <c r="S287" s="3">
        <v>67828</v>
      </c>
      <c r="T287" t="s">
        <v>4408</v>
      </c>
      <c r="U287">
        <v>7932908</v>
      </c>
    </row>
    <row r="288" spans="1:21" x14ac:dyDescent="0.25">
      <c r="A288" s="9" t="s">
        <v>4401</v>
      </c>
      <c r="B288" s="10">
        <v>44049</v>
      </c>
      <c r="C288" s="1">
        <v>44048</v>
      </c>
      <c r="D288" t="s">
        <v>4402</v>
      </c>
      <c r="E288" s="11">
        <v>0.375</v>
      </c>
      <c r="F288" s="11">
        <v>0.375</v>
      </c>
      <c r="G288">
        <v>72692</v>
      </c>
      <c r="H288" t="s">
        <v>4695</v>
      </c>
      <c r="I288" t="s">
        <v>543</v>
      </c>
      <c r="J288" t="s">
        <v>4458</v>
      </c>
      <c r="K288" t="s">
        <v>4459</v>
      </c>
      <c r="L288" t="s">
        <v>4460</v>
      </c>
      <c r="M288" t="s">
        <v>4407</v>
      </c>
      <c r="N288" t="s">
        <v>60</v>
      </c>
      <c r="O288" t="s">
        <v>34</v>
      </c>
      <c r="P288" s="3">
        <v>37855</v>
      </c>
      <c r="Q288" s="3">
        <v>37855</v>
      </c>
      <c r="R288">
        <v>250</v>
      </c>
      <c r="S288" s="3">
        <v>37605</v>
      </c>
      <c r="T288" t="s">
        <v>4408</v>
      </c>
      <c r="U288">
        <v>7932908</v>
      </c>
    </row>
    <row r="289" spans="1:21" x14ac:dyDescent="0.25">
      <c r="A289" s="9" t="s">
        <v>4401</v>
      </c>
      <c r="B289" s="10">
        <v>44049</v>
      </c>
      <c r="C289" s="1">
        <v>44048</v>
      </c>
      <c r="D289" t="s">
        <v>4402</v>
      </c>
      <c r="E289" s="11">
        <v>0.375</v>
      </c>
      <c r="F289" s="11">
        <v>0.375</v>
      </c>
      <c r="G289">
        <v>72694</v>
      </c>
      <c r="H289" t="s">
        <v>4696</v>
      </c>
      <c r="I289">
        <v>3</v>
      </c>
      <c r="J289" t="s">
        <v>4458</v>
      </c>
      <c r="K289" t="s">
        <v>4459</v>
      </c>
      <c r="L289" t="s">
        <v>4460</v>
      </c>
      <c r="M289" t="s">
        <v>4407</v>
      </c>
      <c r="N289" t="s">
        <v>60</v>
      </c>
      <c r="O289" t="s">
        <v>34</v>
      </c>
      <c r="P289" s="3">
        <v>17953</v>
      </c>
      <c r="Q289" s="3">
        <v>17953</v>
      </c>
      <c r="R289">
        <v>0</v>
      </c>
      <c r="S289" s="3">
        <v>17953</v>
      </c>
      <c r="T289" t="s">
        <v>4408</v>
      </c>
      <c r="U289">
        <v>7932908</v>
      </c>
    </row>
    <row r="290" spans="1:21" x14ac:dyDescent="0.25">
      <c r="A290" s="9" t="s">
        <v>4401</v>
      </c>
      <c r="B290" s="10">
        <v>44049</v>
      </c>
      <c r="C290" s="1">
        <v>44048</v>
      </c>
      <c r="D290" t="s">
        <v>4402</v>
      </c>
      <c r="E290" s="11">
        <v>0.375</v>
      </c>
      <c r="F290" s="11">
        <v>0.375</v>
      </c>
      <c r="G290">
        <v>72697</v>
      </c>
      <c r="H290" t="s">
        <v>4697</v>
      </c>
      <c r="I290">
        <v>1</v>
      </c>
      <c r="J290" t="s">
        <v>4458</v>
      </c>
      <c r="K290" t="s">
        <v>4459</v>
      </c>
      <c r="L290" t="s">
        <v>4460</v>
      </c>
      <c r="M290" t="s">
        <v>4407</v>
      </c>
      <c r="N290" t="s">
        <v>60</v>
      </c>
      <c r="O290" t="s">
        <v>34</v>
      </c>
      <c r="P290" s="3">
        <v>9471</v>
      </c>
      <c r="Q290" s="3">
        <v>9471</v>
      </c>
      <c r="R290">
        <v>65</v>
      </c>
      <c r="S290" s="3">
        <v>9406</v>
      </c>
      <c r="T290" t="s">
        <v>4408</v>
      </c>
      <c r="U290">
        <v>7932908</v>
      </c>
    </row>
    <row r="291" spans="1:21" x14ac:dyDescent="0.25">
      <c r="A291" s="9" t="s">
        <v>4401</v>
      </c>
      <c r="B291" s="10">
        <v>44049</v>
      </c>
      <c r="C291" s="1">
        <v>44048</v>
      </c>
      <c r="D291" t="s">
        <v>4402</v>
      </c>
      <c r="E291" s="11">
        <v>0.375</v>
      </c>
      <c r="F291" s="11">
        <v>0.375</v>
      </c>
      <c r="G291">
        <v>72716</v>
      </c>
      <c r="H291" t="s">
        <v>4698</v>
      </c>
      <c r="I291" t="s">
        <v>367</v>
      </c>
      <c r="J291" t="s">
        <v>4458</v>
      </c>
      <c r="K291" t="s">
        <v>4459</v>
      </c>
      <c r="L291" t="s">
        <v>4460</v>
      </c>
      <c r="M291" t="s">
        <v>4407</v>
      </c>
      <c r="N291" t="s">
        <v>60</v>
      </c>
      <c r="O291" t="s">
        <v>34</v>
      </c>
      <c r="P291" s="3">
        <v>72653</v>
      </c>
      <c r="Q291" s="3">
        <v>72653</v>
      </c>
      <c r="R291">
        <v>0</v>
      </c>
      <c r="S291" s="3">
        <v>72653</v>
      </c>
      <c r="T291" t="s">
        <v>4408</v>
      </c>
      <c r="U291">
        <v>7932908</v>
      </c>
    </row>
    <row r="292" spans="1:21" x14ac:dyDescent="0.25">
      <c r="A292" s="9" t="s">
        <v>4401</v>
      </c>
      <c r="B292" s="10">
        <v>44049</v>
      </c>
      <c r="C292" s="1">
        <v>44048</v>
      </c>
      <c r="D292" t="s">
        <v>4402</v>
      </c>
      <c r="E292" s="11">
        <v>0.375</v>
      </c>
      <c r="F292" s="11">
        <v>0.375</v>
      </c>
      <c r="G292">
        <v>72718</v>
      </c>
      <c r="H292" t="s">
        <v>4699</v>
      </c>
      <c r="I292" t="s">
        <v>187</v>
      </c>
      <c r="J292" t="s">
        <v>4458</v>
      </c>
      <c r="K292" t="s">
        <v>4459</v>
      </c>
      <c r="L292" t="s">
        <v>4460</v>
      </c>
      <c r="M292" t="s">
        <v>4407</v>
      </c>
      <c r="N292" t="s">
        <v>60</v>
      </c>
      <c r="O292" t="s">
        <v>34</v>
      </c>
      <c r="P292" s="3">
        <v>9044</v>
      </c>
      <c r="Q292" s="3">
        <v>9044</v>
      </c>
      <c r="R292">
        <v>1</v>
      </c>
      <c r="S292" s="3">
        <v>9043</v>
      </c>
      <c r="T292" t="s">
        <v>4408</v>
      </c>
      <c r="U292">
        <v>7932908</v>
      </c>
    </row>
    <row r="293" spans="1:21" x14ac:dyDescent="0.25">
      <c r="A293" s="9" t="s">
        <v>4401</v>
      </c>
      <c r="B293" s="10">
        <v>44049</v>
      </c>
      <c r="C293" s="1">
        <v>44048</v>
      </c>
      <c r="D293" t="s">
        <v>4402</v>
      </c>
      <c r="E293" s="11">
        <v>0.375</v>
      </c>
      <c r="F293" s="11">
        <v>0.375</v>
      </c>
      <c r="G293">
        <v>72723</v>
      </c>
      <c r="H293" t="s">
        <v>4700</v>
      </c>
      <c r="I293" t="s">
        <v>367</v>
      </c>
      <c r="J293" t="s">
        <v>4458</v>
      </c>
      <c r="K293" t="s">
        <v>4459</v>
      </c>
      <c r="L293" t="s">
        <v>4460</v>
      </c>
      <c r="M293" t="s">
        <v>4407</v>
      </c>
      <c r="N293" t="s">
        <v>60</v>
      </c>
      <c r="O293" t="s">
        <v>34</v>
      </c>
      <c r="P293" s="3">
        <v>35876</v>
      </c>
      <c r="Q293" s="3">
        <v>35876</v>
      </c>
      <c r="R293">
        <v>0</v>
      </c>
      <c r="S293" s="3">
        <v>35876</v>
      </c>
      <c r="T293" t="s">
        <v>4408</v>
      </c>
      <c r="U293">
        <v>7932908</v>
      </c>
    </row>
    <row r="294" spans="1:21" x14ac:dyDescent="0.25">
      <c r="A294" s="9" t="s">
        <v>4401</v>
      </c>
      <c r="B294" s="10">
        <v>44049</v>
      </c>
      <c r="C294" s="1">
        <v>44048</v>
      </c>
      <c r="D294" t="s">
        <v>4402</v>
      </c>
      <c r="E294" s="11">
        <v>0.375</v>
      </c>
      <c r="F294" s="11">
        <v>0.375</v>
      </c>
      <c r="G294">
        <v>72744</v>
      </c>
      <c r="H294" t="s">
        <v>4701</v>
      </c>
      <c r="I294" t="s">
        <v>367</v>
      </c>
      <c r="J294" t="s">
        <v>4458</v>
      </c>
      <c r="K294" t="s">
        <v>4459</v>
      </c>
      <c r="L294" t="s">
        <v>4460</v>
      </c>
      <c r="M294" t="s">
        <v>4407</v>
      </c>
      <c r="N294" t="s">
        <v>60</v>
      </c>
      <c r="O294" t="s">
        <v>34</v>
      </c>
      <c r="P294" s="3">
        <v>16086</v>
      </c>
      <c r="Q294" s="3">
        <v>16086</v>
      </c>
      <c r="R294">
        <v>1</v>
      </c>
      <c r="S294" s="3">
        <v>16085</v>
      </c>
      <c r="T294" t="s">
        <v>4408</v>
      </c>
      <c r="U294">
        <v>7932908</v>
      </c>
    </row>
    <row r="295" spans="1:21" x14ac:dyDescent="0.25">
      <c r="A295" s="9" t="s">
        <v>4401</v>
      </c>
      <c r="B295" s="10">
        <v>44049</v>
      </c>
      <c r="C295" s="1">
        <v>44048</v>
      </c>
      <c r="D295" t="s">
        <v>4402</v>
      </c>
      <c r="E295" s="11">
        <v>0.375</v>
      </c>
      <c r="F295" s="11">
        <v>0.375</v>
      </c>
      <c r="G295">
        <v>72745</v>
      </c>
      <c r="H295" t="s">
        <v>4702</v>
      </c>
      <c r="I295">
        <v>3</v>
      </c>
      <c r="J295" t="s">
        <v>4404</v>
      </c>
      <c r="K295" t="s">
        <v>4405</v>
      </c>
      <c r="L295" t="s">
        <v>4406</v>
      </c>
      <c r="M295" t="s">
        <v>4407</v>
      </c>
      <c r="N295" t="s">
        <v>60</v>
      </c>
      <c r="O295" t="s">
        <v>34</v>
      </c>
      <c r="P295" s="3">
        <v>55428</v>
      </c>
      <c r="Q295" s="3">
        <v>55428</v>
      </c>
      <c r="R295">
        <v>0</v>
      </c>
      <c r="S295" s="3">
        <v>55428</v>
      </c>
      <c r="T295" t="s">
        <v>4408</v>
      </c>
      <c r="U295">
        <v>7932908</v>
      </c>
    </row>
    <row r="296" spans="1:21" x14ac:dyDescent="0.25">
      <c r="A296" s="9" t="s">
        <v>4401</v>
      </c>
      <c r="B296" s="10">
        <v>44049</v>
      </c>
      <c r="C296" s="1">
        <v>44048</v>
      </c>
      <c r="D296" t="s">
        <v>4402</v>
      </c>
      <c r="E296" s="11">
        <v>0.375</v>
      </c>
      <c r="F296" s="11">
        <v>0.375</v>
      </c>
      <c r="G296">
        <v>72750</v>
      </c>
      <c r="H296" t="s">
        <v>4703</v>
      </c>
      <c r="I296" t="s">
        <v>367</v>
      </c>
      <c r="J296" t="s">
        <v>4458</v>
      </c>
      <c r="K296" t="s">
        <v>4459</v>
      </c>
      <c r="L296" t="s">
        <v>4460</v>
      </c>
      <c r="M296" t="s">
        <v>4407</v>
      </c>
      <c r="N296" t="s">
        <v>60</v>
      </c>
      <c r="O296" t="s">
        <v>34</v>
      </c>
      <c r="P296" s="3">
        <v>4420</v>
      </c>
      <c r="Q296" s="3">
        <v>4420</v>
      </c>
      <c r="R296">
        <v>0</v>
      </c>
      <c r="S296" s="3">
        <v>4420</v>
      </c>
      <c r="T296" t="s">
        <v>4408</v>
      </c>
      <c r="U296">
        <v>7932908</v>
      </c>
    </row>
    <row r="297" spans="1:21" x14ac:dyDescent="0.25">
      <c r="A297" s="9" t="s">
        <v>4401</v>
      </c>
      <c r="B297" s="10">
        <v>44049</v>
      </c>
      <c r="C297" s="1">
        <v>44048</v>
      </c>
      <c r="D297" t="s">
        <v>4402</v>
      </c>
      <c r="E297" s="11">
        <v>0.375</v>
      </c>
      <c r="F297" s="11">
        <v>0.375</v>
      </c>
      <c r="G297">
        <v>72764</v>
      </c>
      <c r="H297" t="s">
        <v>4704</v>
      </c>
      <c r="I297" t="s">
        <v>680</v>
      </c>
      <c r="J297" t="s">
        <v>4458</v>
      </c>
      <c r="K297" t="s">
        <v>4459</v>
      </c>
      <c r="L297" t="s">
        <v>4460</v>
      </c>
      <c r="M297" t="s">
        <v>4407</v>
      </c>
      <c r="N297" t="s">
        <v>60</v>
      </c>
      <c r="O297" t="s">
        <v>34</v>
      </c>
      <c r="P297" s="3">
        <v>196049</v>
      </c>
      <c r="Q297" s="3">
        <v>196049</v>
      </c>
      <c r="R297" s="3">
        <v>11415</v>
      </c>
      <c r="S297" s="3">
        <v>184634</v>
      </c>
      <c r="T297" t="s">
        <v>4408</v>
      </c>
      <c r="U297">
        <v>7932908</v>
      </c>
    </row>
    <row r="298" spans="1:21" x14ac:dyDescent="0.25">
      <c r="A298" s="9" t="s">
        <v>4401</v>
      </c>
      <c r="B298" s="10">
        <v>44049</v>
      </c>
      <c r="C298" s="1">
        <v>44048</v>
      </c>
      <c r="D298" t="s">
        <v>4402</v>
      </c>
      <c r="E298" s="11">
        <v>0.375</v>
      </c>
      <c r="F298" s="11">
        <v>0.375</v>
      </c>
      <c r="G298">
        <v>72770</v>
      </c>
      <c r="H298" t="s">
        <v>1700</v>
      </c>
      <c r="I298">
        <v>2</v>
      </c>
      <c r="J298" t="s">
        <v>4404</v>
      </c>
      <c r="K298" t="s">
        <v>4405</v>
      </c>
      <c r="L298" t="s">
        <v>4406</v>
      </c>
      <c r="M298" t="s">
        <v>4407</v>
      </c>
      <c r="N298" t="s">
        <v>34</v>
      </c>
      <c r="O298" t="s">
        <v>34</v>
      </c>
      <c r="P298" s="3">
        <v>661500</v>
      </c>
      <c r="Q298" s="3">
        <v>661500</v>
      </c>
      <c r="R298" s="3">
        <v>1332</v>
      </c>
      <c r="S298" s="3">
        <v>660168</v>
      </c>
      <c r="T298" t="s">
        <v>4408</v>
      </c>
      <c r="U298">
        <v>7932908</v>
      </c>
    </row>
    <row r="299" spans="1:21" x14ac:dyDescent="0.25">
      <c r="A299" s="9" t="s">
        <v>4401</v>
      </c>
      <c r="B299" s="10">
        <v>44049</v>
      </c>
      <c r="C299" s="1">
        <v>44048</v>
      </c>
      <c r="D299" t="s">
        <v>4402</v>
      </c>
      <c r="E299" s="11">
        <v>0.375</v>
      </c>
      <c r="F299" s="11">
        <v>0.375</v>
      </c>
      <c r="G299">
        <v>72770</v>
      </c>
      <c r="H299" t="s">
        <v>1700</v>
      </c>
      <c r="I299">
        <v>2</v>
      </c>
      <c r="J299" t="s">
        <v>4458</v>
      </c>
      <c r="K299" t="s">
        <v>4459</v>
      </c>
      <c r="L299" t="s">
        <v>4460</v>
      </c>
      <c r="M299" t="s">
        <v>4407</v>
      </c>
      <c r="N299" t="s">
        <v>34</v>
      </c>
      <c r="O299" t="s">
        <v>34</v>
      </c>
      <c r="P299" s="3">
        <v>425000</v>
      </c>
      <c r="Q299" s="3">
        <v>425000</v>
      </c>
      <c r="R299" s="3">
        <v>44425</v>
      </c>
      <c r="S299" s="3">
        <v>380575</v>
      </c>
      <c r="T299" t="s">
        <v>4408</v>
      </c>
      <c r="U299">
        <v>7932908</v>
      </c>
    </row>
    <row r="300" spans="1:21" x14ac:dyDescent="0.25">
      <c r="A300" s="9" t="s">
        <v>4401</v>
      </c>
      <c r="B300" s="10">
        <v>44049</v>
      </c>
      <c r="C300" s="1">
        <v>44048</v>
      </c>
      <c r="D300" t="s">
        <v>4402</v>
      </c>
      <c r="E300" s="11">
        <v>0.375</v>
      </c>
      <c r="F300" s="11">
        <v>0.375</v>
      </c>
      <c r="G300">
        <v>72798</v>
      </c>
      <c r="H300" t="s">
        <v>4705</v>
      </c>
      <c r="I300">
        <v>2</v>
      </c>
      <c r="J300" t="s">
        <v>4404</v>
      </c>
      <c r="K300" t="s">
        <v>4405</v>
      </c>
      <c r="L300" t="s">
        <v>4406</v>
      </c>
      <c r="M300" t="s">
        <v>4407</v>
      </c>
      <c r="N300" t="s">
        <v>60</v>
      </c>
      <c r="O300" t="s">
        <v>34</v>
      </c>
      <c r="P300" s="3">
        <v>57794</v>
      </c>
      <c r="Q300" s="3">
        <v>57794</v>
      </c>
      <c r="R300" s="3">
        <v>2085</v>
      </c>
      <c r="S300" s="3">
        <v>55709</v>
      </c>
      <c r="T300" t="s">
        <v>4408</v>
      </c>
      <c r="U300">
        <v>7932908</v>
      </c>
    </row>
    <row r="301" spans="1:21" x14ac:dyDescent="0.25">
      <c r="A301" s="9" t="s">
        <v>4401</v>
      </c>
      <c r="B301" s="10">
        <v>44049</v>
      </c>
      <c r="C301" s="1">
        <v>44048</v>
      </c>
      <c r="D301" t="s">
        <v>4402</v>
      </c>
      <c r="E301" s="11">
        <v>0.375</v>
      </c>
      <c r="F301" s="11">
        <v>0.375</v>
      </c>
      <c r="G301">
        <v>72803</v>
      </c>
      <c r="H301" t="s">
        <v>4706</v>
      </c>
      <c r="I301">
        <v>2</v>
      </c>
      <c r="J301" t="s">
        <v>4458</v>
      </c>
      <c r="K301" t="s">
        <v>4459</v>
      </c>
      <c r="L301" t="s">
        <v>4460</v>
      </c>
      <c r="M301" t="s">
        <v>4407</v>
      </c>
      <c r="N301" t="s">
        <v>60</v>
      </c>
      <c r="O301" t="s">
        <v>34</v>
      </c>
      <c r="P301" s="3">
        <v>4281</v>
      </c>
      <c r="Q301" s="3">
        <v>4281</v>
      </c>
      <c r="R301">
        <v>0</v>
      </c>
      <c r="S301" s="3">
        <v>4281</v>
      </c>
      <c r="T301" t="s">
        <v>4408</v>
      </c>
      <c r="U301">
        <v>7932908</v>
      </c>
    </row>
    <row r="302" spans="1:21" x14ac:dyDescent="0.25">
      <c r="A302" s="9" t="s">
        <v>4401</v>
      </c>
      <c r="B302" s="10">
        <v>44049</v>
      </c>
      <c r="C302" s="1">
        <v>44048</v>
      </c>
      <c r="D302" t="s">
        <v>4402</v>
      </c>
      <c r="E302" s="11">
        <v>0.375</v>
      </c>
      <c r="F302" s="11">
        <v>0.375</v>
      </c>
      <c r="G302">
        <v>72808</v>
      </c>
      <c r="H302" t="s">
        <v>4707</v>
      </c>
      <c r="I302" t="s">
        <v>187</v>
      </c>
      <c r="J302" t="s">
        <v>4458</v>
      </c>
      <c r="K302" t="s">
        <v>4459</v>
      </c>
      <c r="L302" t="s">
        <v>4460</v>
      </c>
      <c r="M302" t="s">
        <v>4407</v>
      </c>
      <c r="N302" t="s">
        <v>60</v>
      </c>
      <c r="O302" t="s">
        <v>34</v>
      </c>
      <c r="P302" s="3">
        <v>10440</v>
      </c>
      <c r="Q302" s="3">
        <v>10440</v>
      </c>
      <c r="R302">
        <v>75</v>
      </c>
      <c r="S302" s="3">
        <v>10365</v>
      </c>
      <c r="T302" t="s">
        <v>4408</v>
      </c>
      <c r="U302">
        <v>7932908</v>
      </c>
    </row>
    <row r="303" spans="1:21" x14ac:dyDescent="0.25">
      <c r="A303" s="9" t="s">
        <v>4401</v>
      </c>
      <c r="B303" s="10">
        <v>44049</v>
      </c>
      <c r="C303" s="1">
        <v>44048</v>
      </c>
      <c r="D303" t="s">
        <v>4402</v>
      </c>
      <c r="E303" s="11">
        <v>0.375</v>
      </c>
      <c r="F303" s="11">
        <v>0.375</v>
      </c>
      <c r="G303">
        <v>72824</v>
      </c>
      <c r="H303" t="s">
        <v>4708</v>
      </c>
      <c r="I303" t="s">
        <v>543</v>
      </c>
      <c r="J303" t="s">
        <v>4404</v>
      </c>
      <c r="K303" t="s">
        <v>4405</v>
      </c>
      <c r="L303" t="s">
        <v>4406</v>
      </c>
      <c r="M303" t="s">
        <v>4407</v>
      </c>
      <c r="N303" t="s">
        <v>60</v>
      </c>
      <c r="O303" t="s">
        <v>34</v>
      </c>
      <c r="P303" s="3">
        <v>34227</v>
      </c>
      <c r="Q303" s="3">
        <v>34227</v>
      </c>
      <c r="R303" s="3">
        <v>6022</v>
      </c>
      <c r="S303" s="3">
        <v>28205</v>
      </c>
      <c r="T303" t="s">
        <v>4408</v>
      </c>
      <c r="U303">
        <v>7932908</v>
      </c>
    </row>
    <row r="304" spans="1:21" x14ac:dyDescent="0.25">
      <c r="A304" s="9" t="s">
        <v>4401</v>
      </c>
      <c r="B304" s="10">
        <v>44049</v>
      </c>
      <c r="C304" s="1">
        <v>44048</v>
      </c>
      <c r="D304" t="s">
        <v>4402</v>
      </c>
      <c r="E304" s="11">
        <v>0.375</v>
      </c>
      <c r="F304" s="11">
        <v>0.375</v>
      </c>
      <c r="G304">
        <v>72825</v>
      </c>
      <c r="H304" t="s">
        <v>4709</v>
      </c>
      <c r="I304" t="s">
        <v>367</v>
      </c>
      <c r="J304" t="s">
        <v>4458</v>
      </c>
      <c r="K304" t="s">
        <v>4459</v>
      </c>
      <c r="L304" t="s">
        <v>4460</v>
      </c>
      <c r="M304" t="s">
        <v>4407</v>
      </c>
      <c r="N304" t="s">
        <v>60</v>
      </c>
      <c r="O304" t="s">
        <v>34</v>
      </c>
      <c r="P304" s="3">
        <v>152212</v>
      </c>
      <c r="Q304" s="3">
        <v>152212</v>
      </c>
      <c r="R304">
        <v>0</v>
      </c>
      <c r="S304" s="3">
        <v>152212</v>
      </c>
      <c r="T304" t="s">
        <v>4408</v>
      </c>
      <c r="U304">
        <v>7932908</v>
      </c>
    </row>
    <row r="305" spans="1:21" x14ac:dyDescent="0.25">
      <c r="A305" s="9" t="s">
        <v>4401</v>
      </c>
      <c r="B305" s="10">
        <v>44049</v>
      </c>
      <c r="C305" s="1">
        <v>44048</v>
      </c>
      <c r="D305" t="s">
        <v>4402</v>
      </c>
      <c r="E305" s="11">
        <v>0.375</v>
      </c>
      <c r="F305" s="11">
        <v>0.375</v>
      </c>
      <c r="G305">
        <v>72827</v>
      </c>
      <c r="H305" t="s">
        <v>4710</v>
      </c>
      <c r="I305">
        <v>1</v>
      </c>
      <c r="J305" t="s">
        <v>4404</v>
      </c>
      <c r="K305" t="s">
        <v>4405</v>
      </c>
      <c r="L305" t="s">
        <v>4406</v>
      </c>
      <c r="M305" t="s">
        <v>4407</v>
      </c>
      <c r="N305" t="s">
        <v>60</v>
      </c>
      <c r="O305" t="s">
        <v>34</v>
      </c>
      <c r="P305" s="3">
        <v>4537</v>
      </c>
      <c r="Q305" s="3">
        <v>4537</v>
      </c>
      <c r="R305">
        <v>25</v>
      </c>
      <c r="S305" s="3">
        <v>4512</v>
      </c>
      <c r="T305" t="s">
        <v>4408</v>
      </c>
      <c r="U305">
        <v>7932908</v>
      </c>
    </row>
    <row r="306" spans="1:21" x14ac:dyDescent="0.25">
      <c r="A306" s="9" t="s">
        <v>4401</v>
      </c>
      <c r="B306" s="10">
        <v>44049</v>
      </c>
      <c r="C306" s="1">
        <v>44048</v>
      </c>
      <c r="D306" t="s">
        <v>4402</v>
      </c>
      <c r="E306" s="11">
        <v>0.375</v>
      </c>
      <c r="F306" s="11">
        <v>0.375</v>
      </c>
      <c r="G306">
        <v>72828</v>
      </c>
      <c r="H306" t="s">
        <v>4711</v>
      </c>
      <c r="I306">
        <v>1</v>
      </c>
      <c r="J306" t="s">
        <v>4404</v>
      </c>
      <c r="K306" t="s">
        <v>4405</v>
      </c>
      <c r="L306" t="s">
        <v>4406</v>
      </c>
      <c r="M306" t="s">
        <v>4407</v>
      </c>
      <c r="N306" t="s">
        <v>60</v>
      </c>
      <c r="O306" t="s">
        <v>34</v>
      </c>
      <c r="P306">
        <v>625</v>
      </c>
      <c r="Q306">
        <v>625</v>
      </c>
      <c r="R306">
        <v>10</v>
      </c>
      <c r="S306">
        <v>615</v>
      </c>
      <c r="T306" t="s">
        <v>4408</v>
      </c>
      <c r="U306">
        <v>7932908</v>
      </c>
    </row>
    <row r="307" spans="1:21" x14ac:dyDescent="0.25">
      <c r="A307" s="9" t="s">
        <v>4401</v>
      </c>
      <c r="B307" s="10">
        <v>44049</v>
      </c>
      <c r="C307" s="1">
        <v>44048</v>
      </c>
      <c r="D307" t="s">
        <v>4402</v>
      </c>
      <c r="E307" s="11">
        <v>0.375</v>
      </c>
      <c r="F307" s="11">
        <v>0.375</v>
      </c>
      <c r="G307">
        <v>72831</v>
      </c>
      <c r="H307" t="s">
        <v>4712</v>
      </c>
      <c r="I307" t="s">
        <v>543</v>
      </c>
      <c r="J307" t="s">
        <v>4458</v>
      </c>
      <c r="K307" t="s">
        <v>4459</v>
      </c>
      <c r="L307" t="s">
        <v>4460</v>
      </c>
      <c r="M307" t="s">
        <v>4407</v>
      </c>
      <c r="N307" t="s">
        <v>60</v>
      </c>
      <c r="O307" t="s">
        <v>34</v>
      </c>
      <c r="P307" s="3">
        <v>132872</v>
      </c>
      <c r="Q307" s="3">
        <v>132872</v>
      </c>
      <c r="R307">
        <v>1</v>
      </c>
      <c r="S307" s="3">
        <v>132871</v>
      </c>
      <c r="T307" t="s">
        <v>4408</v>
      </c>
      <c r="U307">
        <v>7932908</v>
      </c>
    </row>
    <row r="308" spans="1:21" x14ac:dyDescent="0.25">
      <c r="A308" s="9" t="s">
        <v>4401</v>
      </c>
      <c r="B308" s="10">
        <v>44049</v>
      </c>
      <c r="C308" s="1">
        <v>44048</v>
      </c>
      <c r="D308" t="s">
        <v>4402</v>
      </c>
      <c r="E308" s="11">
        <v>0.375</v>
      </c>
      <c r="F308" s="11">
        <v>0.375</v>
      </c>
      <c r="G308">
        <v>72834</v>
      </c>
      <c r="H308" t="s">
        <v>4713</v>
      </c>
      <c r="I308" t="s">
        <v>543</v>
      </c>
      <c r="J308" t="s">
        <v>4458</v>
      </c>
      <c r="K308" t="s">
        <v>4459</v>
      </c>
      <c r="L308" t="s">
        <v>4460</v>
      </c>
      <c r="M308" t="s">
        <v>4407</v>
      </c>
      <c r="N308" t="s">
        <v>60</v>
      </c>
      <c r="O308" t="s">
        <v>34</v>
      </c>
      <c r="P308" s="3">
        <v>16781</v>
      </c>
      <c r="Q308" s="3">
        <v>16781</v>
      </c>
      <c r="R308">
        <v>0</v>
      </c>
      <c r="S308" s="3">
        <v>16781</v>
      </c>
      <c r="T308" t="s">
        <v>4408</v>
      </c>
      <c r="U308">
        <v>7932908</v>
      </c>
    </row>
    <row r="309" spans="1:21" x14ac:dyDescent="0.25">
      <c r="A309" s="9" t="s">
        <v>4401</v>
      </c>
      <c r="B309" s="10">
        <v>44049</v>
      </c>
      <c r="C309" s="1">
        <v>44048</v>
      </c>
      <c r="D309" t="s">
        <v>4402</v>
      </c>
      <c r="E309" s="11">
        <v>0.375</v>
      </c>
      <c r="F309" s="11">
        <v>0.375</v>
      </c>
      <c r="G309">
        <v>72837</v>
      </c>
      <c r="H309" t="s">
        <v>4714</v>
      </c>
      <c r="I309" t="s">
        <v>367</v>
      </c>
      <c r="J309" t="s">
        <v>4458</v>
      </c>
      <c r="K309" t="s">
        <v>4459</v>
      </c>
      <c r="L309" t="s">
        <v>4460</v>
      </c>
      <c r="M309" t="s">
        <v>4407</v>
      </c>
      <c r="N309" t="s">
        <v>60</v>
      </c>
      <c r="O309" t="s">
        <v>34</v>
      </c>
      <c r="P309" s="3">
        <v>135355</v>
      </c>
      <c r="Q309" s="3">
        <v>135355</v>
      </c>
      <c r="R309">
        <v>0</v>
      </c>
      <c r="S309" s="3">
        <v>135355</v>
      </c>
      <c r="T309" t="s">
        <v>4408</v>
      </c>
      <c r="U309">
        <v>7932908</v>
      </c>
    </row>
    <row r="310" spans="1:21" x14ac:dyDescent="0.25">
      <c r="A310" s="9" t="s">
        <v>4401</v>
      </c>
      <c r="B310" s="10">
        <v>44049</v>
      </c>
      <c r="C310" s="1">
        <v>44048</v>
      </c>
      <c r="D310" t="s">
        <v>4402</v>
      </c>
      <c r="E310" s="11">
        <v>0.375</v>
      </c>
      <c r="F310" s="11">
        <v>0.375</v>
      </c>
      <c r="G310">
        <v>72848</v>
      </c>
      <c r="H310" t="s">
        <v>4715</v>
      </c>
      <c r="I310">
        <v>1</v>
      </c>
      <c r="J310" t="s">
        <v>4458</v>
      </c>
      <c r="K310" t="s">
        <v>4459</v>
      </c>
      <c r="L310" t="s">
        <v>4460</v>
      </c>
      <c r="M310" t="s">
        <v>4407</v>
      </c>
      <c r="N310" t="s">
        <v>60</v>
      </c>
      <c r="O310" t="s">
        <v>34</v>
      </c>
      <c r="P310" s="3">
        <v>90000</v>
      </c>
      <c r="Q310" s="3">
        <v>90000</v>
      </c>
      <c r="R310" s="3">
        <v>3397</v>
      </c>
      <c r="S310" s="3">
        <v>86603</v>
      </c>
      <c r="T310" t="s">
        <v>4408</v>
      </c>
      <c r="U310">
        <v>7932908</v>
      </c>
    </row>
    <row r="311" spans="1:21" x14ac:dyDescent="0.25">
      <c r="A311" s="9" t="s">
        <v>4401</v>
      </c>
      <c r="B311" s="10">
        <v>44049</v>
      </c>
      <c r="C311" s="1">
        <v>44048</v>
      </c>
      <c r="D311" t="s">
        <v>4402</v>
      </c>
      <c r="E311" s="11">
        <v>0.375</v>
      </c>
      <c r="F311" s="11">
        <v>0.375</v>
      </c>
      <c r="G311">
        <v>72849</v>
      </c>
      <c r="H311" t="s">
        <v>4716</v>
      </c>
      <c r="I311" t="s">
        <v>543</v>
      </c>
      <c r="J311" t="s">
        <v>4458</v>
      </c>
      <c r="K311" t="s">
        <v>4459</v>
      </c>
      <c r="L311" t="s">
        <v>4460</v>
      </c>
      <c r="M311" t="s">
        <v>4407</v>
      </c>
      <c r="N311" t="s">
        <v>34</v>
      </c>
      <c r="O311" t="s">
        <v>34</v>
      </c>
      <c r="P311" s="3">
        <v>160987</v>
      </c>
      <c r="Q311" s="3">
        <v>160987</v>
      </c>
      <c r="R311" s="3">
        <v>36039</v>
      </c>
      <c r="S311" s="3">
        <v>124948</v>
      </c>
      <c r="T311" t="s">
        <v>4408</v>
      </c>
      <c r="U311">
        <v>7932908</v>
      </c>
    </row>
    <row r="312" spans="1:21" x14ac:dyDescent="0.25">
      <c r="A312" s="9" t="s">
        <v>4401</v>
      </c>
      <c r="B312" s="10">
        <v>44049</v>
      </c>
      <c r="C312" s="1">
        <v>44048</v>
      </c>
      <c r="D312" t="s">
        <v>4402</v>
      </c>
      <c r="E312" s="11">
        <v>0.375</v>
      </c>
      <c r="F312" s="11">
        <v>0.375</v>
      </c>
      <c r="G312">
        <v>72856</v>
      </c>
      <c r="H312" t="s">
        <v>4717</v>
      </c>
      <c r="I312" t="s">
        <v>187</v>
      </c>
      <c r="J312" t="s">
        <v>4404</v>
      </c>
      <c r="K312" t="s">
        <v>4405</v>
      </c>
      <c r="L312" t="s">
        <v>4406</v>
      </c>
      <c r="M312" t="s">
        <v>4407</v>
      </c>
      <c r="N312" t="s">
        <v>34</v>
      </c>
      <c r="O312" t="s">
        <v>34</v>
      </c>
      <c r="P312" s="3">
        <v>1994</v>
      </c>
      <c r="Q312" s="3">
        <v>1994</v>
      </c>
      <c r="R312">
        <v>20</v>
      </c>
      <c r="S312" s="3">
        <v>1974</v>
      </c>
      <c r="T312" t="s">
        <v>4408</v>
      </c>
      <c r="U312">
        <v>7932908</v>
      </c>
    </row>
    <row r="313" spans="1:21" x14ac:dyDescent="0.25">
      <c r="A313" s="9" t="s">
        <v>4401</v>
      </c>
      <c r="B313" s="10">
        <v>44049</v>
      </c>
      <c r="C313" s="1">
        <v>44048</v>
      </c>
      <c r="D313" t="s">
        <v>4402</v>
      </c>
      <c r="E313" s="11">
        <v>0.375</v>
      </c>
      <c r="F313" s="11">
        <v>0.375</v>
      </c>
      <c r="G313">
        <v>72857</v>
      </c>
      <c r="H313" t="s">
        <v>4718</v>
      </c>
      <c r="I313" t="s">
        <v>543</v>
      </c>
      <c r="J313" t="s">
        <v>4458</v>
      </c>
      <c r="K313" t="s">
        <v>4459</v>
      </c>
      <c r="L313" t="s">
        <v>4460</v>
      </c>
      <c r="M313" t="s">
        <v>4407</v>
      </c>
      <c r="N313" t="s">
        <v>60</v>
      </c>
      <c r="O313" t="s">
        <v>34</v>
      </c>
      <c r="P313" s="3">
        <v>8706</v>
      </c>
      <c r="Q313" s="3">
        <v>8706</v>
      </c>
      <c r="R313">
        <v>0</v>
      </c>
      <c r="S313" s="3">
        <v>8706</v>
      </c>
      <c r="T313" t="s">
        <v>4408</v>
      </c>
      <c r="U313">
        <v>7932908</v>
      </c>
    </row>
    <row r="314" spans="1:21" x14ac:dyDescent="0.25">
      <c r="A314" s="9" t="s">
        <v>4401</v>
      </c>
      <c r="B314" s="10">
        <v>44049</v>
      </c>
      <c r="C314" s="1">
        <v>44048</v>
      </c>
      <c r="D314" t="s">
        <v>4402</v>
      </c>
      <c r="E314" s="11">
        <v>0.375</v>
      </c>
      <c r="F314" s="11">
        <v>0.375</v>
      </c>
      <c r="G314">
        <v>72863</v>
      </c>
      <c r="H314" t="s">
        <v>4719</v>
      </c>
      <c r="I314">
        <v>3</v>
      </c>
      <c r="J314" t="s">
        <v>4404</v>
      </c>
      <c r="K314" t="s">
        <v>4405</v>
      </c>
      <c r="L314" t="s">
        <v>4406</v>
      </c>
      <c r="M314" t="s">
        <v>4407</v>
      </c>
      <c r="N314" t="s">
        <v>60</v>
      </c>
      <c r="O314" t="s">
        <v>34</v>
      </c>
      <c r="P314" s="3">
        <v>295135</v>
      </c>
      <c r="Q314" s="3">
        <v>295135</v>
      </c>
      <c r="R314" s="3">
        <v>29898</v>
      </c>
      <c r="S314" s="3">
        <v>265237</v>
      </c>
      <c r="T314" t="s">
        <v>4408</v>
      </c>
      <c r="U314">
        <v>7932908</v>
      </c>
    </row>
    <row r="315" spans="1:21" x14ac:dyDescent="0.25">
      <c r="A315" s="9" t="s">
        <v>4401</v>
      </c>
      <c r="B315" s="10">
        <v>44049</v>
      </c>
      <c r="C315" s="1">
        <v>44048</v>
      </c>
      <c r="D315" t="s">
        <v>4402</v>
      </c>
      <c r="E315" s="11">
        <v>0.375</v>
      </c>
      <c r="F315" s="11">
        <v>0.375</v>
      </c>
      <c r="G315">
        <v>72871</v>
      </c>
      <c r="H315" t="s">
        <v>4720</v>
      </c>
      <c r="I315" t="s">
        <v>187</v>
      </c>
      <c r="J315" t="s">
        <v>4404</v>
      </c>
      <c r="K315" t="s">
        <v>4405</v>
      </c>
      <c r="L315" t="s">
        <v>4406</v>
      </c>
      <c r="M315" t="s">
        <v>4407</v>
      </c>
      <c r="N315" t="s">
        <v>60</v>
      </c>
      <c r="O315" t="s">
        <v>34</v>
      </c>
      <c r="P315" s="3">
        <v>4104</v>
      </c>
      <c r="Q315" s="3">
        <v>4104</v>
      </c>
      <c r="R315">
        <v>5</v>
      </c>
      <c r="S315" s="3">
        <v>4099</v>
      </c>
      <c r="T315" t="s">
        <v>4408</v>
      </c>
      <c r="U315">
        <v>7932908</v>
      </c>
    </row>
    <row r="316" spans="1:21" x14ac:dyDescent="0.25">
      <c r="A316" s="9" t="s">
        <v>4401</v>
      </c>
      <c r="B316" s="10">
        <v>44049</v>
      </c>
      <c r="C316" s="1">
        <v>44048</v>
      </c>
      <c r="D316" t="s">
        <v>4402</v>
      </c>
      <c r="E316" s="11">
        <v>0.375</v>
      </c>
      <c r="F316" s="11">
        <v>0.375</v>
      </c>
      <c r="G316">
        <v>72874</v>
      </c>
      <c r="H316" t="s">
        <v>4721</v>
      </c>
      <c r="I316">
        <v>1</v>
      </c>
      <c r="J316" t="s">
        <v>4404</v>
      </c>
      <c r="K316" t="s">
        <v>4405</v>
      </c>
      <c r="L316" t="s">
        <v>4406</v>
      </c>
      <c r="M316" t="s">
        <v>4407</v>
      </c>
      <c r="N316" t="s">
        <v>60</v>
      </c>
      <c r="O316" t="s">
        <v>34</v>
      </c>
      <c r="P316" s="3">
        <v>5779</v>
      </c>
      <c r="Q316" s="3">
        <v>5779</v>
      </c>
      <c r="R316">
        <v>0</v>
      </c>
      <c r="S316" s="3">
        <v>5779</v>
      </c>
      <c r="T316" t="s">
        <v>4408</v>
      </c>
      <c r="U316">
        <v>7932908</v>
      </c>
    </row>
    <row r="317" spans="1:21" x14ac:dyDescent="0.25">
      <c r="A317" s="9" t="s">
        <v>4401</v>
      </c>
      <c r="B317" s="10">
        <v>44049</v>
      </c>
      <c r="C317" s="1">
        <v>44048</v>
      </c>
      <c r="D317" t="s">
        <v>4402</v>
      </c>
      <c r="E317" s="11">
        <v>0.375</v>
      </c>
      <c r="F317" s="11">
        <v>0.375</v>
      </c>
      <c r="G317">
        <v>72877</v>
      </c>
      <c r="H317" t="s">
        <v>4722</v>
      </c>
      <c r="I317" t="s">
        <v>367</v>
      </c>
      <c r="J317" t="s">
        <v>4404</v>
      </c>
      <c r="K317" t="s">
        <v>4405</v>
      </c>
      <c r="L317" t="s">
        <v>4406</v>
      </c>
      <c r="M317" t="s">
        <v>4407</v>
      </c>
      <c r="N317" t="s">
        <v>60</v>
      </c>
      <c r="O317" t="s">
        <v>34</v>
      </c>
      <c r="P317" s="3">
        <v>15472</v>
      </c>
      <c r="Q317" s="3">
        <v>15472</v>
      </c>
      <c r="R317">
        <v>475</v>
      </c>
      <c r="S317" s="3">
        <v>14997</v>
      </c>
      <c r="T317" t="s">
        <v>4408</v>
      </c>
      <c r="U317">
        <v>7932908</v>
      </c>
    </row>
    <row r="318" spans="1:21" x14ac:dyDescent="0.25">
      <c r="A318" s="9" t="s">
        <v>4401</v>
      </c>
      <c r="B318" s="10">
        <v>44049</v>
      </c>
      <c r="C318" s="1">
        <v>44048</v>
      </c>
      <c r="D318" t="s">
        <v>4402</v>
      </c>
      <c r="E318" s="11">
        <v>0.375</v>
      </c>
      <c r="F318" s="11">
        <v>0.375</v>
      </c>
      <c r="G318">
        <v>72890</v>
      </c>
      <c r="H318" t="s">
        <v>4723</v>
      </c>
      <c r="I318" t="s">
        <v>543</v>
      </c>
      <c r="J318" t="s">
        <v>4404</v>
      </c>
      <c r="K318" t="s">
        <v>4405</v>
      </c>
      <c r="L318" t="s">
        <v>4406</v>
      </c>
      <c r="M318" t="s">
        <v>4407</v>
      </c>
      <c r="N318" t="s">
        <v>60</v>
      </c>
      <c r="O318" t="s">
        <v>34</v>
      </c>
      <c r="P318" s="3">
        <v>65618</v>
      </c>
      <c r="Q318" s="3">
        <v>65618</v>
      </c>
      <c r="R318">
        <v>0</v>
      </c>
      <c r="S318" s="3">
        <v>65618</v>
      </c>
      <c r="T318" t="s">
        <v>4408</v>
      </c>
      <c r="U318">
        <v>7932908</v>
      </c>
    </row>
    <row r="319" spans="1:21" x14ac:dyDescent="0.25">
      <c r="A319" s="9" t="s">
        <v>4401</v>
      </c>
      <c r="B319" s="10">
        <v>44049</v>
      </c>
      <c r="C319" s="1">
        <v>44048</v>
      </c>
      <c r="D319" t="s">
        <v>4402</v>
      </c>
      <c r="E319" s="11">
        <v>0.375</v>
      </c>
      <c r="F319" s="11">
        <v>0.375</v>
      </c>
      <c r="G319">
        <v>72892</v>
      </c>
      <c r="H319" t="s">
        <v>4724</v>
      </c>
      <c r="I319" t="s">
        <v>187</v>
      </c>
      <c r="J319" t="s">
        <v>4458</v>
      </c>
      <c r="K319" t="s">
        <v>4459</v>
      </c>
      <c r="L319" t="s">
        <v>4460</v>
      </c>
      <c r="M319" t="s">
        <v>4407</v>
      </c>
      <c r="N319" t="s">
        <v>60</v>
      </c>
      <c r="O319" t="s">
        <v>34</v>
      </c>
      <c r="P319" s="3">
        <v>152285</v>
      </c>
      <c r="Q319" s="3">
        <v>152285</v>
      </c>
      <c r="R319">
        <v>0</v>
      </c>
      <c r="S319" s="3">
        <v>152285</v>
      </c>
      <c r="T319" t="s">
        <v>4408</v>
      </c>
      <c r="U319">
        <v>7932908</v>
      </c>
    </row>
    <row r="320" spans="1:21" x14ac:dyDescent="0.25">
      <c r="A320" s="9" t="s">
        <v>4401</v>
      </c>
      <c r="B320" s="10">
        <v>44049</v>
      </c>
      <c r="C320" s="1">
        <v>44048</v>
      </c>
      <c r="D320" t="s">
        <v>4402</v>
      </c>
      <c r="E320" s="11">
        <v>0.375</v>
      </c>
      <c r="F320" s="11">
        <v>0.375</v>
      </c>
      <c r="G320">
        <v>72897</v>
      </c>
      <c r="H320" t="s">
        <v>4725</v>
      </c>
      <c r="I320" t="s">
        <v>680</v>
      </c>
      <c r="J320" t="s">
        <v>4458</v>
      </c>
      <c r="K320" t="s">
        <v>4459</v>
      </c>
      <c r="L320" t="s">
        <v>4460</v>
      </c>
      <c r="M320" t="s">
        <v>4407</v>
      </c>
      <c r="N320" t="s">
        <v>60</v>
      </c>
      <c r="O320" t="s">
        <v>34</v>
      </c>
      <c r="P320" s="3">
        <v>4060</v>
      </c>
      <c r="Q320" s="3">
        <v>4060</v>
      </c>
      <c r="R320">
        <v>0</v>
      </c>
      <c r="S320" s="3">
        <v>4060</v>
      </c>
      <c r="T320" t="s">
        <v>4408</v>
      </c>
      <c r="U320">
        <v>7932908</v>
      </c>
    </row>
    <row r="321" spans="1:21" x14ac:dyDescent="0.25">
      <c r="A321" s="9" t="s">
        <v>4401</v>
      </c>
      <c r="B321" s="10">
        <v>44049</v>
      </c>
      <c r="C321" s="1">
        <v>44048</v>
      </c>
      <c r="D321" t="s">
        <v>4402</v>
      </c>
      <c r="E321" s="11">
        <v>0.375</v>
      </c>
      <c r="F321" s="11">
        <v>0.375</v>
      </c>
      <c r="G321">
        <v>72903</v>
      </c>
      <c r="H321" t="s">
        <v>4726</v>
      </c>
      <c r="I321">
        <v>2</v>
      </c>
      <c r="J321" t="s">
        <v>4404</v>
      </c>
      <c r="K321" t="s">
        <v>4459</v>
      </c>
      <c r="L321" t="s">
        <v>4460</v>
      </c>
      <c r="M321" t="s">
        <v>4407</v>
      </c>
      <c r="N321" t="s">
        <v>60</v>
      </c>
      <c r="O321" t="s">
        <v>34</v>
      </c>
      <c r="P321" s="3">
        <v>932170</v>
      </c>
      <c r="Q321" s="3">
        <v>932170</v>
      </c>
      <c r="R321" s="3">
        <v>-8635</v>
      </c>
      <c r="S321" s="3">
        <v>932170</v>
      </c>
      <c r="T321" t="s">
        <v>4408</v>
      </c>
      <c r="U321">
        <v>7932908</v>
      </c>
    </row>
    <row r="322" spans="1:21" x14ac:dyDescent="0.25">
      <c r="A322" s="9" t="s">
        <v>4401</v>
      </c>
      <c r="B322" s="10">
        <v>44049</v>
      </c>
      <c r="C322" s="1">
        <v>44048</v>
      </c>
      <c r="D322" t="s">
        <v>4402</v>
      </c>
      <c r="E322" s="11">
        <v>0.375</v>
      </c>
      <c r="F322" s="11">
        <v>0.375</v>
      </c>
      <c r="G322">
        <v>72904</v>
      </c>
      <c r="H322" t="s">
        <v>4727</v>
      </c>
      <c r="I322">
        <v>2</v>
      </c>
      <c r="J322" t="s">
        <v>4404</v>
      </c>
      <c r="K322" t="s">
        <v>4405</v>
      </c>
      <c r="L322" t="s">
        <v>4406</v>
      </c>
      <c r="M322" t="s">
        <v>4407</v>
      </c>
      <c r="N322" t="s">
        <v>60</v>
      </c>
      <c r="O322" t="s">
        <v>34</v>
      </c>
      <c r="P322" s="3">
        <v>165296</v>
      </c>
      <c r="Q322" s="3">
        <v>165296</v>
      </c>
      <c r="R322">
        <v>0</v>
      </c>
      <c r="S322" s="3">
        <v>165296</v>
      </c>
      <c r="T322" t="s">
        <v>4408</v>
      </c>
      <c r="U322">
        <v>7932908</v>
      </c>
    </row>
    <row r="323" spans="1:21" x14ac:dyDescent="0.25">
      <c r="A323" s="9" t="s">
        <v>4401</v>
      </c>
      <c r="B323" s="10">
        <v>44049</v>
      </c>
      <c r="C323" s="1">
        <v>44048</v>
      </c>
      <c r="D323" t="s">
        <v>4402</v>
      </c>
      <c r="E323" s="11">
        <v>0.375</v>
      </c>
      <c r="F323" s="11">
        <v>0.375</v>
      </c>
      <c r="G323">
        <v>72906</v>
      </c>
      <c r="H323" t="s">
        <v>4728</v>
      </c>
      <c r="I323">
        <v>2</v>
      </c>
      <c r="J323" t="s">
        <v>4404</v>
      </c>
      <c r="K323" t="s">
        <v>4405</v>
      </c>
      <c r="L323" t="s">
        <v>4406</v>
      </c>
      <c r="M323" t="s">
        <v>4407</v>
      </c>
      <c r="N323" t="s">
        <v>60</v>
      </c>
      <c r="O323" t="s">
        <v>34</v>
      </c>
      <c r="P323" s="3">
        <v>49627</v>
      </c>
      <c r="Q323" s="3">
        <v>49627</v>
      </c>
      <c r="R323">
        <v>0</v>
      </c>
      <c r="S323" s="3">
        <v>49627</v>
      </c>
      <c r="T323" t="s">
        <v>4408</v>
      </c>
      <c r="U323">
        <v>7932908</v>
      </c>
    </row>
    <row r="324" spans="1:21" x14ac:dyDescent="0.25">
      <c r="A324" s="9" t="s">
        <v>4401</v>
      </c>
      <c r="B324" s="10">
        <v>44049</v>
      </c>
      <c r="C324" s="1">
        <v>44048</v>
      </c>
      <c r="D324" t="s">
        <v>4402</v>
      </c>
      <c r="E324" s="11">
        <v>0.375</v>
      </c>
      <c r="F324" s="11">
        <v>0.375</v>
      </c>
      <c r="G324">
        <v>72908</v>
      </c>
      <c r="H324" t="s">
        <v>4729</v>
      </c>
      <c r="I324">
        <v>2</v>
      </c>
      <c r="J324" t="s">
        <v>4404</v>
      </c>
      <c r="K324" t="s">
        <v>4405</v>
      </c>
      <c r="L324" t="s">
        <v>4406</v>
      </c>
      <c r="M324" t="s">
        <v>4407</v>
      </c>
      <c r="N324" t="s">
        <v>60</v>
      </c>
      <c r="O324" t="s">
        <v>34</v>
      </c>
      <c r="P324" s="3">
        <v>140044</v>
      </c>
      <c r="Q324" s="3">
        <v>140044</v>
      </c>
      <c r="R324">
        <v>0</v>
      </c>
      <c r="S324" s="3">
        <v>140044</v>
      </c>
      <c r="T324" t="s">
        <v>4408</v>
      </c>
      <c r="U324">
        <v>7932908</v>
      </c>
    </row>
    <row r="325" spans="1:21" x14ac:dyDescent="0.25">
      <c r="A325" s="9" t="s">
        <v>4401</v>
      </c>
      <c r="B325" s="10">
        <v>44049</v>
      </c>
      <c r="C325" s="1">
        <v>44048</v>
      </c>
      <c r="D325" t="s">
        <v>4402</v>
      </c>
      <c r="E325" s="11">
        <v>0.375</v>
      </c>
      <c r="F325" s="11">
        <v>0.375</v>
      </c>
      <c r="G325">
        <v>72909</v>
      </c>
      <c r="H325" t="s">
        <v>4730</v>
      </c>
      <c r="I325">
        <v>2</v>
      </c>
      <c r="J325" t="s">
        <v>4404</v>
      </c>
      <c r="K325" t="s">
        <v>4405</v>
      </c>
      <c r="L325" t="s">
        <v>4406</v>
      </c>
      <c r="M325" t="s">
        <v>4407</v>
      </c>
      <c r="N325" t="s">
        <v>60</v>
      </c>
      <c r="O325" t="s">
        <v>34</v>
      </c>
      <c r="P325" s="3">
        <v>105986</v>
      </c>
      <c r="Q325" s="3">
        <v>105986</v>
      </c>
      <c r="R325">
        <v>0</v>
      </c>
      <c r="S325" s="3">
        <v>105986</v>
      </c>
      <c r="T325" t="s">
        <v>4408</v>
      </c>
      <c r="U325">
        <v>7932908</v>
      </c>
    </row>
    <row r="326" spans="1:21" x14ac:dyDescent="0.25">
      <c r="A326" s="9" t="s">
        <v>4401</v>
      </c>
      <c r="B326" s="10">
        <v>44049</v>
      </c>
      <c r="C326" s="1">
        <v>44048</v>
      </c>
      <c r="D326" t="s">
        <v>4402</v>
      </c>
      <c r="E326" s="11">
        <v>0.375</v>
      </c>
      <c r="F326" s="11">
        <v>0.375</v>
      </c>
      <c r="G326">
        <v>72910</v>
      </c>
      <c r="H326" t="s">
        <v>4731</v>
      </c>
      <c r="I326">
        <v>2</v>
      </c>
      <c r="J326" t="s">
        <v>4404</v>
      </c>
      <c r="K326" t="s">
        <v>4405</v>
      </c>
      <c r="L326" t="s">
        <v>4406</v>
      </c>
      <c r="M326" t="s">
        <v>4407</v>
      </c>
      <c r="N326" t="s">
        <v>60</v>
      </c>
      <c r="O326" t="s">
        <v>34</v>
      </c>
      <c r="P326" s="3">
        <v>518897</v>
      </c>
      <c r="Q326" s="3">
        <v>518897</v>
      </c>
      <c r="R326">
        <v>0</v>
      </c>
      <c r="S326" s="3">
        <v>518897</v>
      </c>
      <c r="T326" t="s">
        <v>4408</v>
      </c>
      <c r="U326">
        <v>7932908</v>
      </c>
    </row>
    <row r="327" spans="1:21" x14ac:dyDescent="0.25">
      <c r="A327" s="9" t="s">
        <v>4401</v>
      </c>
      <c r="B327" s="10">
        <v>44049</v>
      </c>
      <c r="C327" s="1">
        <v>44048</v>
      </c>
      <c r="D327" t="s">
        <v>4402</v>
      </c>
      <c r="E327" s="11">
        <v>0.375</v>
      </c>
      <c r="F327" s="11">
        <v>0.375</v>
      </c>
      <c r="G327">
        <v>72911</v>
      </c>
      <c r="H327" t="s">
        <v>4732</v>
      </c>
      <c r="I327">
        <v>2</v>
      </c>
      <c r="J327" t="s">
        <v>4404</v>
      </c>
      <c r="K327" t="s">
        <v>4405</v>
      </c>
      <c r="L327" t="s">
        <v>4406</v>
      </c>
      <c r="M327" t="s">
        <v>4407</v>
      </c>
      <c r="N327" t="s">
        <v>60</v>
      </c>
      <c r="O327" t="s">
        <v>34</v>
      </c>
      <c r="P327" s="3">
        <v>377137</v>
      </c>
      <c r="Q327" s="3">
        <v>377137</v>
      </c>
      <c r="R327">
        <v>0</v>
      </c>
      <c r="S327" s="3">
        <v>377137</v>
      </c>
      <c r="T327" t="s">
        <v>4408</v>
      </c>
      <c r="U327">
        <v>7932908</v>
      </c>
    </row>
    <row r="328" spans="1:21" x14ac:dyDescent="0.25">
      <c r="A328" s="9" t="s">
        <v>4401</v>
      </c>
      <c r="B328" s="10">
        <v>44049</v>
      </c>
      <c r="C328" s="1">
        <v>44048</v>
      </c>
      <c r="D328" t="s">
        <v>4402</v>
      </c>
      <c r="E328" s="11">
        <v>0.375</v>
      </c>
      <c r="F328" s="11">
        <v>0.375</v>
      </c>
      <c r="G328">
        <v>72921</v>
      </c>
      <c r="H328" t="s">
        <v>4733</v>
      </c>
      <c r="I328" t="s">
        <v>543</v>
      </c>
      <c r="J328" t="s">
        <v>4458</v>
      </c>
      <c r="K328" t="s">
        <v>4459</v>
      </c>
      <c r="L328" t="s">
        <v>4460</v>
      </c>
      <c r="M328" t="s">
        <v>4407</v>
      </c>
      <c r="N328" t="s">
        <v>60</v>
      </c>
      <c r="O328" t="s">
        <v>34</v>
      </c>
      <c r="P328" s="3">
        <v>128404</v>
      </c>
      <c r="Q328" s="3">
        <v>128404</v>
      </c>
      <c r="R328">
        <v>0</v>
      </c>
      <c r="S328" s="3">
        <v>128404</v>
      </c>
      <c r="T328" t="s">
        <v>4408</v>
      </c>
      <c r="U328">
        <v>7932908</v>
      </c>
    </row>
    <row r="329" spans="1:21" x14ac:dyDescent="0.25">
      <c r="A329" s="9" t="s">
        <v>4401</v>
      </c>
      <c r="B329" s="10">
        <v>44049</v>
      </c>
      <c r="C329" s="1">
        <v>44048</v>
      </c>
      <c r="D329" t="s">
        <v>4402</v>
      </c>
      <c r="E329" s="11">
        <v>0.375</v>
      </c>
      <c r="F329" s="11">
        <v>0.375</v>
      </c>
      <c r="G329">
        <v>72926</v>
      </c>
      <c r="H329" t="s">
        <v>4734</v>
      </c>
      <c r="I329">
        <v>2</v>
      </c>
      <c r="J329" t="s">
        <v>4404</v>
      </c>
      <c r="K329" t="s">
        <v>4405</v>
      </c>
      <c r="L329" t="s">
        <v>4406</v>
      </c>
      <c r="M329" t="s">
        <v>4407</v>
      </c>
      <c r="N329" t="s">
        <v>60</v>
      </c>
      <c r="O329" t="s">
        <v>34</v>
      </c>
      <c r="P329" s="3">
        <v>325210</v>
      </c>
      <c r="Q329" s="3">
        <v>325210</v>
      </c>
      <c r="R329">
        <v>0</v>
      </c>
      <c r="S329" s="3">
        <v>325210</v>
      </c>
      <c r="T329" t="s">
        <v>4408</v>
      </c>
      <c r="U329">
        <v>7932908</v>
      </c>
    </row>
    <row r="330" spans="1:21" x14ac:dyDescent="0.25">
      <c r="A330" s="9" t="s">
        <v>4401</v>
      </c>
      <c r="B330" s="10">
        <v>44049</v>
      </c>
      <c r="C330" s="1">
        <v>44048</v>
      </c>
      <c r="D330" t="s">
        <v>4402</v>
      </c>
      <c r="E330" s="11">
        <v>0.375</v>
      </c>
      <c r="F330" s="11">
        <v>0.375</v>
      </c>
      <c r="G330">
        <v>72930</v>
      </c>
      <c r="H330" t="s">
        <v>4735</v>
      </c>
      <c r="I330">
        <v>3</v>
      </c>
      <c r="J330" t="s">
        <v>4404</v>
      </c>
      <c r="K330" t="s">
        <v>4405</v>
      </c>
      <c r="L330" t="s">
        <v>4406</v>
      </c>
      <c r="M330" t="s">
        <v>4407</v>
      </c>
      <c r="N330" t="s">
        <v>60</v>
      </c>
      <c r="O330" t="s">
        <v>34</v>
      </c>
      <c r="P330" s="3">
        <v>383906</v>
      </c>
      <c r="Q330" s="3">
        <v>383906</v>
      </c>
      <c r="R330">
        <v>50</v>
      </c>
      <c r="S330" s="3">
        <v>383856</v>
      </c>
      <c r="T330" t="s">
        <v>4408</v>
      </c>
      <c r="U330">
        <v>7932908</v>
      </c>
    </row>
    <row r="331" spans="1:21" x14ac:dyDescent="0.25">
      <c r="A331" s="9" t="s">
        <v>4401</v>
      </c>
      <c r="B331" s="10">
        <v>44049</v>
      </c>
      <c r="C331" s="1">
        <v>44048</v>
      </c>
      <c r="D331" t="s">
        <v>4402</v>
      </c>
      <c r="E331" s="11">
        <v>0.375</v>
      </c>
      <c r="F331" s="11">
        <v>0.375</v>
      </c>
      <c r="G331">
        <v>72936</v>
      </c>
      <c r="H331" t="s">
        <v>4736</v>
      </c>
      <c r="I331" t="s">
        <v>543</v>
      </c>
      <c r="J331" t="s">
        <v>4458</v>
      </c>
      <c r="K331" t="s">
        <v>4459</v>
      </c>
      <c r="L331" t="s">
        <v>4460</v>
      </c>
      <c r="M331" t="s">
        <v>4407</v>
      </c>
      <c r="N331" t="s">
        <v>60</v>
      </c>
      <c r="O331" t="s">
        <v>34</v>
      </c>
      <c r="P331" s="3">
        <v>145581</v>
      </c>
      <c r="Q331" s="3">
        <v>145581</v>
      </c>
      <c r="R331">
        <v>0</v>
      </c>
      <c r="S331" s="3">
        <v>145581</v>
      </c>
      <c r="T331" t="s">
        <v>4408</v>
      </c>
      <c r="U331">
        <v>7932908</v>
      </c>
    </row>
    <row r="332" spans="1:21" x14ac:dyDescent="0.25">
      <c r="A332" s="9" t="s">
        <v>4401</v>
      </c>
      <c r="B332" s="10">
        <v>44049</v>
      </c>
      <c r="C332" s="1">
        <v>44048</v>
      </c>
      <c r="D332" t="s">
        <v>4402</v>
      </c>
      <c r="E332" s="11">
        <v>0.375</v>
      </c>
      <c r="F332" s="11">
        <v>0.375</v>
      </c>
      <c r="G332">
        <v>72942</v>
      </c>
      <c r="H332" t="s">
        <v>4737</v>
      </c>
      <c r="I332">
        <v>2</v>
      </c>
      <c r="J332" t="s">
        <v>4404</v>
      </c>
      <c r="K332" t="s">
        <v>4405</v>
      </c>
      <c r="L332" t="s">
        <v>4406</v>
      </c>
      <c r="M332" t="s">
        <v>4407</v>
      </c>
      <c r="N332" t="s">
        <v>60</v>
      </c>
      <c r="O332" t="s">
        <v>34</v>
      </c>
      <c r="P332" s="3">
        <v>8124</v>
      </c>
      <c r="Q332" s="3">
        <v>8124</v>
      </c>
      <c r="R332">
        <v>0</v>
      </c>
      <c r="S332" s="3">
        <v>8124</v>
      </c>
      <c r="T332" t="s">
        <v>4408</v>
      </c>
      <c r="U332">
        <v>7932908</v>
      </c>
    </row>
    <row r="333" spans="1:21" x14ac:dyDescent="0.25">
      <c r="A333" s="9" t="s">
        <v>4401</v>
      </c>
      <c r="B333" s="10">
        <v>44049</v>
      </c>
      <c r="C333" s="1">
        <v>44048</v>
      </c>
      <c r="D333" t="s">
        <v>4402</v>
      </c>
      <c r="E333" s="11">
        <v>0.375</v>
      </c>
      <c r="F333" s="11">
        <v>0.375</v>
      </c>
      <c r="G333">
        <v>72944</v>
      </c>
      <c r="H333" t="s">
        <v>4738</v>
      </c>
      <c r="I333">
        <v>3</v>
      </c>
      <c r="J333" t="s">
        <v>4404</v>
      </c>
      <c r="K333" t="s">
        <v>4405</v>
      </c>
      <c r="L333" t="s">
        <v>4406</v>
      </c>
      <c r="M333" t="s">
        <v>4407</v>
      </c>
      <c r="N333" t="s">
        <v>60</v>
      </c>
      <c r="O333" t="s">
        <v>34</v>
      </c>
      <c r="P333" s="3">
        <v>84050</v>
      </c>
      <c r="Q333" s="3">
        <v>84050</v>
      </c>
      <c r="R333" s="3">
        <v>18127</v>
      </c>
      <c r="S333" s="3">
        <v>65923</v>
      </c>
      <c r="T333" t="s">
        <v>4408</v>
      </c>
      <c r="U333">
        <v>7932908</v>
      </c>
    </row>
    <row r="334" spans="1:21" x14ac:dyDescent="0.25">
      <c r="A334" s="9" t="s">
        <v>4401</v>
      </c>
      <c r="B334" s="10">
        <v>44049</v>
      </c>
      <c r="C334" s="1">
        <v>44048</v>
      </c>
      <c r="D334" t="s">
        <v>4402</v>
      </c>
      <c r="E334" s="11">
        <v>0.375</v>
      </c>
      <c r="F334" s="11">
        <v>0.375</v>
      </c>
      <c r="G334">
        <v>72950</v>
      </c>
      <c r="H334" t="s">
        <v>4739</v>
      </c>
      <c r="I334" t="s">
        <v>367</v>
      </c>
      <c r="J334" t="s">
        <v>4458</v>
      </c>
      <c r="K334" t="s">
        <v>4459</v>
      </c>
      <c r="L334" t="s">
        <v>4460</v>
      </c>
      <c r="M334" t="s">
        <v>4407</v>
      </c>
      <c r="N334" t="s">
        <v>60</v>
      </c>
      <c r="O334" t="s">
        <v>34</v>
      </c>
      <c r="P334" s="3">
        <v>4092</v>
      </c>
      <c r="Q334" s="3">
        <v>4092</v>
      </c>
      <c r="R334">
        <v>382</v>
      </c>
      <c r="S334" s="3">
        <v>3710</v>
      </c>
      <c r="T334" t="s">
        <v>4408</v>
      </c>
      <c r="U334">
        <v>7932908</v>
      </c>
    </row>
    <row r="335" spans="1:21" x14ac:dyDescent="0.25">
      <c r="A335" s="9" t="s">
        <v>4401</v>
      </c>
      <c r="B335" s="10">
        <v>44049</v>
      </c>
      <c r="C335" s="1">
        <v>44048</v>
      </c>
      <c r="D335" t="s">
        <v>4402</v>
      </c>
      <c r="E335" s="11">
        <v>0.375</v>
      </c>
      <c r="F335" s="11">
        <v>0.375</v>
      </c>
      <c r="G335">
        <v>72956</v>
      </c>
      <c r="H335" t="s">
        <v>4740</v>
      </c>
      <c r="I335">
        <v>1</v>
      </c>
      <c r="J335" t="s">
        <v>4404</v>
      </c>
      <c r="K335" t="s">
        <v>4405</v>
      </c>
      <c r="L335" t="s">
        <v>4406</v>
      </c>
      <c r="M335" t="s">
        <v>4407</v>
      </c>
      <c r="N335" t="s">
        <v>60</v>
      </c>
      <c r="O335" t="s">
        <v>34</v>
      </c>
      <c r="P335" s="3">
        <v>16248</v>
      </c>
      <c r="Q335" s="3">
        <v>16248</v>
      </c>
      <c r="R335">
        <v>0</v>
      </c>
      <c r="S335" s="3">
        <v>16248</v>
      </c>
      <c r="T335" t="s">
        <v>4408</v>
      </c>
      <c r="U335">
        <v>7932908</v>
      </c>
    </row>
    <row r="336" spans="1:21" x14ac:dyDescent="0.25">
      <c r="A336" s="9" t="s">
        <v>4401</v>
      </c>
      <c r="B336" s="10">
        <v>44049</v>
      </c>
      <c r="C336" s="1">
        <v>44048</v>
      </c>
      <c r="D336" t="s">
        <v>4402</v>
      </c>
      <c r="E336" s="11">
        <v>0.375</v>
      </c>
      <c r="F336" s="11">
        <v>0.375</v>
      </c>
      <c r="G336">
        <v>72963</v>
      </c>
      <c r="H336" t="s">
        <v>4741</v>
      </c>
      <c r="I336" t="s">
        <v>367</v>
      </c>
      <c r="J336" t="s">
        <v>4458</v>
      </c>
      <c r="K336" t="s">
        <v>4459</v>
      </c>
      <c r="L336" t="s">
        <v>4460</v>
      </c>
      <c r="M336" t="s">
        <v>4407</v>
      </c>
      <c r="N336" t="s">
        <v>60</v>
      </c>
      <c r="O336" t="s">
        <v>34</v>
      </c>
      <c r="P336" s="3">
        <v>10438</v>
      </c>
      <c r="Q336" s="3">
        <v>10438</v>
      </c>
      <c r="R336">
        <v>1</v>
      </c>
      <c r="S336" s="3">
        <v>10437</v>
      </c>
      <c r="T336" t="s">
        <v>4408</v>
      </c>
      <c r="U336">
        <v>7932908</v>
      </c>
    </row>
    <row r="337" spans="1:21" x14ac:dyDescent="0.25">
      <c r="A337" s="9" t="s">
        <v>4401</v>
      </c>
      <c r="B337" s="10">
        <v>44049</v>
      </c>
      <c r="C337" s="1">
        <v>44048</v>
      </c>
      <c r="D337" t="s">
        <v>4402</v>
      </c>
      <c r="E337" s="11">
        <v>0.375</v>
      </c>
      <c r="F337" s="11">
        <v>0.375</v>
      </c>
      <c r="G337">
        <v>72964</v>
      </c>
      <c r="H337" t="s">
        <v>4742</v>
      </c>
      <c r="I337" t="s">
        <v>367</v>
      </c>
      <c r="J337" t="s">
        <v>4458</v>
      </c>
      <c r="K337" t="s">
        <v>4459</v>
      </c>
      <c r="L337" t="s">
        <v>4460</v>
      </c>
      <c r="M337" t="s">
        <v>4407</v>
      </c>
      <c r="N337" t="s">
        <v>60</v>
      </c>
      <c r="O337" t="s">
        <v>34</v>
      </c>
      <c r="P337" s="3">
        <v>4428</v>
      </c>
      <c r="Q337" s="3">
        <v>4428</v>
      </c>
      <c r="R337">
        <v>0</v>
      </c>
      <c r="S337" s="3">
        <v>4428</v>
      </c>
      <c r="T337" t="s">
        <v>4408</v>
      </c>
      <c r="U337">
        <v>7932908</v>
      </c>
    </row>
    <row r="338" spans="1:21" x14ac:dyDescent="0.25">
      <c r="A338" s="9" t="s">
        <v>4401</v>
      </c>
      <c r="B338" s="10">
        <v>44049</v>
      </c>
      <c r="C338" s="1">
        <v>44048</v>
      </c>
      <c r="D338" t="s">
        <v>4402</v>
      </c>
      <c r="E338" s="11">
        <v>0.375</v>
      </c>
      <c r="F338" s="11">
        <v>0.375</v>
      </c>
      <c r="G338">
        <v>72965</v>
      </c>
      <c r="H338" t="s">
        <v>4743</v>
      </c>
      <c r="I338" t="s">
        <v>367</v>
      </c>
      <c r="J338" t="s">
        <v>4458</v>
      </c>
      <c r="K338" t="s">
        <v>4459</v>
      </c>
      <c r="L338" t="s">
        <v>4460</v>
      </c>
      <c r="M338" t="s">
        <v>4407</v>
      </c>
      <c r="N338" t="s">
        <v>60</v>
      </c>
      <c r="O338" t="s">
        <v>34</v>
      </c>
      <c r="P338" s="3">
        <v>9733</v>
      </c>
      <c r="Q338" s="3">
        <v>9733</v>
      </c>
      <c r="R338">
        <v>0</v>
      </c>
      <c r="S338" s="3">
        <v>9733</v>
      </c>
      <c r="T338" t="s">
        <v>4408</v>
      </c>
      <c r="U338">
        <v>7932908</v>
      </c>
    </row>
    <row r="339" spans="1:21" x14ac:dyDescent="0.25">
      <c r="A339" s="9" t="s">
        <v>4401</v>
      </c>
      <c r="B339" s="10">
        <v>44049</v>
      </c>
      <c r="C339" s="1">
        <v>44048</v>
      </c>
      <c r="D339" t="s">
        <v>4402</v>
      </c>
      <c r="E339" s="11">
        <v>0.375</v>
      </c>
      <c r="F339" s="11">
        <v>0.375</v>
      </c>
      <c r="G339">
        <v>72967</v>
      </c>
      <c r="H339" t="s">
        <v>4744</v>
      </c>
      <c r="I339">
        <v>1</v>
      </c>
      <c r="J339" t="s">
        <v>4404</v>
      </c>
      <c r="K339" t="s">
        <v>4405</v>
      </c>
      <c r="L339" t="s">
        <v>4406</v>
      </c>
      <c r="M339" t="s">
        <v>4407</v>
      </c>
      <c r="N339" t="s">
        <v>60</v>
      </c>
      <c r="O339" t="s">
        <v>34</v>
      </c>
      <c r="P339" s="3">
        <v>9349</v>
      </c>
      <c r="Q339" s="3">
        <v>9349</v>
      </c>
      <c r="R339">
        <v>980</v>
      </c>
      <c r="S339" s="3">
        <v>8369</v>
      </c>
      <c r="T339" t="s">
        <v>4408</v>
      </c>
      <c r="U339">
        <v>7932908</v>
      </c>
    </row>
    <row r="340" spans="1:21" x14ac:dyDescent="0.25">
      <c r="A340" s="9" t="s">
        <v>4401</v>
      </c>
      <c r="B340" s="10">
        <v>44049</v>
      </c>
      <c r="C340" s="1">
        <v>44048</v>
      </c>
      <c r="D340" t="s">
        <v>4402</v>
      </c>
      <c r="E340" s="11">
        <v>0.375</v>
      </c>
      <c r="F340" s="11">
        <v>0.375</v>
      </c>
      <c r="G340">
        <v>72972</v>
      </c>
      <c r="H340" t="s">
        <v>4745</v>
      </c>
      <c r="I340" t="s">
        <v>543</v>
      </c>
      <c r="J340" t="s">
        <v>4458</v>
      </c>
      <c r="K340" t="s">
        <v>4459</v>
      </c>
      <c r="L340" t="s">
        <v>4460</v>
      </c>
      <c r="M340" t="s">
        <v>4407</v>
      </c>
      <c r="N340" t="s">
        <v>60</v>
      </c>
      <c r="O340" t="s">
        <v>34</v>
      </c>
      <c r="P340" s="3">
        <v>77008</v>
      </c>
      <c r="Q340" s="3">
        <v>77008</v>
      </c>
      <c r="R340">
        <v>1</v>
      </c>
      <c r="S340" s="3">
        <v>77007</v>
      </c>
      <c r="T340" t="s">
        <v>4408</v>
      </c>
      <c r="U340">
        <v>7932908</v>
      </c>
    </row>
    <row r="341" spans="1:21" x14ac:dyDescent="0.25">
      <c r="A341" s="9" t="s">
        <v>4401</v>
      </c>
      <c r="B341" s="10">
        <v>44049</v>
      </c>
      <c r="C341" s="1">
        <v>44048</v>
      </c>
      <c r="D341" t="s">
        <v>4402</v>
      </c>
      <c r="E341" s="11">
        <v>0.375</v>
      </c>
      <c r="F341" s="11">
        <v>0.375</v>
      </c>
      <c r="G341">
        <v>72979</v>
      </c>
      <c r="H341" t="s">
        <v>4746</v>
      </c>
      <c r="I341">
        <v>3</v>
      </c>
      <c r="J341" t="s">
        <v>4404</v>
      </c>
      <c r="K341" t="s">
        <v>4405</v>
      </c>
      <c r="L341" t="s">
        <v>4406</v>
      </c>
      <c r="M341" t="s">
        <v>4407</v>
      </c>
      <c r="N341" t="s">
        <v>60</v>
      </c>
      <c r="O341" t="s">
        <v>34</v>
      </c>
      <c r="P341" s="3">
        <v>67173</v>
      </c>
      <c r="Q341" s="3">
        <v>67173</v>
      </c>
      <c r="R341" s="3">
        <v>18574</v>
      </c>
      <c r="S341" s="3">
        <v>48599</v>
      </c>
      <c r="T341" t="s">
        <v>4408</v>
      </c>
      <c r="U341">
        <v>7932908</v>
      </c>
    </row>
    <row r="342" spans="1:21" x14ac:dyDescent="0.25">
      <c r="A342" s="9" t="s">
        <v>4401</v>
      </c>
      <c r="B342" s="10">
        <v>44049</v>
      </c>
      <c r="C342" s="1">
        <v>44048</v>
      </c>
      <c r="D342" t="s">
        <v>4402</v>
      </c>
      <c r="E342" s="11">
        <v>0.375</v>
      </c>
      <c r="F342" s="11">
        <v>0.375</v>
      </c>
      <c r="G342">
        <v>72988</v>
      </c>
      <c r="H342" t="s">
        <v>4747</v>
      </c>
      <c r="I342">
        <v>2</v>
      </c>
      <c r="J342" t="s">
        <v>4404</v>
      </c>
      <c r="K342" t="s">
        <v>4405</v>
      </c>
      <c r="L342" t="s">
        <v>4406</v>
      </c>
      <c r="M342" t="s">
        <v>4407</v>
      </c>
      <c r="N342" t="s">
        <v>60</v>
      </c>
      <c r="O342" t="s">
        <v>34</v>
      </c>
      <c r="P342" s="3">
        <v>34196</v>
      </c>
      <c r="Q342">
        <v>0</v>
      </c>
      <c r="R342">
        <v>0</v>
      </c>
      <c r="S342">
        <v>0</v>
      </c>
      <c r="T342" t="s">
        <v>4408</v>
      </c>
      <c r="U342">
        <v>7932908</v>
      </c>
    </row>
    <row r="343" spans="1:21" x14ac:dyDescent="0.25">
      <c r="A343" s="9" t="s">
        <v>4401</v>
      </c>
      <c r="B343" s="10">
        <v>44049</v>
      </c>
      <c r="C343" s="1">
        <v>44048</v>
      </c>
      <c r="D343" t="s">
        <v>4402</v>
      </c>
      <c r="E343" s="11">
        <v>0.375</v>
      </c>
      <c r="F343" s="11">
        <v>0.375</v>
      </c>
      <c r="G343">
        <v>72990</v>
      </c>
      <c r="H343" t="s">
        <v>4748</v>
      </c>
      <c r="I343" t="s">
        <v>543</v>
      </c>
      <c r="J343" t="s">
        <v>4404</v>
      </c>
      <c r="K343" t="s">
        <v>4405</v>
      </c>
      <c r="L343" t="s">
        <v>4406</v>
      </c>
      <c r="M343" t="s">
        <v>4407</v>
      </c>
      <c r="N343" t="s">
        <v>60</v>
      </c>
      <c r="O343" t="s">
        <v>34</v>
      </c>
      <c r="P343" s="3">
        <v>10036</v>
      </c>
      <c r="Q343" s="3">
        <v>10036</v>
      </c>
      <c r="R343">
        <v>0</v>
      </c>
      <c r="S343" s="3">
        <v>10036</v>
      </c>
      <c r="T343" t="s">
        <v>4408</v>
      </c>
      <c r="U343">
        <v>7932908</v>
      </c>
    </row>
    <row r="344" spans="1:21" x14ac:dyDescent="0.25">
      <c r="A344" s="9" t="s">
        <v>4401</v>
      </c>
      <c r="B344" s="10">
        <v>44049</v>
      </c>
      <c r="C344" s="1">
        <v>44048</v>
      </c>
      <c r="D344" t="s">
        <v>4402</v>
      </c>
      <c r="E344" s="11">
        <v>0.375</v>
      </c>
      <c r="F344" s="11">
        <v>0.375</v>
      </c>
      <c r="G344">
        <v>72996</v>
      </c>
      <c r="H344" t="s">
        <v>4749</v>
      </c>
      <c r="I344">
        <v>2</v>
      </c>
      <c r="J344" t="s">
        <v>4404</v>
      </c>
      <c r="K344" t="s">
        <v>4405</v>
      </c>
      <c r="L344" t="s">
        <v>4406</v>
      </c>
      <c r="M344" t="s">
        <v>4407</v>
      </c>
      <c r="N344" t="s">
        <v>60</v>
      </c>
      <c r="O344" t="s">
        <v>34</v>
      </c>
      <c r="P344" s="3">
        <v>5120</v>
      </c>
      <c r="Q344" s="3">
        <v>5120</v>
      </c>
      <c r="R344">
        <v>375</v>
      </c>
      <c r="S344" s="3">
        <v>4745</v>
      </c>
      <c r="T344" t="s">
        <v>4408</v>
      </c>
      <c r="U344">
        <v>7932908</v>
      </c>
    </row>
    <row r="345" spans="1:21" x14ac:dyDescent="0.25">
      <c r="A345" s="9" t="s">
        <v>4401</v>
      </c>
      <c r="B345" s="10">
        <v>44049</v>
      </c>
      <c r="C345" s="1">
        <v>44048</v>
      </c>
      <c r="D345" t="s">
        <v>4402</v>
      </c>
      <c r="E345" s="11">
        <v>0.375</v>
      </c>
      <c r="F345" s="11">
        <v>0.375</v>
      </c>
      <c r="G345">
        <v>72998</v>
      </c>
      <c r="H345" t="s">
        <v>4750</v>
      </c>
      <c r="I345" t="s">
        <v>543</v>
      </c>
      <c r="J345" t="s">
        <v>4458</v>
      </c>
      <c r="K345" t="s">
        <v>4459</v>
      </c>
      <c r="L345" t="s">
        <v>4460</v>
      </c>
      <c r="M345" t="s">
        <v>4407</v>
      </c>
      <c r="N345" t="s">
        <v>60</v>
      </c>
      <c r="O345" t="s">
        <v>34</v>
      </c>
      <c r="P345" s="3">
        <v>16739</v>
      </c>
      <c r="Q345" s="3">
        <v>16739</v>
      </c>
      <c r="R345">
        <v>250</v>
      </c>
      <c r="S345" s="3">
        <v>16489</v>
      </c>
      <c r="T345" t="s">
        <v>4408</v>
      </c>
      <c r="U345">
        <v>7932908</v>
      </c>
    </row>
    <row r="346" spans="1:21" x14ac:dyDescent="0.25">
      <c r="A346" s="9" t="s">
        <v>4401</v>
      </c>
      <c r="B346" s="10">
        <v>44049</v>
      </c>
      <c r="C346" s="1">
        <v>44048</v>
      </c>
      <c r="D346" t="s">
        <v>4402</v>
      </c>
      <c r="E346" s="11">
        <v>0.375</v>
      </c>
      <c r="F346" s="11">
        <v>0.375</v>
      </c>
      <c r="G346">
        <v>72999</v>
      </c>
      <c r="H346" t="s">
        <v>4751</v>
      </c>
      <c r="I346" t="s">
        <v>543</v>
      </c>
      <c r="J346" t="s">
        <v>4458</v>
      </c>
      <c r="K346" t="s">
        <v>4459</v>
      </c>
      <c r="L346" t="s">
        <v>4460</v>
      </c>
      <c r="M346" t="s">
        <v>4407</v>
      </c>
      <c r="N346" t="s">
        <v>60</v>
      </c>
      <c r="O346" t="s">
        <v>34</v>
      </c>
      <c r="P346" s="3">
        <v>16711</v>
      </c>
      <c r="Q346" s="3">
        <v>16711</v>
      </c>
      <c r="R346">
        <v>1</v>
      </c>
      <c r="S346" s="3">
        <v>16710</v>
      </c>
      <c r="T346" t="s">
        <v>4408</v>
      </c>
      <c r="U346">
        <v>7932908</v>
      </c>
    </row>
    <row r="347" spans="1:21" x14ac:dyDescent="0.25">
      <c r="A347" s="9" t="s">
        <v>4401</v>
      </c>
      <c r="B347" s="10">
        <v>44049</v>
      </c>
      <c r="C347" s="1">
        <v>44048</v>
      </c>
      <c r="D347" t="s">
        <v>4402</v>
      </c>
      <c r="E347" s="11">
        <v>0.375</v>
      </c>
      <c r="F347" s="11">
        <v>0.375</v>
      </c>
      <c r="G347">
        <v>73023</v>
      </c>
      <c r="H347" t="s">
        <v>4752</v>
      </c>
      <c r="I347">
        <v>3</v>
      </c>
      <c r="J347" t="s">
        <v>4404</v>
      </c>
      <c r="K347" t="s">
        <v>4405</v>
      </c>
      <c r="L347" t="s">
        <v>4406</v>
      </c>
      <c r="M347" t="s">
        <v>4407</v>
      </c>
      <c r="N347" t="s">
        <v>60</v>
      </c>
      <c r="O347" t="s">
        <v>34</v>
      </c>
      <c r="P347" s="3">
        <v>37087</v>
      </c>
      <c r="Q347" s="3">
        <v>37087</v>
      </c>
      <c r="R347">
        <v>0</v>
      </c>
      <c r="S347" s="3">
        <v>37087</v>
      </c>
      <c r="T347" t="s">
        <v>4408</v>
      </c>
      <c r="U347">
        <v>7932908</v>
      </c>
    </row>
    <row r="348" spans="1:21" x14ac:dyDescent="0.25">
      <c r="A348" s="9" t="s">
        <v>4401</v>
      </c>
      <c r="B348" s="10">
        <v>44049</v>
      </c>
      <c r="C348" s="1">
        <v>44048</v>
      </c>
      <c r="D348" t="s">
        <v>4402</v>
      </c>
      <c r="E348" s="11">
        <v>0.375</v>
      </c>
      <c r="F348" s="11">
        <v>0.375</v>
      </c>
      <c r="G348">
        <v>73025</v>
      </c>
      <c r="H348" t="s">
        <v>4753</v>
      </c>
      <c r="I348">
        <v>1</v>
      </c>
      <c r="J348" t="s">
        <v>4404</v>
      </c>
      <c r="K348" t="s">
        <v>4405</v>
      </c>
      <c r="L348" t="s">
        <v>4406</v>
      </c>
      <c r="M348" t="s">
        <v>4407</v>
      </c>
      <c r="N348" t="s">
        <v>60</v>
      </c>
      <c r="O348" t="s">
        <v>34</v>
      </c>
      <c r="P348" s="3">
        <v>252206</v>
      </c>
      <c r="Q348" s="3">
        <v>252206</v>
      </c>
      <c r="R348">
        <v>0</v>
      </c>
      <c r="S348" s="3">
        <v>252206</v>
      </c>
      <c r="T348" t="s">
        <v>4408</v>
      </c>
      <c r="U348">
        <v>7932908</v>
      </c>
    </row>
    <row r="349" spans="1:21" x14ac:dyDescent="0.25">
      <c r="A349" s="9" t="s">
        <v>4401</v>
      </c>
      <c r="B349" s="10">
        <v>44049</v>
      </c>
      <c r="C349" s="1">
        <v>44048</v>
      </c>
      <c r="D349" t="s">
        <v>4402</v>
      </c>
      <c r="E349" s="11">
        <v>0.375</v>
      </c>
      <c r="F349" s="11">
        <v>0.375</v>
      </c>
      <c r="G349">
        <v>73027</v>
      </c>
      <c r="H349" t="s">
        <v>4754</v>
      </c>
      <c r="I349" t="s">
        <v>543</v>
      </c>
      <c r="J349" t="s">
        <v>4458</v>
      </c>
      <c r="K349" t="s">
        <v>4459</v>
      </c>
      <c r="L349" t="s">
        <v>4460</v>
      </c>
      <c r="M349" t="s">
        <v>4407</v>
      </c>
      <c r="N349" t="s">
        <v>60</v>
      </c>
      <c r="O349" t="s">
        <v>34</v>
      </c>
      <c r="P349" s="3">
        <v>80523</v>
      </c>
      <c r="Q349" s="3">
        <v>80523</v>
      </c>
      <c r="R349">
        <v>0</v>
      </c>
      <c r="S349" s="3">
        <v>80523</v>
      </c>
      <c r="T349" t="s">
        <v>4408</v>
      </c>
      <c r="U349">
        <v>7932908</v>
      </c>
    </row>
    <row r="350" spans="1:21" x14ac:dyDescent="0.25">
      <c r="A350" s="9" t="s">
        <v>4401</v>
      </c>
      <c r="B350" s="10">
        <v>44049</v>
      </c>
      <c r="C350" s="1">
        <v>44048</v>
      </c>
      <c r="D350" t="s">
        <v>4402</v>
      </c>
      <c r="E350" s="11">
        <v>0.375</v>
      </c>
      <c r="F350" s="11">
        <v>0.375</v>
      </c>
      <c r="G350">
        <v>73037</v>
      </c>
      <c r="H350" t="s">
        <v>4755</v>
      </c>
      <c r="I350">
        <v>1</v>
      </c>
      <c r="J350" t="s">
        <v>4404</v>
      </c>
      <c r="K350" t="s">
        <v>4405</v>
      </c>
      <c r="L350" t="s">
        <v>4406</v>
      </c>
      <c r="M350" t="s">
        <v>4407</v>
      </c>
      <c r="N350" t="s">
        <v>60</v>
      </c>
      <c r="O350" t="s">
        <v>34</v>
      </c>
      <c r="P350" s="3">
        <v>73344</v>
      </c>
      <c r="Q350" s="3">
        <v>73344</v>
      </c>
      <c r="R350">
        <v>0</v>
      </c>
      <c r="S350" s="3">
        <v>73344</v>
      </c>
      <c r="T350" t="s">
        <v>4408</v>
      </c>
      <c r="U350">
        <v>7932908</v>
      </c>
    </row>
    <row r="351" spans="1:21" x14ac:dyDescent="0.25">
      <c r="A351" s="9" t="s">
        <v>4401</v>
      </c>
      <c r="B351" s="10">
        <v>44049</v>
      </c>
      <c r="C351" s="1">
        <v>44048</v>
      </c>
      <c r="D351" t="s">
        <v>4402</v>
      </c>
      <c r="E351" s="11">
        <v>0.375</v>
      </c>
      <c r="F351" s="11">
        <v>0.375</v>
      </c>
      <c r="G351">
        <v>73041</v>
      </c>
      <c r="H351" t="s">
        <v>4756</v>
      </c>
      <c r="I351" t="s">
        <v>187</v>
      </c>
      <c r="J351" t="s">
        <v>4404</v>
      </c>
      <c r="K351" t="s">
        <v>4405</v>
      </c>
      <c r="L351" t="s">
        <v>4406</v>
      </c>
      <c r="M351" t="s">
        <v>4407</v>
      </c>
      <c r="N351" t="s">
        <v>60</v>
      </c>
      <c r="O351" t="s">
        <v>34</v>
      </c>
      <c r="P351" s="3">
        <v>10266</v>
      </c>
      <c r="Q351" s="3">
        <v>10266</v>
      </c>
      <c r="R351">
        <v>1</v>
      </c>
      <c r="S351" s="3">
        <v>10265</v>
      </c>
      <c r="T351" t="s">
        <v>4408</v>
      </c>
      <c r="U351">
        <v>7932908</v>
      </c>
    </row>
    <row r="352" spans="1:21" x14ac:dyDescent="0.25">
      <c r="A352" s="9" t="s">
        <v>4401</v>
      </c>
      <c r="B352" s="10">
        <v>44049</v>
      </c>
      <c r="C352" s="1">
        <v>44048</v>
      </c>
      <c r="D352" t="s">
        <v>4402</v>
      </c>
      <c r="E352" s="11">
        <v>0.375</v>
      </c>
      <c r="F352" s="11">
        <v>0.375</v>
      </c>
      <c r="G352">
        <v>73054</v>
      </c>
      <c r="H352" t="s">
        <v>4757</v>
      </c>
      <c r="I352">
        <v>2</v>
      </c>
      <c r="J352" t="s">
        <v>4458</v>
      </c>
      <c r="K352" t="s">
        <v>4459</v>
      </c>
      <c r="L352" t="s">
        <v>4460</v>
      </c>
      <c r="M352" t="s">
        <v>4407</v>
      </c>
      <c r="N352" t="s">
        <v>60</v>
      </c>
      <c r="O352" t="s">
        <v>34</v>
      </c>
      <c r="P352" s="3">
        <v>4894</v>
      </c>
      <c r="Q352" s="3">
        <v>4894</v>
      </c>
      <c r="R352">
        <v>0</v>
      </c>
      <c r="S352" s="3">
        <v>4894</v>
      </c>
      <c r="T352" t="s">
        <v>4408</v>
      </c>
      <c r="U352">
        <v>7932908</v>
      </c>
    </row>
    <row r="353" spans="1:21" x14ac:dyDescent="0.25">
      <c r="A353" s="9" t="s">
        <v>4401</v>
      </c>
      <c r="B353" s="10">
        <v>44049</v>
      </c>
      <c r="C353" s="1">
        <v>44048</v>
      </c>
      <c r="D353" t="s">
        <v>4402</v>
      </c>
      <c r="E353" s="11">
        <v>0.375</v>
      </c>
      <c r="F353" s="11">
        <v>0.375</v>
      </c>
      <c r="G353">
        <v>73060</v>
      </c>
      <c r="H353" t="s">
        <v>4758</v>
      </c>
      <c r="I353">
        <v>3</v>
      </c>
      <c r="J353" t="s">
        <v>4404</v>
      </c>
      <c r="K353" t="s">
        <v>4405</v>
      </c>
      <c r="L353" t="s">
        <v>4406</v>
      </c>
      <c r="M353" t="s">
        <v>4407</v>
      </c>
      <c r="N353" t="s">
        <v>60</v>
      </c>
      <c r="O353" t="s">
        <v>34</v>
      </c>
      <c r="P353" s="3">
        <v>132080</v>
      </c>
      <c r="Q353" s="3">
        <v>132080</v>
      </c>
      <c r="R353" s="3">
        <v>36999</v>
      </c>
      <c r="S353" s="3">
        <v>95081</v>
      </c>
      <c r="T353" t="s">
        <v>4408</v>
      </c>
      <c r="U353">
        <v>7932908</v>
      </c>
    </row>
    <row r="354" spans="1:21" x14ac:dyDescent="0.25">
      <c r="A354" s="9" t="s">
        <v>4401</v>
      </c>
      <c r="B354" s="10">
        <v>44049</v>
      </c>
      <c r="C354" s="1">
        <v>44048</v>
      </c>
      <c r="D354" t="s">
        <v>4402</v>
      </c>
      <c r="E354" s="11">
        <v>0.375</v>
      </c>
      <c r="F354" s="11">
        <v>0.375</v>
      </c>
      <c r="G354">
        <v>73062</v>
      </c>
      <c r="H354" t="s">
        <v>4759</v>
      </c>
      <c r="I354">
        <v>3</v>
      </c>
      <c r="J354" t="s">
        <v>4404</v>
      </c>
      <c r="K354" t="s">
        <v>4405</v>
      </c>
      <c r="L354" t="s">
        <v>4406</v>
      </c>
      <c r="M354" t="s">
        <v>4407</v>
      </c>
      <c r="N354" t="s">
        <v>60</v>
      </c>
      <c r="O354" t="s">
        <v>34</v>
      </c>
      <c r="P354" s="3">
        <v>74861</v>
      </c>
      <c r="Q354" s="3">
        <v>74861</v>
      </c>
      <c r="R354" s="3">
        <v>9442</v>
      </c>
      <c r="S354" s="3">
        <v>65419</v>
      </c>
      <c r="T354" t="s">
        <v>4408</v>
      </c>
      <c r="U354">
        <v>7932908</v>
      </c>
    </row>
    <row r="355" spans="1:21" x14ac:dyDescent="0.25">
      <c r="A355" s="9" t="s">
        <v>4401</v>
      </c>
      <c r="B355" s="10">
        <v>44049</v>
      </c>
      <c r="C355" s="1">
        <v>44048</v>
      </c>
      <c r="D355" t="s">
        <v>4402</v>
      </c>
      <c r="E355" s="11">
        <v>0.375</v>
      </c>
      <c r="F355" s="11">
        <v>0.375</v>
      </c>
      <c r="G355">
        <v>73068</v>
      </c>
      <c r="H355" t="s">
        <v>4760</v>
      </c>
      <c r="I355" t="s">
        <v>187</v>
      </c>
      <c r="J355" t="s">
        <v>4458</v>
      </c>
      <c r="K355" t="s">
        <v>4459</v>
      </c>
      <c r="L355" t="s">
        <v>4460</v>
      </c>
      <c r="M355" t="s">
        <v>4407</v>
      </c>
      <c r="N355" t="s">
        <v>60</v>
      </c>
      <c r="O355" t="s">
        <v>34</v>
      </c>
      <c r="P355" s="3">
        <v>4589</v>
      </c>
      <c r="Q355" s="3">
        <v>4589</v>
      </c>
      <c r="R355">
        <v>0</v>
      </c>
      <c r="S355" s="3">
        <v>4589</v>
      </c>
      <c r="T355" t="s">
        <v>4408</v>
      </c>
      <c r="U355">
        <v>7932908</v>
      </c>
    </row>
    <row r="356" spans="1:21" x14ac:dyDescent="0.25">
      <c r="A356" s="9" t="s">
        <v>4401</v>
      </c>
      <c r="B356" s="10">
        <v>44049</v>
      </c>
      <c r="C356" s="1">
        <v>44048</v>
      </c>
      <c r="D356" t="s">
        <v>4402</v>
      </c>
      <c r="E356" s="11">
        <v>0.375</v>
      </c>
      <c r="F356" s="11">
        <v>0.375</v>
      </c>
      <c r="G356">
        <v>73070</v>
      </c>
      <c r="H356" t="s">
        <v>4761</v>
      </c>
      <c r="I356" t="s">
        <v>543</v>
      </c>
      <c r="J356" t="s">
        <v>4458</v>
      </c>
      <c r="K356" t="s">
        <v>4459</v>
      </c>
      <c r="L356" t="s">
        <v>4460</v>
      </c>
      <c r="M356" t="s">
        <v>4407</v>
      </c>
      <c r="N356" t="s">
        <v>60</v>
      </c>
      <c r="O356" t="s">
        <v>34</v>
      </c>
      <c r="P356" s="3">
        <v>208589</v>
      </c>
      <c r="Q356" s="3">
        <v>208589</v>
      </c>
      <c r="R356">
        <v>0</v>
      </c>
      <c r="S356" s="3">
        <v>208589</v>
      </c>
      <c r="T356" t="s">
        <v>4408</v>
      </c>
      <c r="U356">
        <v>7932908</v>
      </c>
    </row>
    <row r="357" spans="1:21" x14ac:dyDescent="0.25">
      <c r="A357" s="9" t="s">
        <v>4401</v>
      </c>
      <c r="B357" s="10">
        <v>44049</v>
      </c>
      <c r="C357" s="1">
        <v>44048</v>
      </c>
      <c r="D357" t="s">
        <v>4402</v>
      </c>
      <c r="E357" s="11">
        <v>0.375</v>
      </c>
      <c r="F357" s="11">
        <v>0.375</v>
      </c>
      <c r="G357">
        <v>73071</v>
      </c>
      <c r="H357" t="s">
        <v>4762</v>
      </c>
      <c r="I357" t="s">
        <v>543</v>
      </c>
      <c r="J357" t="s">
        <v>4458</v>
      </c>
      <c r="K357" t="s">
        <v>4459</v>
      </c>
      <c r="L357" t="s">
        <v>4460</v>
      </c>
      <c r="M357" t="s">
        <v>4407</v>
      </c>
      <c r="N357" t="s">
        <v>60</v>
      </c>
      <c r="O357" t="s">
        <v>34</v>
      </c>
      <c r="P357" s="3">
        <v>102489</v>
      </c>
      <c r="Q357" s="3">
        <v>102489</v>
      </c>
      <c r="R357">
        <v>0</v>
      </c>
      <c r="S357" s="3">
        <v>102489</v>
      </c>
      <c r="T357" t="s">
        <v>4408</v>
      </c>
      <c r="U357">
        <v>7932908</v>
      </c>
    </row>
    <row r="358" spans="1:21" x14ac:dyDescent="0.25">
      <c r="A358" s="9" t="s">
        <v>4401</v>
      </c>
      <c r="B358" s="10">
        <v>44049</v>
      </c>
      <c r="C358" s="1">
        <v>44048</v>
      </c>
      <c r="D358" t="s">
        <v>4402</v>
      </c>
      <c r="E358" s="11">
        <v>0.375</v>
      </c>
      <c r="F358" s="11">
        <v>0.375</v>
      </c>
      <c r="G358">
        <v>73072</v>
      </c>
      <c r="H358" t="s">
        <v>4763</v>
      </c>
      <c r="I358" t="s">
        <v>680</v>
      </c>
      <c r="J358" t="s">
        <v>4458</v>
      </c>
      <c r="K358" t="s">
        <v>4459</v>
      </c>
      <c r="L358" t="s">
        <v>4460</v>
      </c>
      <c r="M358" t="s">
        <v>4407</v>
      </c>
      <c r="N358" t="s">
        <v>60</v>
      </c>
      <c r="O358" t="s">
        <v>34</v>
      </c>
      <c r="P358" s="3">
        <v>73008</v>
      </c>
      <c r="Q358" s="3">
        <v>73008</v>
      </c>
      <c r="R358">
        <v>0</v>
      </c>
      <c r="S358" s="3">
        <v>73008</v>
      </c>
      <c r="T358" t="s">
        <v>4408</v>
      </c>
      <c r="U358">
        <v>7932908</v>
      </c>
    </row>
    <row r="359" spans="1:21" x14ac:dyDescent="0.25">
      <c r="A359" s="9" t="s">
        <v>4401</v>
      </c>
      <c r="B359" s="10">
        <v>44049</v>
      </c>
      <c r="C359" s="1">
        <v>44048</v>
      </c>
      <c r="D359" t="s">
        <v>4402</v>
      </c>
      <c r="E359" s="11">
        <v>0.375</v>
      </c>
      <c r="F359" s="11">
        <v>0.375</v>
      </c>
      <c r="G359">
        <v>73073</v>
      </c>
      <c r="H359" t="s">
        <v>4764</v>
      </c>
      <c r="I359" t="s">
        <v>543</v>
      </c>
      <c r="J359" t="s">
        <v>4458</v>
      </c>
      <c r="K359" t="s">
        <v>4459</v>
      </c>
      <c r="L359" t="s">
        <v>4460</v>
      </c>
      <c r="M359" t="s">
        <v>4407</v>
      </c>
      <c r="N359" t="s">
        <v>60</v>
      </c>
      <c r="O359" t="s">
        <v>34</v>
      </c>
      <c r="P359" s="3">
        <v>133751</v>
      </c>
      <c r="Q359" s="3">
        <v>133751</v>
      </c>
      <c r="R359">
        <v>0</v>
      </c>
      <c r="S359" s="3">
        <v>133751</v>
      </c>
      <c r="T359" t="s">
        <v>4408</v>
      </c>
      <c r="U359">
        <v>7932908</v>
      </c>
    </row>
    <row r="360" spans="1:21" x14ac:dyDescent="0.25">
      <c r="A360" s="9" t="s">
        <v>4401</v>
      </c>
      <c r="B360" s="10">
        <v>44049</v>
      </c>
      <c r="C360" s="1">
        <v>44048</v>
      </c>
      <c r="D360" t="s">
        <v>4402</v>
      </c>
      <c r="E360" s="11">
        <v>0.375</v>
      </c>
      <c r="F360" s="11">
        <v>0.375</v>
      </c>
      <c r="G360">
        <v>73076</v>
      </c>
      <c r="H360" t="s">
        <v>4765</v>
      </c>
      <c r="I360">
        <v>1</v>
      </c>
      <c r="J360" t="s">
        <v>4404</v>
      </c>
      <c r="K360" t="s">
        <v>4405</v>
      </c>
      <c r="L360" t="s">
        <v>4406</v>
      </c>
      <c r="M360" t="s">
        <v>4407</v>
      </c>
      <c r="N360" t="s">
        <v>60</v>
      </c>
      <c r="O360" t="s">
        <v>34</v>
      </c>
      <c r="P360" s="3">
        <v>185344</v>
      </c>
      <c r="Q360" s="3">
        <v>185344</v>
      </c>
      <c r="R360" s="3">
        <v>3000</v>
      </c>
      <c r="S360" s="3">
        <v>182344</v>
      </c>
      <c r="T360" t="s">
        <v>4408</v>
      </c>
      <c r="U360">
        <v>7932908</v>
      </c>
    </row>
    <row r="361" spans="1:21" x14ac:dyDescent="0.25">
      <c r="A361" s="9" t="s">
        <v>4401</v>
      </c>
      <c r="B361" s="10">
        <v>44049</v>
      </c>
      <c r="C361" s="1">
        <v>44048</v>
      </c>
      <c r="D361" t="s">
        <v>4402</v>
      </c>
      <c r="E361" s="11">
        <v>0.375</v>
      </c>
      <c r="F361" s="11">
        <v>0.375</v>
      </c>
      <c r="G361">
        <v>73078</v>
      </c>
      <c r="H361" t="s">
        <v>4766</v>
      </c>
      <c r="I361" t="s">
        <v>543</v>
      </c>
      <c r="J361" t="s">
        <v>4458</v>
      </c>
      <c r="K361" t="s">
        <v>4459</v>
      </c>
      <c r="L361" t="s">
        <v>4460</v>
      </c>
      <c r="M361" t="s">
        <v>4407</v>
      </c>
      <c r="N361" t="s">
        <v>60</v>
      </c>
      <c r="O361" t="s">
        <v>34</v>
      </c>
      <c r="P361" s="3">
        <v>16755</v>
      </c>
      <c r="Q361" s="3">
        <v>16755</v>
      </c>
      <c r="R361">
        <v>0</v>
      </c>
      <c r="S361" s="3">
        <v>16755</v>
      </c>
      <c r="T361" t="s">
        <v>4408</v>
      </c>
      <c r="U361">
        <v>7932908</v>
      </c>
    </row>
    <row r="362" spans="1:21" x14ac:dyDescent="0.25">
      <c r="A362" s="9" t="s">
        <v>4401</v>
      </c>
      <c r="B362" s="10">
        <v>44049</v>
      </c>
      <c r="C362" s="1">
        <v>44048</v>
      </c>
      <c r="D362" t="s">
        <v>4402</v>
      </c>
      <c r="E362" s="11">
        <v>0.375</v>
      </c>
      <c r="F362" s="11">
        <v>0.375</v>
      </c>
      <c r="G362">
        <v>73079</v>
      </c>
      <c r="H362" t="s">
        <v>4767</v>
      </c>
      <c r="I362">
        <v>1</v>
      </c>
      <c r="J362" t="s">
        <v>4404</v>
      </c>
      <c r="K362" t="s">
        <v>4405</v>
      </c>
      <c r="L362" t="s">
        <v>4406</v>
      </c>
      <c r="M362" t="s">
        <v>4407</v>
      </c>
      <c r="N362" t="s">
        <v>60</v>
      </c>
      <c r="O362" t="s">
        <v>34</v>
      </c>
      <c r="P362" s="3">
        <v>9466</v>
      </c>
      <c r="Q362" s="3">
        <v>9466</v>
      </c>
      <c r="R362">
        <v>0</v>
      </c>
      <c r="S362" s="3">
        <v>9466</v>
      </c>
      <c r="T362" t="s">
        <v>4408</v>
      </c>
      <c r="U362">
        <v>7932908</v>
      </c>
    </row>
    <row r="363" spans="1:21" x14ac:dyDescent="0.25">
      <c r="A363" s="9" t="s">
        <v>4401</v>
      </c>
      <c r="B363" s="10">
        <v>44049</v>
      </c>
      <c r="C363" s="1">
        <v>44048</v>
      </c>
      <c r="D363" t="s">
        <v>4402</v>
      </c>
      <c r="E363" s="11">
        <v>0.375</v>
      </c>
      <c r="F363" s="11">
        <v>0.375</v>
      </c>
      <c r="G363">
        <v>73090</v>
      </c>
      <c r="H363" t="s">
        <v>4768</v>
      </c>
      <c r="I363" t="s">
        <v>543</v>
      </c>
      <c r="J363" t="s">
        <v>4404</v>
      </c>
      <c r="K363" t="s">
        <v>4405</v>
      </c>
      <c r="L363" t="s">
        <v>4406</v>
      </c>
      <c r="M363" t="s">
        <v>4407</v>
      </c>
      <c r="N363" t="s">
        <v>60</v>
      </c>
      <c r="O363" t="s">
        <v>34</v>
      </c>
      <c r="P363" s="3">
        <v>492411</v>
      </c>
      <c r="Q363" s="3">
        <v>492411</v>
      </c>
      <c r="R363">
        <v>0</v>
      </c>
      <c r="S363" s="3">
        <v>492411</v>
      </c>
      <c r="T363" t="s">
        <v>4408</v>
      </c>
      <c r="U363">
        <v>7932908</v>
      </c>
    </row>
    <row r="364" spans="1:21" x14ac:dyDescent="0.25">
      <c r="A364" s="9" t="s">
        <v>4401</v>
      </c>
      <c r="B364" s="10">
        <v>44049</v>
      </c>
      <c r="C364" s="1">
        <v>44048</v>
      </c>
      <c r="D364" t="s">
        <v>4402</v>
      </c>
      <c r="E364" s="11">
        <v>0.375</v>
      </c>
      <c r="F364" s="11">
        <v>0.375</v>
      </c>
      <c r="G364">
        <v>73096</v>
      </c>
      <c r="H364" t="s">
        <v>4769</v>
      </c>
      <c r="I364">
        <v>3</v>
      </c>
      <c r="J364" t="s">
        <v>4404</v>
      </c>
      <c r="K364" t="s">
        <v>4405</v>
      </c>
      <c r="L364" t="s">
        <v>4406</v>
      </c>
      <c r="M364" t="s">
        <v>4407</v>
      </c>
      <c r="N364" t="s">
        <v>60</v>
      </c>
      <c r="O364" t="s">
        <v>34</v>
      </c>
      <c r="P364" s="3">
        <v>311948</v>
      </c>
      <c r="Q364" s="3">
        <v>311948</v>
      </c>
      <c r="R364" s="3">
        <v>88300</v>
      </c>
      <c r="S364" s="3">
        <v>223648</v>
      </c>
      <c r="T364" t="s">
        <v>4408</v>
      </c>
      <c r="U364">
        <v>7932908</v>
      </c>
    </row>
    <row r="365" spans="1:21" x14ac:dyDescent="0.25">
      <c r="A365" s="9" t="s">
        <v>4401</v>
      </c>
      <c r="B365" s="10">
        <v>44049</v>
      </c>
      <c r="C365" s="1">
        <v>44048</v>
      </c>
      <c r="D365" t="s">
        <v>4402</v>
      </c>
      <c r="E365" s="11">
        <v>0.375</v>
      </c>
      <c r="F365" s="11">
        <v>0.375</v>
      </c>
      <c r="G365">
        <v>73104</v>
      </c>
      <c r="H365" t="s">
        <v>4770</v>
      </c>
      <c r="I365" t="s">
        <v>187</v>
      </c>
      <c r="J365" t="s">
        <v>4458</v>
      </c>
      <c r="K365" t="s">
        <v>4459</v>
      </c>
      <c r="L365" t="s">
        <v>4460</v>
      </c>
      <c r="M365" t="s">
        <v>4407</v>
      </c>
      <c r="N365" t="s">
        <v>60</v>
      </c>
      <c r="O365" t="s">
        <v>34</v>
      </c>
      <c r="P365" s="3">
        <v>4589</v>
      </c>
      <c r="Q365" s="3">
        <v>4589</v>
      </c>
      <c r="R365">
        <v>1</v>
      </c>
      <c r="S365" s="3">
        <v>4588</v>
      </c>
      <c r="T365" t="s">
        <v>4408</v>
      </c>
      <c r="U365">
        <v>7932908</v>
      </c>
    </row>
    <row r="366" spans="1:21" x14ac:dyDescent="0.25">
      <c r="A366" s="9" t="s">
        <v>4401</v>
      </c>
      <c r="B366" s="10">
        <v>44049</v>
      </c>
      <c r="C366" s="1">
        <v>44048</v>
      </c>
      <c r="D366" t="s">
        <v>4402</v>
      </c>
      <c r="E366" s="11">
        <v>0.375</v>
      </c>
      <c r="F366" s="11">
        <v>0.375</v>
      </c>
      <c r="G366">
        <v>73105</v>
      </c>
      <c r="H366" t="s">
        <v>4771</v>
      </c>
      <c r="I366">
        <v>2</v>
      </c>
      <c r="J366" t="s">
        <v>4404</v>
      </c>
      <c r="K366" t="s">
        <v>4405</v>
      </c>
      <c r="L366" t="s">
        <v>4406</v>
      </c>
      <c r="M366" t="s">
        <v>4407</v>
      </c>
      <c r="N366" t="s">
        <v>60</v>
      </c>
      <c r="O366" t="s">
        <v>34</v>
      </c>
      <c r="P366" s="3">
        <v>69927</v>
      </c>
      <c r="Q366" s="3">
        <v>69927</v>
      </c>
      <c r="R366" s="3">
        <v>1251</v>
      </c>
      <c r="S366" s="3">
        <v>68676</v>
      </c>
      <c r="T366" t="s">
        <v>4408</v>
      </c>
      <c r="U366">
        <v>7932908</v>
      </c>
    </row>
    <row r="367" spans="1:21" x14ac:dyDescent="0.25">
      <c r="A367" s="9" t="s">
        <v>4401</v>
      </c>
      <c r="B367" s="10">
        <v>44049</v>
      </c>
      <c r="C367" s="1">
        <v>44048</v>
      </c>
      <c r="D367" t="s">
        <v>4402</v>
      </c>
      <c r="E367" s="11">
        <v>0.375</v>
      </c>
      <c r="F367" s="11">
        <v>0.375</v>
      </c>
      <c r="G367">
        <v>73106</v>
      </c>
      <c r="H367" t="s">
        <v>4772</v>
      </c>
      <c r="I367" t="s">
        <v>543</v>
      </c>
      <c r="J367" t="s">
        <v>4404</v>
      </c>
      <c r="K367" t="s">
        <v>4405</v>
      </c>
      <c r="L367" t="s">
        <v>4406</v>
      </c>
      <c r="M367" t="s">
        <v>4407</v>
      </c>
      <c r="N367" t="s">
        <v>60</v>
      </c>
      <c r="O367" t="s">
        <v>34</v>
      </c>
      <c r="P367" s="3">
        <v>1493</v>
      </c>
      <c r="Q367" s="3">
        <v>1493</v>
      </c>
      <c r="R367">
        <v>243</v>
      </c>
      <c r="S367" s="3">
        <v>1250</v>
      </c>
      <c r="T367" t="s">
        <v>4408</v>
      </c>
      <c r="U367">
        <v>7932908</v>
      </c>
    </row>
    <row r="368" spans="1:21" x14ac:dyDescent="0.25">
      <c r="A368" s="9" t="s">
        <v>4401</v>
      </c>
      <c r="B368" s="10">
        <v>44049</v>
      </c>
      <c r="C368" s="1">
        <v>44048</v>
      </c>
      <c r="D368" t="s">
        <v>4402</v>
      </c>
      <c r="E368" s="11">
        <v>0.375</v>
      </c>
      <c r="F368" s="11">
        <v>0.375</v>
      </c>
      <c r="G368">
        <v>73107</v>
      </c>
      <c r="H368" t="s">
        <v>4773</v>
      </c>
      <c r="I368">
        <v>1</v>
      </c>
      <c r="J368" t="s">
        <v>4404</v>
      </c>
      <c r="K368" t="s">
        <v>4405</v>
      </c>
      <c r="L368" t="s">
        <v>4406</v>
      </c>
      <c r="M368" t="s">
        <v>4407</v>
      </c>
      <c r="N368" t="s">
        <v>60</v>
      </c>
      <c r="O368" t="s">
        <v>34</v>
      </c>
      <c r="P368" s="3">
        <v>5089</v>
      </c>
      <c r="Q368" s="3">
        <v>5089</v>
      </c>
      <c r="R368">
        <v>700</v>
      </c>
      <c r="S368" s="3">
        <v>4389</v>
      </c>
      <c r="T368" t="s">
        <v>4408</v>
      </c>
      <c r="U368">
        <v>7932908</v>
      </c>
    </row>
    <row r="369" spans="1:21" x14ac:dyDescent="0.25">
      <c r="A369" s="9" t="s">
        <v>4401</v>
      </c>
      <c r="B369" s="10">
        <v>44049</v>
      </c>
      <c r="C369" s="1">
        <v>44048</v>
      </c>
      <c r="D369" t="s">
        <v>4402</v>
      </c>
      <c r="E369" s="11">
        <v>0.375</v>
      </c>
      <c r="F369" s="11">
        <v>0.375</v>
      </c>
      <c r="G369">
        <v>73109</v>
      </c>
      <c r="H369" t="s">
        <v>4774</v>
      </c>
      <c r="I369">
        <v>1</v>
      </c>
      <c r="J369" t="s">
        <v>4404</v>
      </c>
      <c r="K369" t="s">
        <v>4405</v>
      </c>
      <c r="L369" t="s">
        <v>4406</v>
      </c>
      <c r="M369" t="s">
        <v>4407</v>
      </c>
      <c r="N369" t="s">
        <v>60</v>
      </c>
      <c r="O369" t="s">
        <v>34</v>
      </c>
      <c r="P369" s="3">
        <v>38368</v>
      </c>
      <c r="Q369" s="3">
        <v>38368</v>
      </c>
      <c r="R369">
        <v>375</v>
      </c>
      <c r="S369" s="3">
        <v>37993</v>
      </c>
      <c r="T369" t="s">
        <v>4408</v>
      </c>
      <c r="U369">
        <v>7932908</v>
      </c>
    </row>
    <row r="370" spans="1:21" x14ac:dyDescent="0.25">
      <c r="A370" s="9" t="s">
        <v>4401</v>
      </c>
      <c r="B370" s="10">
        <v>44049</v>
      </c>
      <c r="C370" s="1">
        <v>44048</v>
      </c>
      <c r="D370" t="s">
        <v>4402</v>
      </c>
      <c r="E370" s="11">
        <v>0.375</v>
      </c>
      <c r="F370" s="11">
        <v>0.375</v>
      </c>
      <c r="G370">
        <v>73110</v>
      </c>
      <c r="H370" t="s">
        <v>4775</v>
      </c>
      <c r="I370">
        <v>2</v>
      </c>
      <c r="J370" t="s">
        <v>4458</v>
      </c>
      <c r="K370" t="s">
        <v>4459</v>
      </c>
      <c r="L370" t="s">
        <v>4460</v>
      </c>
      <c r="M370" t="s">
        <v>4407</v>
      </c>
      <c r="N370" t="s">
        <v>60</v>
      </c>
      <c r="O370" t="s">
        <v>34</v>
      </c>
      <c r="P370" s="3">
        <v>14543</v>
      </c>
      <c r="Q370" s="3">
        <v>14543</v>
      </c>
      <c r="R370">
        <v>0</v>
      </c>
      <c r="S370" s="3">
        <v>14543</v>
      </c>
      <c r="T370" t="s">
        <v>4408</v>
      </c>
      <c r="U370">
        <v>7932908</v>
      </c>
    </row>
    <row r="371" spans="1:21" x14ac:dyDescent="0.25">
      <c r="A371" s="9" t="s">
        <v>4401</v>
      </c>
      <c r="B371" s="10">
        <v>44049</v>
      </c>
      <c r="C371" s="1">
        <v>44048</v>
      </c>
      <c r="D371" t="s">
        <v>4402</v>
      </c>
      <c r="E371" s="11">
        <v>0.375</v>
      </c>
      <c r="F371" s="11">
        <v>0.375</v>
      </c>
      <c r="G371">
        <v>73113</v>
      </c>
      <c r="H371" t="s">
        <v>4776</v>
      </c>
      <c r="I371" t="s">
        <v>367</v>
      </c>
      <c r="J371" t="s">
        <v>4458</v>
      </c>
      <c r="K371" t="s">
        <v>4459</v>
      </c>
      <c r="L371" t="s">
        <v>4460</v>
      </c>
      <c r="M371" t="s">
        <v>4407</v>
      </c>
      <c r="N371" t="s">
        <v>60</v>
      </c>
      <c r="O371" t="s">
        <v>34</v>
      </c>
      <c r="P371" s="3">
        <v>144452</v>
      </c>
      <c r="Q371" s="3">
        <v>144452</v>
      </c>
      <c r="R371">
        <v>0</v>
      </c>
      <c r="S371" s="3">
        <v>144452</v>
      </c>
      <c r="T371" t="s">
        <v>4408</v>
      </c>
      <c r="U371">
        <v>7932908</v>
      </c>
    </row>
    <row r="372" spans="1:21" x14ac:dyDescent="0.25">
      <c r="A372" s="9" t="s">
        <v>4401</v>
      </c>
      <c r="B372" s="10">
        <v>44049</v>
      </c>
      <c r="C372" s="1">
        <v>44048</v>
      </c>
      <c r="D372" t="s">
        <v>4402</v>
      </c>
      <c r="E372" s="11">
        <v>0.375</v>
      </c>
      <c r="F372" s="11">
        <v>0.375</v>
      </c>
      <c r="G372">
        <v>73116</v>
      </c>
      <c r="H372" t="s">
        <v>4777</v>
      </c>
      <c r="I372">
        <v>2</v>
      </c>
      <c r="J372" t="s">
        <v>4458</v>
      </c>
      <c r="K372" t="s">
        <v>4459</v>
      </c>
      <c r="L372" t="s">
        <v>4460</v>
      </c>
      <c r="M372" t="s">
        <v>4407</v>
      </c>
      <c r="N372" t="s">
        <v>60</v>
      </c>
      <c r="O372" t="s">
        <v>34</v>
      </c>
      <c r="P372" s="3">
        <v>3757</v>
      </c>
      <c r="Q372" s="3">
        <v>3757</v>
      </c>
      <c r="R372">
        <v>0</v>
      </c>
      <c r="S372" s="3">
        <v>3757</v>
      </c>
      <c r="T372" t="s">
        <v>4408</v>
      </c>
      <c r="U372">
        <v>7932908</v>
      </c>
    </row>
    <row r="373" spans="1:21" x14ac:dyDescent="0.25">
      <c r="A373" s="9" t="s">
        <v>4401</v>
      </c>
      <c r="B373" s="10">
        <v>44049</v>
      </c>
      <c r="C373" s="1">
        <v>44048</v>
      </c>
      <c r="D373" t="s">
        <v>4402</v>
      </c>
      <c r="E373" s="11">
        <v>0.375</v>
      </c>
      <c r="F373" s="11">
        <v>0.375</v>
      </c>
      <c r="G373">
        <v>73117</v>
      </c>
      <c r="H373" t="s">
        <v>4778</v>
      </c>
      <c r="I373" t="s">
        <v>367</v>
      </c>
      <c r="J373" t="s">
        <v>4458</v>
      </c>
      <c r="K373" t="s">
        <v>4459</v>
      </c>
      <c r="L373" t="s">
        <v>4460</v>
      </c>
      <c r="M373" t="s">
        <v>4407</v>
      </c>
      <c r="N373" t="s">
        <v>60</v>
      </c>
      <c r="O373" t="s">
        <v>34</v>
      </c>
      <c r="P373" s="3">
        <v>107326</v>
      </c>
      <c r="Q373" s="3">
        <v>107326</v>
      </c>
      <c r="R373">
        <v>0</v>
      </c>
      <c r="S373" s="3">
        <v>107326</v>
      </c>
      <c r="T373" t="s">
        <v>4408</v>
      </c>
      <c r="U373">
        <v>7932908</v>
      </c>
    </row>
    <row r="374" spans="1:21" x14ac:dyDescent="0.25">
      <c r="A374" s="9" t="s">
        <v>4401</v>
      </c>
      <c r="B374" s="10">
        <v>44049</v>
      </c>
      <c r="C374" s="1">
        <v>44048</v>
      </c>
      <c r="D374" t="s">
        <v>4402</v>
      </c>
      <c r="E374" s="11">
        <v>0.375</v>
      </c>
      <c r="F374" s="11">
        <v>0.375</v>
      </c>
      <c r="G374">
        <v>73127</v>
      </c>
      <c r="H374" t="s">
        <v>4779</v>
      </c>
      <c r="I374">
        <v>3</v>
      </c>
      <c r="J374" t="s">
        <v>4404</v>
      </c>
      <c r="K374" t="s">
        <v>4405</v>
      </c>
      <c r="L374" t="s">
        <v>4406</v>
      </c>
      <c r="M374" t="s">
        <v>4407</v>
      </c>
      <c r="N374" t="s">
        <v>60</v>
      </c>
      <c r="O374" t="s">
        <v>34</v>
      </c>
      <c r="P374" s="3">
        <v>73268</v>
      </c>
      <c r="Q374" s="3">
        <v>73268</v>
      </c>
      <c r="R374" s="3">
        <v>36000</v>
      </c>
      <c r="S374" s="3">
        <v>37268</v>
      </c>
      <c r="T374" t="s">
        <v>4408</v>
      </c>
      <c r="U374">
        <v>7932908</v>
      </c>
    </row>
    <row r="375" spans="1:21" x14ac:dyDescent="0.25">
      <c r="A375" s="9" t="s">
        <v>4401</v>
      </c>
      <c r="B375" s="10">
        <v>44049</v>
      </c>
      <c r="C375" s="1">
        <v>44048</v>
      </c>
      <c r="D375" t="s">
        <v>4402</v>
      </c>
      <c r="E375" s="11">
        <v>0.375</v>
      </c>
      <c r="F375" s="11">
        <v>0.375</v>
      </c>
      <c r="G375">
        <v>73131</v>
      </c>
      <c r="H375" t="s">
        <v>4780</v>
      </c>
      <c r="I375">
        <v>2</v>
      </c>
      <c r="J375" t="s">
        <v>4404</v>
      </c>
      <c r="K375" t="s">
        <v>4405</v>
      </c>
      <c r="L375" t="s">
        <v>4406</v>
      </c>
      <c r="M375" t="s">
        <v>4407</v>
      </c>
      <c r="N375" t="s">
        <v>60</v>
      </c>
      <c r="O375" t="s">
        <v>34</v>
      </c>
      <c r="P375" s="3">
        <v>234854</v>
      </c>
      <c r="Q375" s="3">
        <v>234854</v>
      </c>
      <c r="R375">
        <v>102</v>
      </c>
      <c r="S375" s="3">
        <v>234752</v>
      </c>
      <c r="T375" t="s">
        <v>4408</v>
      </c>
      <c r="U375">
        <v>7932908</v>
      </c>
    </row>
    <row r="376" spans="1:21" x14ac:dyDescent="0.25">
      <c r="A376" s="9" t="s">
        <v>4401</v>
      </c>
      <c r="B376" s="10">
        <v>44049</v>
      </c>
      <c r="C376" s="1">
        <v>44048</v>
      </c>
      <c r="D376" t="s">
        <v>4402</v>
      </c>
      <c r="E376" s="11">
        <v>0.375</v>
      </c>
      <c r="F376" s="11">
        <v>0.375</v>
      </c>
      <c r="G376">
        <v>73133</v>
      </c>
      <c r="H376" t="s">
        <v>4781</v>
      </c>
      <c r="I376">
        <v>2</v>
      </c>
      <c r="J376" t="s">
        <v>4458</v>
      </c>
      <c r="K376" t="s">
        <v>4459</v>
      </c>
      <c r="L376" t="s">
        <v>4460</v>
      </c>
      <c r="M376" t="s">
        <v>4407</v>
      </c>
      <c r="N376" t="s">
        <v>60</v>
      </c>
      <c r="O376" t="s">
        <v>34</v>
      </c>
      <c r="P376" s="3">
        <v>15677</v>
      </c>
      <c r="Q376" s="3">
        <v>15677</v>
      </c>
      <c r="R376">
        <v>0</v>
      </c>
      <c r="S376" s="3">
        <v>15677</v>
      </c>
      <c r="T376" t="s">
        <v>4408</v>
      </c>
      <c r="U376">
        <v>7932908</v>
      </c>
    </row>
    <row r="377" spans="1:21" x14ac:dyDescent="0.25">
      <c r="A377" s="9" t="s">
        <v>4401</v>
      </c>
      <c r="B377" s="10">
        <v>44049</v>
      </c>
      <c r="C377" s="1">
        <v>44048</v>
      </c>
      <c r="D377" t="s">
        <v>4402</v>
      </c>
      <c r="E377" s="11">
        <v>0.375</v>
      </c>
      <c r="F377" s="11">
        <v>0.375</v>
      </c>
      <c r="G377">
        <v>73134</v>
      </c>
      <c r="H377" t="s">
        <v>4782</v>
      </c>
      <c r="I377" t="s">
        <v>187</v>
      </c>
      <c r="J377" t="s">
        <v>4404</v>
      </c>
      <c r="K377" t="s">
        <v>4405</v>
      </c>
      <c r="L377" t="s">
        <v>4406</v>
      </c>
      <c r="M377" t="s">
        <v>4407</v>
      </c>
      <c r="N377" t="s">
        <v>60</v>
      </c>
      <c r="O377" t="s">
        <v>34</v>
      </c>
      <c r="P377" s="3">
        <v>183023</v>
      </c>
      <c r="Q377" s="3">
        <v>183023</v>
      </c>
      <c r="R377">
        <v>0</v>
      </c>
      <c r="S377" s="3">
        <v>183023</v>
      </c>
      <c r="T377" t="s">
        <v>4408</v>
      </c>
      <c r="U377">
        <v>7932908</v>
      </c>
    </row>
    <row r="378" spans="1:21" x14ac:dyDescent="0.25">
      <c r="A378" s="9" t="s">
        <v>4401</v>
      </c>
      <c r="B378" s="10">
        <v>44049</v>
      </c>
      <c r="C378" s="1">
        <v>44048</v>
      </c>
      <c r="D378" t="s">
        <v>4402</v>
      </c>
      <c r="E378" s="11">
        <v>0.375</v>
      </c>
      <c r="F378" s="11">
        <v>0.375</v>
      </c>
      <c r="G378">
        <v>73136</v>
      </c>
      <c r="H378" t="s">
        <v>4783</v>
      </c>
      <c r="I378">
        <v>3</v>
      </c>
      <c r="J378" t="s">
        <v>4404</v>
      </c>
      <c r="K378" t="s">
        <v>4405</v>
      </c>
      <c r="L378" t="s">
        <v>4406</v>
      </c>
      <c r="M378" t="s">
        <v>4407</v>
      </c>
      <c r="N378" t="s">
        <v>60</v>
      </c>
      <c r="O378" t="s">
        <v>34</v>
      </c>
      <c r="P378" s="3">
        <v>28791</v>
      </c>
      <c r="Q378" s="3">
        <v>28791</v>
      </c>
      <c r="R378">
        <v>0</v>
      </c>
      <c r="S378" s="3">
        <v>28791</v>
      </c>
      <c r="T378" t="s">
        <v>4408</v>
      </c>
      <c r="U378">
        <v>7932908</v>
      </c>
    </row>
    <row r="379" spans="1:21" x14ac:dyDescent="0.25">
      <c r="A379" s="9" t="s">
        <v>4401</v>
      </c>
      <c r="B379" s="10">
        <v>44049</v>
      </c>
      <c r="C379" s="1">
        <v>44048</v>
      </c>
      <c r="D379" t="s">
        <v>4402</v>
      </c>
      <c r="E379" s="11">
        <v>0.375</v>
      </c>
      <c r="F379" s="11">
        <v>0.375</v>
      </c>
      <c r="G379">
        <v>73139</v>
      </c>
      <c r="H379" t="s">
        <v>4784</v>
      </c>
      <c r="I379" t="s">
        <v>367</v>
      </c>
      <c r="J379" t="s">
        <v>4458</v>
      </c>
      <c r="K379" t="s">
        <v>4459</v>
      </c>
      <c r="L379" t="s">
        <v>4460</v>
      </c>
      <c r="M379" t="s">
        <v>4407</v>
      </c>
      <c r="N379" t="s">
        <v>60</v>
      </c>
      <c r="O379" t="s">
        <v>34</v>
      </c>
      <c r="P379" s="3">
        <v>8985</v>
      </c>
      <c r="Q379" s="3">
        <v>8985</v>
      </c>
      <c r="R379">
        <v>140</v>
      </c>
      <c r="S379" s="3">
        <v>8845</v>
      </c>
      <c r="T379" t="s">
        <v>4408</v>
      </c>
      <c r="U379">
        <v>7932908</v>
      </c>
    </row>
    <row r="380" spans="1:21" x14ac:dyDescent="0.25">
      <c r="A380" s="9" t="s">
        <v>4401</v>
      </c>
      <c r="B380" s="10">
        <v>44049</v>
      </c>
      <c r="C380" s="1">
        <v>44048</v>
      </c>
      <c r="D380" t="s">
        <v>4402</v>
      </c>
      <c r="E380" s="11">
        <v>0.375</v>
      </c>
      <c r="F380" s="11">
        <v>0.375</v>
      </c>
      <c r="G380">
        <v>73141</v>
      </c>
      <c r="H380" t="s">
        <v>4785</v>
      </c>
      <c r="I380" t="s">
        <v>543</v>
      </c>
      <c r="J380" t="s">
        <v>4404</v>
      </c>
      <c r="K380" t="s">
        <v>4405</v>
      </c>
      <c r="L380" t="s">
        <v>4406</v>
      </c>
      <c r="M380" t="s">
        <v>4407</v>
      </c>
      <c r="N380" t="s">
        <v>60</v>
      </c>
      <c r="O380" t="s">
        <v>34</v>
      </c>
      <c r="P380" s="3">
        <v>58061</v>
      </c>
      <c r="Q380" s="3">
        <v>58061</v>
      </c>
      <c r="R380" s="3">
        <v>38000</v>
      </c>
      <c r="S380" s="3">
        <v>20061</v>
      </c>
      <c r="T380" t="s">
        <v>4408</v>
      </c>
      <c r="U380">
        <v>7932908</v>
      </c>
    </row>
    <row r="381" spans="1:21" x14ac:dyDescent="0.25">
      <c r="A381" s="9" t="s">
        <v>4401</v>
      </c>
      <c r="B381" s="10">
        <v>44049</v>
      </c>
      <c r="C381" s="1">
        <v>44048</v>
      </c>
      <c r="D381" t="s">
        <v>4402</v>
      </c>
      <c r="E381" s="11">
        <v>0.375</v>
      </c>
      <c r="F381" s="11">
        <v>0.375</v>
      </c>
      <c r="G381">
        <v>73147</v>
      </c>
      <c r="H381" t="s">
        <v>4786</v>
      </c>
      <c r="I381" t="s">
        <v>680</v>
      </c>
      <c r="J381" t="s">
        <v>4458</v>
      </c>
      <c r="K381" t="s">
        <v>4459</v>
      </c>
      <c r="L381" t="s">
        <v>4460</v>
      </c>
      <c r="M381" t="s">
        <v>4407</v>
      </c>
      <c r="N381" t="s">
        <v>60</v>
      </c>
      <c r="O381" t="s">
        <v>34</v>
      </c>
      <c r="P381" s="3">
        <v>223806</v>
      </c>
      <c r="Q381" s="3">
        <v>223806</v>
      </c>
      <c r="R381">
        <v>0</v>
      </c>
      <c r="S381" s="3">
        <v>223806</v>
      </c>
      <c r="T381" t="s">
        <v>4408</v>
      </c>
      <c r="U381">
        <v>7932908</v>
      </c>
    </row>
    <row r="382" spans="1:21" x14ac:dyDescent="0.25">
      <c r="A382" s="9" t="s">
        <v>4401</v>
      </c>
      <c r="B382" s="10">
        <v>44049</v>
      </c>
      <c r="C382" s="1">
        <v>44048</v>
      </c>
      <c r="D382" t="s">
        <v>4402</v>
      </c>
      <c r="E382" s="11">
        <v>0.375</v>
      </c>
      <c r="F382" s="11">
        <v>0.375</v>
      </c>
      <c r="G382">
        <v>73148</v>
      </c>
      <c r="H382" t="s">
        <v>4787</v>
      </c>
      <c r="I382" t="s">
        <v>367</v>
      </c>
      <c r="J382" t="s">
        <v>4458</v>
      </c>
      <c r="K382" t="s">
        <v>4459</v>
      </c>
      <c r="L382" t="s">
        <v>4460</v>
      </c>
      <c r="M382" t="s">
        <v>4407</v>
      </c>
      <c r="N382" t="s">
        <v>60</v>
      </c>
      <c r="O382" t="s">
        <v>34</v>
      </c>
      <c r="P382" s="3">
        <v>4589</v>
      </c>
      <c r="Q382" s="3">
        <v>4589</v>
      </c>
      <c r="R382">
        <v>0</v>
      </c>
      <c r="S382" s="3">
        <v>4589</v>
      </c>
      <c r="T382" t="s">
        <v>4408</v>
      </c>
      <c r="U382">
        <v>7932908</v>
      </c>
    </row>
    <row r="383" spans="1:21" x14ac:dyDescent="0.25">
      <c r="A383" s="9" t="s">
        <v>4401</v>
      </c>
      <c r="B383" s="10">
        <v>44049</v>
      </c>
      <c r="C383" s="1">
        <v>44048</v>
      </c>
      <c r="D383" t="s">
        <v>4402</v>
      </c>
      <c r="E383" s="11">
        <v>0.375</v>
      </c>
      <c r="F383" s="11">
        <v>0.375</v>
      </c>
      <c r="G383">
        <v>73149</v>
      </c>
      <c r="H383" t="s">
        <v>4788</v>
      </c>
      <c r="I383" t="s">
        <v>367</v>
      </c>
      <c r="J383" t="s">
        <v>4458</v>
      </c>
      <c r="K383" t="s">
        <v>4459</v>
      </c>
      <c r="L383" t="s">
        <v>4460</v>
      </c>
      <c r="M383" t="s">
        <v>4407</v>
      </c>
      <c r="N383" t="s">
        <v>60</v>
      </c>
      <c r="O383" t="s">
        <v>34</v>
      </c>
      <c r="P383" s="3">
        <v>4589</v>
      </c>
      <c r="Q383" s="3">
        <v>4589</v>
      </c>
      <c r="R383">
        <v>0</v>
      </c>
      <c r="S383" s="3">
        <v>4589</v>
      </c>
      <c r="T383" t="s">
        <v>4408</v>
      </c>
      <c r="U383">
        <v>7932908</v>
      </c>
    </row>
    <row r="384" spans="1:21" x14ac:dyDescent="0.25">
      <c r="A384" s="9" t="s">
        <v>4401</v>
      </c>
      <c r="B384" s="10">
        <v>44049</v>
      </c>
      <c r="C384" s="1">
        <v>44048</v>
      </c>
      <c r="D384" t="s">
        <v>4402</v>
      </c>
      <c r="E384" s="11">
        <v>0.375</v>
      </c>
      <c r="F384" s="11">
        <v>0.375</v>
      </c>
      <c r="G384">
        <v>73150</v>
      </c>
      <c r="H384" t="s">
        <v>4789</v>
      </c>
      <c r="I384" t="s">
        <v>187</v>
      </c>
      <c r="J384" t="s">
        <v>4404</v>
      </c>
      <c r="K384" t="s">
        <v>4405</v>
      </c>
      <c r="L384" t="s">
        <v>4406</v>
      </c>
      <c r="M384" t="s">
        <v>4407</v>
      </c>
      <c r="N384" t="s">
        <v>34</v>
      </c>
      <c r="O384" t="s">
        <v>34</v>
      </c>
      <c r="P384" s="3">
        <v>12260</v>
      </c>
      <c r="Q384" s="3">
        <v>12260</v>
      </c>
      <c r="R384">
        <v>98</v>
      </c>
      <c r="S384" s="3">
        <v>12162</v>
      </c>
      <c r="T384" t="s">
        <v>4408</v>
      </c>
      <c r="U384">
        <v>7932908</v>
      </c>
    </row>
    <row r="385" spans="1:21" x14ac:dyDescent="0.25">
      <c r="A385" s="9" t="s">
        <v>4401</v>
      </c>
      <c r="B385" s="10">
        <v>44049</v>
      </c>
      <c r="C385" s="1">
        <v>44048</v>
      </c>
      <c r="D385" t="s">
        <v>4402</v>
      </c>
      <c r="E385" s="11">
        <v>0.375</v>
      </c>
      <c r="F385" s="11">
        <v>0.375</v>
      </c>
      <c r="G385">
        <v>73152</v>
      </c>
      <c r="H385" t="s">
        <v>2105</v>
      </c>
      <c r="I385">
        <v>2</v>
      </c>
      <c r="J385" t="s">
        <v>4458</v>
      </c>
      <c r="K385" t="s">
        <v>4459</v>
      </c>
      <c r="L385" t="s">
        <v>4460</v>
      </c>
      <c r="M385" t="s">
        <v>4407</v>
      </c>
      <c r="N385" t="s">
        <v>60</v>
      </c>
      <c r="O385" t="s">
        <v>34</v>
      </c>
      <c r="P385" s="3">
        <v>262758</v>
      </c>
      <c r="Q385" s="3">
        <v>262758</v>
      </c>
      <c r="R385" s="3">
        <v>133454</v>
      </c>
      <c r="S385" s="3">
        <v>129304</v>
      </c>
      <c r="T385" t="s">
        <v>4408</v>
      </c>
      <c r="U385">
        <v>7932908</v>
      </c>
    </row>
    <row r="386" spans="1:21" x14ac:dyDescent="0.25">
      <c r="A386" s="9" t="s">
        <v>4401</v>
      </c>
      <c r="B386" s="10">
        <v>44049</v>
      </c>
      <c r="C386" s="1">
        <v>44048</v>
      </c>
      <c r="D386" t="s">
        <v>4402</v>
      </c>
      <c r="E386" s="11">
        <v>0.375</v>
      </c>
      <c r="F386" s="11">
        <v>0.375</v>
      </c>
      <c r="G386">
        <v>73153</v>
      </c>
      <c r="H386" t="s">
        <v>4790</v>
      </c>
      <c r="I386">
        <v>3</v>
      </c>
      <c r="J386" t="s">
        <v>4404</v>
      </c>
      <c r="K386" t="s">
        <v>4405</v>
      </c>
      <c r="L386" t="s">
        <v>4406</v>
      </c>
      <c r="M386" t="s">
        <v>4407</v>
      </c>
      <c r="N386" t="s">
        <v>60</v>
      </c>
      <c r="O386" t="s">
        <v>34</v>
      </c>
      <c r="P386" s="3">
        <v>234779</v>
      </c>
      <c r="Q386" s="3">
        <v>234779</v>
      </c>
      <c r="R386">
        <v>0</v>
      </c>
      <c r="S386" s="3">
        <v>234779</v>
      </c>
      <c r="T386" t="s">
        <v>4408</v>
      </c>
      <c r="U386">
        <v>7932908</v>
      </c>
    </row>
    <row r="387" spans="1:21" x14ac:dyDescent="0.25">
      <c r="A387" s="9" t="s">
        <v>4401</v>
      </c>
      <c r="B387" s="10">
        <v>44049</v>
      </c>
      <c r="C387" s="1">
        <v>44048</v>
      </c>
      <c r="D387" t="s">
        <v>4402</v>
      </c>
      <c r="E387" s="11">
        <v>0.375</v>
      </c>
      <c r="F387" s="11">
        <v>0.375</v>
      </c>
      <c r="G387">
        <v>73154</v>
      </c>
      <c r="H387" t="s">
        <v>4791</v>
      </c>
      <c r="I387">
        <v>3</v>
      </c>
      <c r="J387" t="s">
        <v>4404</v>
      </c>
      <c r="K387" t="s">
        <v>4405</v>
      </c>
      <c r="L387" t="s">
        <v>4406</v>
      </c>
      <c r="M387" t="s">
        <v>4407</v>
      </c>
      <c r="N387" t="s">
        <v>60</v>
      </c>
      <c r="O387" t="s">
        <v>34</v>
      </c>
      <c r="P387" s="3">
        <v>135110</v>
      </c>
      <c r="Q387" s="3">
        <v>135110</v>
      </c>
      <c r="R387">
        <v>0</v>
      </c>
      <c r="S387" s="3">
        <v>135110</v>
      </c>
      <c r="T387" t="s">
        <v>4408</v>
      </c>
      <c r="U387">
        <v>7932908</v>
      </c>
    </row>
    <row r="388" spans="1:21" x14ac:dyDescent="0.25">
      <c r="A388" s="9" t="s">
        <v>4401</v>
      </c>
      <c r="B388" s="10">
        <v>44049</v>
      </c>
      <c r="C388" s="1">
        <v>44048</v>
      </c>
      <c r="D388" t="s">
        <v>4402</v>
      </c>
      <c r="E388" s="11">
        <v>0.375</v>
      </c>
      <c r="F388" s="11">
        <v>0.375</v>
      </c>
      <c r="G388">
        <v>73157</v>
      </c>
      <c r="H388" t="s">
        <v>4792</v>
      </c>
      <c r="I388">
        <v>3</v>
      </c>
      <c r="J388" t="s">
        <v>4404</v>
      </c>
      <c r="K388" t="s">
        <v>4405</v>
      </c>
      <c r="L388" t="s">
        <v>4406</v>
      </c>
      <c r="M388" t="s">
        <v>4407</v>
      </c>
      <c r="N388" t="s">
        <v>60</v>
      </c>
      <c r="O388" t="s">
        <v>34</v>
      </c>
      <c r="P388" s="3">
        <v>21563</v>
      </c>
      <c r="Q388" s="3">
        <v>21563</v>
      </c>
      <c r="R388" s="3">
        <v>7436</v>
      </c>
      <c r="S388" s="3">
        <v>14127</v>
      </c>
      <c r="T388" t="s">
        <v>4408</v>
      </c>
      <c r="U388">
        <v>7932908</v>
      </c>
    </row>
    <row r="389" spans="1:21" x14ac:dyDescent="0.25">
      <c r="A389" s="9" t="s">
        <v>4401</v>
      </c>
      <c r="B389" s="10">
        <v>44049</v>
      </c>
      <c r="C389" s="1">
        <v>44048</v>
      </c>
      <c r="D389" t="s">
        <v>4402</v>
      </c>
      <c r="E389" s="11">
        <v>0.375</v>
      </c>
      <c r="F389" s="11">
        <v>0.375</v>
      </c>
      <c r="G389">
        <v>73159</v>
      </c>
      <c r="H389" t="s">
        <v>4793</v>
      </c>
      <c r="I389">
        <v>1</v>
      </c>
      <c r="J389" t="s">
        <v>4404</v>
      </c>
      <c r="K389" t="s">
        <v>4405</v>
      </c>
      <c r="L389" t="s">
        <v>4406</v>
      </c>
      <c r="M389" t="s">
        <v>4407</v>
      </c>
      <c r="N389" t="s">
        <v>60</v>
      </c>
      <c r="O389" t="s">
        <v>34</v>
      </c>
      <c r="P389" s="3">
        <v>10155</v>
      </c>
      <c r="Q389" s="3">
        <v>10155</v>
      </c>
      <c r="R389">
        <v>30</v>
      </c>
      <c r="S389" s="3">
        <v>10125</v>
      </c>
      <c r="T389" t="s">
        <v>4408</v>
      </c>
      <c r="U389">
        <v>7932908</v>
      </c>
    </row>
    <row r="390" spans="1:21" x14ac:dyDescent="0.25">
      <c r="A390" s="9" t="s">
        <v>4401</v>
      </c>
      <c r="B390" s="10">
        <v>44049</v>
      </c>
      <c r="C390" s="1">
        <v>44048</v>
      </c>
      <c r="D390" t="s">
        <v>4402</v>
      </c>
      <c r="E390" s="11">
        <v>0.375</v>
      </c>
      <c r="F390" s="11">
        <v>0.375</v>
      </c>
      <c r="G390">
        <v>73161</v>
      </c>
      <c r="H390" t="s">
        <v>4794</v>
      </c>
      <c r="I390">
        <v>2</v>
      </c>
      <c r="J390" t="s">
        <v>4404</v>
      </c>
      <c r="K390" t="s">
        <v>4405</v>
      </c>
      <c r="L390" t="s">
        <v>4406</v>
      </c>
      <c r="M390" t="s">
        <v>4407</v>
      </c>
      <c r="N390" t="s">
        <v>60</v>
      </c>
      <c r="O390" t="s">
        <v>34</v>
      </c>
      <c r="P390" s="3">
        <v>33658</v>
      </c>
      <c r="Q390" s="3">
        <v>33658</v>
      </c>
      <c r="R390">
        <v>37</v>
      </c>
      <c r="S390" s="3">
        <v>33621</v>
      </c>
      <c r="T390" t="s">
        <v>4408</v>
      </c>
      <c r="U390">
        <v>7932908</v>
      </c>
    </row>
    <row r="391" spans="1:21" x14ac:dyDescent="0.25">
      <c r="A391" s="9" t="s">
        <v>4401</v>
      </c>
      <c r="B391" s="10">
        <v>44049</v>
      </c>
      <c r="C391" s="1">
        <v>44048</v>
      </c>
      <c r="D391" t="s">
        <v>4402</v>
      </c>
      <c r="E391" s="11">
        <v>0.375</v>
      </c>
      <c r="F391" s="11">
        <v>0.375</v>
      </c>
      <c r="G391">
        <v>73164</v>
      </c>
      <c r="H391" t="s">
        <v>4795</v>
      </c>
      <c r="I391" t="s">
        <v>367</v>
      </c>
      <c r="J391" t="s">
        <v>4458</v>
      </c>
      <c r="K391" t="s">
        <v>4459</v>
      </c>
      <c r="L391" t="s">
        <v>4460</v>
      </c>
      <c r="M391" t="s">
        <v>4407</v>
      </c>
      <c r="N391" t="s">
        <v>60</v>
      </c>
      <c r="O391" t="s">
        <v>34</v>
      </c>
      <c r="P391" s="3">
        <v>110350</v>
      </c>
      <c r="Q391" s="3">
        <v>110350</v>
      </c>
      <c r="R391" s="3">
        <v>74318</v>
      </c>
      <c r="S391" s="3">
        <v>36032</v>
      </c>
      <c r="T391" t="s">
        <v>4408</v>
      </c>
      <c r="U391">
        <v>7932908</v>
      </c>
    </row>
    <row r="392" spans="1:21" x14ac:dyDescent="0.25">
      <c r="A392" s="9" t="s">
        <v>4401</v>
      </c>
      <c r="B392" s="10">
        <v>44049</v>
      </c>
      <c r="C392" s="1">
        <v>44048</v>
      </c>
      <c r="D392" t="s">
        <v>4402</v>
      </c>
      <c r="E392" s="11">
        <v>0.375</v>
      </c>
      <c r="F392" s="11">
        <v>0.375</v>
      </c>
      <c r="G392">
        <v>73165</v>
      </c>
      <c r="H392" t="s">
        <v>2132</v>
      </c>
      <c r="I392" t="s">
        <v>367</v>
      </c>
      <c r="J392" t="s">
        <v>4458</v>
      </c>
      <c r="K392" t="s">
        <v>4459</v>
      </c>
      <c r="L392" t="s">
        <v>4460</v>
      </c>
      <c r="M392" t="s">
        <v>4407</v>
      </c>
      <c r="N392" t="s">
        <v>60</v>
      </c>
      <c r="O392" t="s">
        <v>34</v>
      </c>
      <c r="P392" s="3">
        <v>8985</v>
      </c>
      <c r="Q392" s="3">
        <v>8985</v>
      </c>
      <c r="R392">
        <v>565</v>
      </c>
      <c r="S392" s="3">
        <v>8420</v>
      </c>
      <c r="T392" t="s">
        <v>4408</v>
      </c>
      <c r="U392">
        <v>7932908</v>
      </c>
    </row>
    <row r="393" spans="1:21" x14ac:dyDescent="0.25">
      <c r="A393" s="9" t="s">
        <v>4401</v>
      </c>
      <c r="B393" s="10">
        <v>44049</v>
      </c>
      <c r="C393" s="1">
        <v>44048</v>
      </c>
      <c r="D393" t="s">
        <v>4402</v>
      </c>
      <c r="E393" s="11">
        <v>0.375</v>
      </c>
      <c r="F393" s="11">
        <v>0.375</v>
      </c>
      <c r="G393">
        <v>73168</v>
      </c>
      <c r="H393" t="s">
        <v>4796</v>
      </c>
      <c r="I393" t="s">
        <v>187</v>
      </c>
      <c r="J393" t="s">
        <v>4404</v>
      </c>
      <c r="K393" t="s">
        <v>4405</v>
      </c>
      <c r="L393" t="s">
        <v>4406</v>
      </c>
      <c r="M393" t="s">
        <v>4407</v>
      </c>
      <c r="N393" t="s">
        <v>60</v>
      </c>
      <c r="O393" t="s">
        <v>34</v>
      </c>
      <c r="P393" s="3">
        <v>34749</v>
      </c>
      <c r="Q393" s="3">
        <v>34749</v>
      </c>
      <c r="R393">
        <v>700</v>
      </c>
      <c r="S393" s="3">
        <v>34049</v>
      </c>
      <c r="T393" t="s">
        <v>4408</v>
      </c>
      <c r="U393">
        <v>7932908</v>
      </c>
    </row>
    <row r="394" spans="1:21" x14ac:dyDescent="0.25">
      <c r="A394" s="9" t="s">
        <v>4401</v>
      </c>
      <c r="B394" s="10">
        <v>44049</v>
      </c>
      <c r="C394" s="1">
        <v>44048</v>
      </c>
      <c r="D394" t="s">
        <v>4402</v>
      </c>
      <c r="E394" s="11">
        <v>0.375</v>
      </c>
      <c r="F394" s="11">
        <v>0.375</v>
      </c>
      <c r="G394">
        <v>73170</v>
      </c>
      <c r="H394" t="s">
        <v>4797</v>
      </c>
      <c r="I394">
        <v>2</v>
      </c>
      <c r="J394" t="s">
        <v>4404</v>
      </c>
      <c r="K394" t="s">
        <v>4405</v>
      </c>
      <c r="L394" t="s">
        <v>4406</v>
      </c>
      <c r="M394" t="s">
        <v>4407</v>
      </c>
      <c r="N394" t="s">
        <v>60</v>
      </c>
      <c r="O394" t="s">
        <v>34</v>
      </c>
      <c r="P394" s="3">
        <v>173124</v>
      </c>
      <c r="Q394" s="3">
        <v>173124</v>
      </c>
      <c r="R394" s="3">
        <v>37258</v>
      </c>
      <c r="S394" s="3">
        <v>135866</v>
      </c>
      <c r="T394" t="s">
        <v>4408</v>
      </c>
      <c r="U394">
        <v>7932908</v>
      </c>
    </row>
    <row r="395" spans="1:21" x14ac:dyDescent="0.25">
      <c r="A395" s="9" t="s">
        <v>4401</v>
      </c>
      <c r="B395" s="10">
        <v>44049</v>
      </c>
      <c r="C395" s="1">
        <v>44048</v>
      </c>
      <c r="D395" t="s">
        <v>4402</v>
      </c>
      <c r="E395" s="11">
        <v>0.375</v>
      </c>
      <c r="F395" s="11">
        <v>0.375</v>
      </c>
      <c r="G395">
        <v>73171</v>
      </c>
      <c r="H395" t="s">
        <v>4798</v>
      </c>
      <c r="I395">
        <v>1</v>
      </c>
      <c r="J395" t="s">
        <v>4404</v>
      </c>
      <c r="K395" t="s">
        <v>4405</v>
      </c>
      <c r="L395" t="s">
        <v>4406</v>
      </c>
      <c r="M395" t="s">
        <v>4407</v>
      </c>
      <c r="N395" t="s">
        <v>60</v>
      </c>
      <c r="O395" t="s">
        <v>34</v>
      </c>
      <c r="P395" s="3">
        <v>13403</v>
      </c>
      <c r="Q395" s="3">
        <v>13403</v>
      </c>
      <c r="R395">
        <v>3</v>
      </c>
      <c r="S395" s="3">
        <v>13400</v>
      </c>
      <c r="T395" t="s">
        <v>4408</v>
      </c>
      <c r="U395">
        <v>7932908</v>
      </c>
    </row>
    <row r="396" spans="1:21" x14ac:dyDescent="0.25">
      <c r="A396" s="9" t="s">
        <v>4401</v>
      </c>
      <c r="B396" s="10">
        <v>44049</v>
      </c>
      <c r="C396" s="1">
        <v>44048</v>
      </c>
      <c r="D396" t="s">
        <v>4402</v>
      </c>
      <c r="E396" s="11">
        <v>0.375</v>
      </c>
      <c r="F396" s="11">
        <v>0.375</v>
      </c>
      <c r="G396">
        <v>73180</v>
      </c>
      <c r="H396" t="s">
        <v>4799</v>
      </c>
      <c r="I396" t="s">
        <v>367</v>
      </c>
      <c r="J396" t="s">
        <v>4458</v>
      </c>
      <c r="K396" t="s">
        <v>4459</v>
      </c>
      <c r="L396" t="s">
        <v>4460</v>
      </c>
      <c r="M396" t="s">
        <v>4407</v>
      </c>
      <c r="N396" t="s">
        <v>60</v>
      </c>
      <c r="O396" t="s">
        <v>34</v>
      </c>
      <c r="P396" s="3">
        <v>10769</v>
      </c>
      <c r="Q396" s="3">
        <v>10769</v>
      </c>
      <c r="R396">
        <v>1</v>
      </c>
      <c r="S396" s="3">
        <v>10768</v>
      </c>
      <c r="T396" t="s">
        <v>4408</v>
      </c>
      <c r="U396">
        <v>7932908</v>
      </c>
    </row>
    <row r="397" spans="1:21" x14ac:dyDescent="0.25">
      <c r="A397" s="9" t="s">
        <v>4401</v>
      </c>
      <c r="B397" s="10">
        <v>44049</v>
      </c>
      <c r="C397" s="1">
        <v>44048</v>
      </c>
      <c r="D397" t="s">
        <v>4402</v>
      </c>
      <c r="E397" s="11">
        <v>0.375</v>
      </c>
      <c r="F397" s="11">
        <v>0.375</v>
      </c>
      <c r="G397">
        <v>73186</v>
      </c>
      <c r="H397" t="s">
        <v>4800</v>
      </c>
      <c r="I397" t="s">
        <v>367</v>
      </c>
      <c r="J397" t="s">
        <v>4458</v>
      </c>
      <c r="K397" t="s">
        <v>4459</v>
      </c>
      <c r="L397" t="s">
        <v>4460</v>
      </c>
      <c r="M397" t="s">
        <v>4407</v>
      </c>
      <c r="N397" t="s">
        <v>60</v>
      </c>
      <c r="O397" t="s">
        <v>34</v>
      </c>
      <c r="P397" s="3">
        <v>68021</v>
      </c>
      <c r="Q397" s="3">
        <v>68021</v>
      </c>
      <c r="R397">
        <v>0</v>
      </c>
      <c r="S397" s="3">
        <v>68021</v>
      </c>
      <c r="T397" t="s">
        <v>4408</v>
      </c>
      <c r="U397">
        <v>7932908</v>
      </c>
    </row>
    <row r="398" spans="1:21" x14ac:dyDescent="0.25">
      <c r="A398" s="9" t="s">
        <v>4401</v>
      </c>
      <c r="B398" s="10">
        <v>44049</v>
      </c>
      <c r="C398" s="1">
        <v>44048</v>
      </c>
      <c r="D398" t="s">
        <v>4402</v>
      </c>
      <c r="E398" s="11">
        <v>0.375</v>
      </c>
      <c r="F398" s="11">
        <v>0.375</v>
      </c>
      <c r="G398">
        <v>73187</v>
      </c>
      <c r="H398" t="s">
        <v>4801</v>
      </c>
      <c r="I398">
        <v>3</v>
      </c>
      <c r="J398" t="s">
        <v>4404</v>
      </c>
      <c r="K398" t="s">
        <v>4405</v>
      </c>
      <c r="L398" t="s">
        <v>4406</v>
      </c>
      <c r="M398" t="s">
        <v>4407</v>
      </c>
      <c r="N398" t="s">
        <v>60</v>
      </c>
      <c r="O398" t="s">
        <v>34</v>
      </c>
      <c r="P398" s="3">
        <v>66922</v>
      </c>
      <c r="Q398" s="3">
        <v>66922</v>
      </c>
      <c r="R398">
        <v>0</v>
      </c>
      <c r="S398" s="3">
        <v>66922</v>
      </c>
      <c r="T398" t="s">
        <v>4408</v>
      </c>
      <c r="U398">
        <v>7932908</v>
      </c>
    </row>
    <row r="399" spans="1:21" x14ac:dyDescent="0.25">
      <c r="A399" s="9" t="s">
        <v>4401</v>
      </c>
      <c r="B399" s="10">
        <v>44049</v>
      </c>
      <c r="C399" s="1">
        <v>44048</v>
      </c>
      <c r="D399" t="s">
        <v>4402</v>
      </c>
      <c r="E399" s="11">
        <v>0.375</v>
      </c>
      <c r="F399" s="11">
        <v>0.375</v>
      </c>
      <c r="G399">
        <v>73191</v>
      </c>
      <c r="H399" t="s">
        <v>4802</v>
      </c>
      <c r="I399">
        <v>1</v>
      </c>
      <c r="J399" t="s">
        <v>4404</v>
      </c>
      <c r="K399" t="s">
        <v>4405</v>
      </c>
      <c r="L399" t="s">
        <v>4406</v>
      </c>
      <c r="M399" t="s">
        <v>4407</v>
      </c>
      <c r="N399" t="s">
        <v>60</v>
      </c>
      <c r="O399" t="s">
        <v>34</v>
      </c>
      <c r="P399" s="3">
        <v>99081</v>
      </c>
      <c r="Q399" s="3">
        <v>99081</v>
      </c>
      <c r="R399" s="3">
        <v>17300</v>
      </c>
      <c r="S399" s="3">
        <v>81781</v>
      </c>
      <c r="T399" t="s">
        <v>4408</v>
      </c>
      <c r="U399">
        <v>7932908</v>
      </c>
    </row>
    <row r="400" spans="1:21" x14ac:dyDescent="0.25">
      <c r="A400" s="9" t="s">
        <v>4401</v>
      </c>
      <c r="B400" s="10">
        <v>44049</v>
      </c>
      <c r="C400" s="1">
        <v>44048</v>
      </c>
      <c r="D400" t="s">
        <v>4402</v>
      </c>
      <c r="E400" s="11">
        <v>0.375</v>
      </c>
      <c r="F400" s="11">
        <v>0.375</v>
      </c>
      <c r="G400">
        <v>73193</v>
      </c>
      <c r="H400" t="s">
        <v>4803</v>
      </c>
      <c r="I400">
        <v>1</v>
      </c>
      <c r="J400" t="s">
        <v>4404</v>
      </c>
      <c r="K400" t="s">
        <v>4405</v>
      </c>
      <c r="L400" t="s">
        <v>4406</v>
      </c>
      <c r="M400" t="s">
        <v>4407</v>
      </c>
      <c r="N400" t="s">
        <v>60</v>
      </c>
      <c r="O400" t="s">
        <v>34</v>
      </c>
      <c r="P400" s="3">
        <v>9894</v>
      </c>
      <c r="Q400" s="3">
        <v>10705</v>
      </c>
      <c r="R400" s="3">
        <v>3087</v>
      </c>
      <c r="S400" s="3">
        <v>7618</v>
      </c>
      <c r="T400" t="s">
        <v>4408</v>
      </c>
      <c r="U400">
        <v>7932908</v>
      </c>
    </row>
    <row r="401" spans="1:21" x14ac:dyDescent="0.25">
      <c r="A401" s="9" t="s">
        <v>4401</v>
      </c>
      <c r="B401" s="10">
        <v>44049</v>
      </c>
      <c r="C401" s="1">
        <v>44048</v>
      </c>
      <c r="D401" t="s">
        <v>4402</v>
      </c>
      <c r="E401" s="11">
        <v>0.375</v>
      </c>
      <c r="F401" s="11">
        <v>0.375</v>
      </c>
      <c r="G401">
        <v>73195</v>
      </c>
      <c r="H401" t="s">
        <v>4804</v>
      </c>
      <c r="I401">
        <v>2</v>
      </c>
      <c r="J401" t="s">
        <v>4458</v>
      </c>
      <c r="K401" t="s">
        <v>4459</v>
      </c>
      <c r="L401" t="s">
        <v>4460</v>
      </c>
      <c r="M401" t="s">
        <v>4407</v>
      </c>
      <c r="N401" t="s">
        <v>60</v>
      </c>
      <c r="O401" t="s">
        <v>34</v>
      </c>
      <c r="P401" s="3">
        <v>214278</v>
      </c>
      <c r="Q401" s="3">
        <v>214278</v>
      </c>
      <c r="R401" s="3">
        <v>16245</v>
      </c>
      <c r="S401" s="3">
        <v>198033</v>
      </c>
      <c r="T401" t="s">
        <v>4408</v>
      </c>
      <c r="U401">
        <v>7932908</v>
      </c>
    </row>
    <row r="402" spans="1:21" x14ac:dyDescent="0.25">
      <c r="A402" s="9" t="s">
        <v>4401</v>
      </c>
      <c r="B402" s="10">
        <v>44049</v>
      </c>
      <c r="C402" s="1">
        <v>44048</v>
      </c>
      <c r="D402" t="s">
        <v>4402</v>
      </c>
      <c r="E402" s="11">
        <v>0.375</v>
      </c>
      <c r="F402" s="11">
        <v>0.375</v>
      </c>
      <c r="G402">
        <v>73196</v>
      </c>
      <c r="H402" t="s">
        <v>4805</v>
      </c>
      <c r="I402">
        <v>2</v>
      </c>
      <c r="J402" t="s">
        <v>4404</v>
      </c>
      <c r="K402" t="s">
        <v>4405</v>
      </c>
      <c r="L402" t="s">
        <v>4406</v>
      </c>
      <c r="M402" t="s">
        <v>4407</v>
      </c>
      <c r="N402" t="s">
        <v>60</v>
      </c>
      <c r="O402" t="s">
        <v>34</v>
      </c>
      <c r="P402" s="3">
        <v>4310</v>
      </c>
      <c r="Q402" s="3">
        <v>4310</v>
      </c>
      <c r="R402">
        <v>5</v>
      </c>
      <c r="S402" s="3">
        <v>4305</v>
      </c>
      <c r="T402" t="s">
        <v>4408</v>
      </c>
      <c r="U402">
        <v>7932908</v>
      </c>
    </row>
    <row r="403" spans="1:21" x14ac:dyDescent="0.25">
      <c r="A403" s="9" t="s">
        <v>4401</v>
      </c>
      <c r="B403" s="10">
        <v>44049</v>
      </c>
      <c r="C403" s="1">
        <v>44048</v>
      </c>
      <c r="D403" t="s">
        <v>4402</v>
      </c>
      <c r="E403" s="11">
        <v>0.375</v>
      </c>
      <c r="F403" s="11">
        <v>0.375</v>
      </c>
      <c r="G403">
        <v>73198</v>
      </c>
      <c r="H403" t="s">
        <v>4806</v>
      </c>
      <c r="I403">
        <v>2</v>
      </c>
      <c r="J403" t="s">
        <v>4458</v>
      </c>
      <c r="K403" t="s">
        <v>4459</v>
      </c>
      <c r="L403" t="s">
        <v>4460</v>
      </c>
      <c r="M403" t="s">
        <v>4407</v>
      </c>
      <c r="N403" t="s">
        <v>60</v>
      </c>
      <c r="O403" t="s">
        <v>34</v>
      </c>
      <c r="P403" s="3">
        <v>273666</v>
      </c>
      <c r="Q403" s="3">
        <v>273666</v>
      </c>
      <c r="R403" s="3">
        <v>50807</v>
      </c>
      <c r="S403" s="3">
        <v>222859</v>
      </c>
      <c r="T403" t="s">
        <v>4408</v>
      </c>
      <c r="U403">
        <v>7932908</v>
      </c>
    </row>
    <row r="404" spans="1:21" x14ac:dyDescent="0.25">
      <c r="A404" s="9" t="s">
        <v>4401</v>
      </c>
      <c r="B404" s="10">
        <v>44049</v>
      </c>
      <c r="C404" s="1">
        <v>44048</v>
      </c>
      <c r="D404" t="s">
        <v>4402</v>
      </c>
      <c r="E404" s="11">
        <v>0.375</v>
      </c>
      <c r="F404" s="11">
        <v>0.375</v>
      </c>
      <c r="G404">
        <v>73199</v>
      </c>
      <c r="H404" t="s">
        <v>4807</v>
      </c>
      <c r="I404" t="s">
        <v>367</v>
      </c>
      <c r="J404" t="s">
        <v>4458</v>
      </c>
      <c r="K404" t="s">
        <v>4459</v>
      </c>
      <c r="L404" t="s">
        <v>4460</v>
      </c>
      <c r="M404" t="s">
        <v>4407</v>
      </c>
      <c r="N404" t="s">
        <v>60</v>
      </c>
      <c r="O404" t="s">
        <v>34</v>
      </c>
      <c r="P404" s="3">
        <v>3763</v>
      </c>
      <c r="Q404" s="3">
        <v>3763</v>
      </c>
      <c r="R404">
        <v>1</v>
      </c>
      <c r="S404" s="3">
        <v>3762</v>
      </c>
      <c r="T404" t="s">
        <v>4408</v>
      </c>
      <c r="U404">
        <v>7932908</v>
      </c>
    </row>
    <row r="405" spans="1:21" x14ac:dyDescent="0.25">
      <c r="A405" s="9" t="s">
        <v>4401</v>
      </c>
      <c r="B405" s="10">
        <v>44049</v>
      </c>
      <c r="C405" s="1">
        <v>44048</v>
      </c>
      <c r="D405" t="s">
        <v>4402</v>
      </c>
      <c r="E405" s="11">
        <v>0.375</v>
      </c>
      <c r="F405" s="11">
        <v>0.375</v>
      </c>
      <c r="G405">
        <v>73200</v>
      </c>
      <c r="H405" t="s">
        <v>4808</v>
      </c>
      <c r="I405">
        <v>3</v>
      </c>
      <c r="J405" t="s">
        <v>4404</v>
      </c>
      <c r="K405" t="s">
        <v>4405</v>
      </c>
      <c r="L405" t="s">
        <v>4406</v>
      </c>
      <c r="M405" t="s">
        <v>4407</v>
      </c>
      <c r="N405" t="s">
        <v>60</v>
      </c>
      <c r="O405" t="s">
        <v>34</v>
      </c>
      <c r="P405" s="3">
        <v>8272</v>
      </c>
      <c r="Q405" s="3">
        <v>8272</v>
      </c>
      <c r="R405" s="3">
        <v>2550</v>
      </c>
      <c r="S405" s="3">
        <v>5722</v>
      </c>
      <c r="T405" t="s">
        <v>4408</v>
      </c>
      <c r="U405">
        <v>7932908</v>
      </c>
    </row>
    <row r="406" spans="1:21" x14ac:dyDescent="0.25">
      <c r="A406" s="9" t="s">
        <v>4401</v>
      </c>
      <c r="B406" s="10">
        <v>44049</v>
      </c>
      <c r="C406" s="1">
        <v>44048</v>
      </c>
      <c r="D406" t="s">
        <v>4402</v>
      </c>
      <c r="E406" s="11">
        <v>0.375</v>
      </c>
      <c r="F406" s="11">
        <v>0.375</v>
      </c>
      <c r="G406">
        <v>73205</v>
      </c>
      <c r="H406" t="s">
        <v>4809</v>
      </c>
      <c r="I406">
        <v>1</v>
      </c>
      <c r="J406" t="s">
        <v>4404</v>
      </c>
      <c r="K406" t="s">
        <v>4405</v>
      </c>
      <c r="L406" t="s">
        <v>4406</v>
      </c>
      <c r="M406" t="s">
        <v>4407</v>
      </c>
      <c r="N406" t="s">
        <v>60</v>
      </c>
      <c r="O406" t="s">
        <v>34</v>
      </c>
      <c r="P406" s="3">
        <v>108100</v>
      </c>
      <c r="Q406" s="3">
        <v>108100</v>
      </c>
      <c r="R406" s="3">
        <v>5927</v>
      </c>
      <c r="S406" s="3">
        <v>102173</v>
      </c>
      <c r="T406" t="s">
        <v>4408</v>
      </c>
      <c r="U406">
        <v>7932908</v>
      </c>
    </row>
    <row r="407" spans="1:21" x14ac:dyDescent="0.25">
      <c r="A407" s="9" t="s">
        <v>4401</v>
      </c>
      <c r="B407" s="10">
        <v>44049</v>
      </c>
      <c r="C407" s="1">
        <v>44048</v>
      </c>
      <c r="D407" t="s">
        <v>4402</v>
      </c>
      <c r="E407" s="11">
        <v>0.375</v>
      </c>
      <c r="F407" s="11">
        <v>0.375</v>
      </c>
      <c r="G407">
        <v>73207</v>
      </c>
      <c r="H407" t="s">
        <v>4810</v>
      </c>
      <c r="I407">
        <v>1</v>
      </c>
      <c r="J407" t="s">
        <v>4404</v>
      </c>
      <c r="K407" t="s">
        <v>4405</v>
      </c>
      <c r="L407" t="s">
        <v>4406</v>
      </c>
      <c r="M407" t="s">
        <v>4407</v>
      </c>
      <c r="N407" t="s">
        <v>60</v>
      </c>
      <c r="O407" t="s">
        <v>34</v>
      </c>
      <c r="P407" s="3">
        <v>84739</v>
      </c>
      <c r="Q407" s="3">
        <v>84739</v>
      </c>
      <c r="R407">
        <v>0</v>
      </c>
      <c r="S407" s="3">
        <v>84739</v>
      </c>
      <c r="T407" t="s">
        <v>4408</v>
      </c>
      <c r="U407">
        <v>7932908</v>
      </c>
    </row>
    <row r="408" spans="1:21" x14ac:dyDescent="0.25">
      <c r="A408" s="9" t="s">
        <v>4401</v>
      </c>
      <c r="B408" s="10">
        <v>44049</v>
      </c>
      <c r="C408" s="1">
        <v>44048</v>
      </c>
      <c r="D408" t="s">
        <v>4402</v>
      </c>
      <c r="E408" s="11">
        <v>0.375</v>
      </c>
      <c r="F408" s="11">
        <v>0.375</v>
      </c>
      <c r="G408">
        <v>73209</v>
      </c>
      <c r="H408" t="s">
        <v>4811</v>
      </c>
      <c r="I408" t="s">
        <v>187</v>
      </c>
      <c r="J408" t="s">
        <v>4458</v>
      </c>
      <c r="K408" t="s">
        <v>4459</v>
      </c>
      <c r="L408" t="s">
        <v>4460</v>
      </c>
      <c r="M408" t="s">
        <v>4407</v>
      </c>
      <c r="N408" t="s">
        <v>60</v>
      </c>
      <c r="O408" t="s">
        <v>34</v>
      </c>
      <c r="P408" s="3">
        <v>16740</v>
      </c>
      <c r="Q408" s="3">
        <v>16740</v>
      </c>
      <c r="R408">
        <v>50</v>
      </c>
      <c r="S408" s="3">
        <v>16690</v>
      </c>
      <c r="T408" t="s">
        <v>4408</v>
      </c>
      <c r="U408">
        <v>7932908</v>
      </c>
    </row>
    <row r="409" spans="1:21" x14ac:dyDescent="0.25">
      <c r="A409" s="9" t="s">
        <v>4401</v>
      </c>
      <c r="B409" s="10">
        <v>44049</v>
      </c>
      <c r="C409" s="1">
        <v>44048</v>
      </c>
      <c r="D409" t="s">
        <v>4402</v>
      </c>
      <c r="E409" s="11">
        <v>0.375</v>
      </c>
      <c r="F409" s="11">
        <v>0.375</v>
      </c>
      <c r="G409">
        <v>73210</v>
      </c>
      <c r="H409" t="s">
        <v>4812</v>
      </c>
      <c r="I409">
        <v>2</v>
      </c>
      <c r="J409" t="s">
        <v>4458</v>
      </c>
      <c r="K409" t="s">
        <v>4459</v>
      </c>
      <c r="L409" t="s">
        <v>4460</v>
      </c>
      <c r="M409" t="s">
        <v>4407</v>
      </c>
      <c r="N409" t="s">
        <v>60</v>
      </c>
      <c r="O409" t="s">
        <v>34</v>
      </c>
      <c r="P409" s="3">
        <v>4046</v>
      </c>
      <c r="Q409" s="3">
        <v>4046</v>
      </c>
      <c r="R409">
        <v>65</v>
      </c>
      <c r="S409" s="3">
        <v>3981</v>
      </c>
      <c r="T409" t="s">
        <v>4408</v>
      </c>
      <c r="U409">
        <v>7932908</v>
      </c>
    </row>
    <row r="410" spans="1:21" x14ac:dyDescent="0.25">
      <c r="A410" s="9" t="s">
        <v>4401</v>
      </c>
      <c r="B410" s="10">
        <v>44049</v>
      </c>
      <c r="C410" s="1">
        <v>44048</v>
      </c>
      <c r="D410" t="s">
        <v>4402</v>
      </c>
      <c r="E410" s="11">
        <v>0.375</v>
      </c>
      <c r="F410" s="11">
        <v>0.375</v>
      </c>
      <c r="G410">
        <v>73211</v>
      </c>
      <c r="H410" t="s">
        <v>2205</v>
      </c>
      <c r="I410">
        <v>1</v>
      </c>
      <c r="J410" t="s">
        <v>4404</v>
      </c>
      <c r="K410" t="s">
        <v>4405</v>
      </c>
      <c r="L410" t="s">
        <v>4406</v>
      </c>
      <c r="M410" t="s">
        <v>4407</v>
      </c>
      <c r="N410" t="s">
        <v>60</v>
      </c>
      <c r="O410" t="s">
        <v>34</v>
      </c>
      <c r="P410" s="3">
        <v>280338</v>
      </c>
      <c r="Q410" s="3">
        <v>280338</v>
      </c>
      <c r="R410" s="3">
        <v>83098</v>
      </c>
      <c r="S410" s="3">
        <v>197240</v>
      </c>
      <c r="T410" t="s">
        <v>4408</v>
      </c>
      <c r="U410">
        <v>7932908</v>
      </c>
    </row>
    <row r="411" spans="1:21" x14ac:dyDescent="0.25">
      <c r="A411" s="9" t="s">
        <v>4401</v>
      </c>
      <c r="B411" s="10">
        <v>44049</v>
      </c>
      <c r="C411" s="1">
        <v>44048</v>
      </c>
      <c r="D411" t="s">
        <v>4402</v>
      </c>
      <c r="E411" s="11">
        <v>0.375</v>
      </c>
      <c r="F411" s="11">
        <v>0.375</v>
      </c>
      <c r="G411">
        <v>73212</v>
      </c>
      <c r="H411" t="s">
        <v>4813</v>
      </c>
      <c r="I411">
        <v>3</v>
      </c>
      <c r="J411" t="s">
        <v>4404</v>
      </c>
      <c r="K411" t="s">
        <v>4405</v>
      </c>
      <c r="L411" t="s">
        <v>4406</v>
      </c>
      <c r="M411" t="s">
        <v>4407</v>
      </c>
      <c r="N411" t="s">
        <v>60</v>
      </c>
      <c r="O411" t="s">
        <v>34</v>
      </c>
      <c r="P411" s="3">
        <v>72489</v>
      </c>
      <c r="Q411" s="3">
        <v>72489</v>
      </c>
      <c r="R411">
        <v>0</v>
      </c>
      <c r="S411" s="3">
        <v>72489</v>
      </c>
      <c r="T411" t="s">
        <v>4408</v>
      </c>
      <c r="U411">
        <v>7932908</v>
      </c>
    </row>
    <row r="412" spans="1:21" x14ac:dyDescent="0.25">
      <c r="A412" s="9" t="s">
        <v>4401</v>
      </c>
      <c r="B412" s="10">
        <v>44049</v>
      </c>
      <c r="C412" s="1">
        <v>44048</v>
      </c>
      <c r="D412" t="s">
        <v>4402</v>
      </c>
      <c r="E412" s="11">
        <v>0.375</v>
      </c>
      <c r="F412" s="11">
        <v>0.375</v>
      </c>
      <c r="G412">
        <v>73214</v>
      </c>
      <c r="H412" t="s">
        <v>4814</v>
      </c>
      <c r="I412" t="s">
        <v>367</v>
      </c>
      <c r="J412" t="s">
        <v>4458</v>
      </c>
      <c r="K412" t="s">
        <v>4459</v>
      </c>
      <c r="L412" t="s">
        <v>4460</v>
      </c>
      <c r="M412" t="s">
        <v>4407</v>
      </c>
      <c r="N412" t="s">
        <v>60</v>
      </c>
      <c r="O412" t="s">
        <v>34</v>
      </c>
      <c r="P412" s="3">
        <v>48561</v>
      </c>
      <c r="Q412" s="3">
        <v>48561</v>
      </c>
      <c r="R412" s="3">
        <v>38077</v>
      </c>
      <c r="S412" s="3">
        <v>10484</v>
      </c>
      <c r="T412" t="s">
        <v>4408</v>
      </c>
      <c r="U412">
        <v>7932908</v>
      </c>
    </row>
    <row r="413" spans="1:21" x14ac:dyDescent="0.25">
      <c r="A413" s="9" t="s">
        <v>4401</v>
      </c>
      <c r="B413" s="10">
        <v>44049</v>
      </c>
      <c r="C413" s="1">
        <v>44048</v>
      </c>
      <c r="D413" t="s">
        <v>4402</v>
      </c>
      <c r="E413" s="11">
        <v>0.375</v>
      </c>
      <c r="F413" s="11">
        <v>0.375</v>
      </c>
      <c r="G413">
        <v>73216</v>
      </c>
      <c r="H413" t="s">
        <v>4815</v>
      </c>
      <c r="I413">
        <v>1</v>
      </c>
      <c r="J413" t="s">
        <v>4404</v>
      </c>
      <c r="K413" t="s">
        <v>4405</v>
      </c>
      <c r="L413" t="s">
        <v>4406</v>
      </c>
      <c r="M413" t="s">
        <v>4407</v>
      </c>
      <c r="N413" t="s">
        <v>60</v>
      </c>
      <c r="O413" t="s">
        <v>34</v>
      </c>
      <c r="P413" s="3">
        <v>10778</v>
      </c>
      <c r="Q413" s="3">
        <v>10778</v>
      </c>
      <c r="R413">
        <v>6</v>
      </c>
      <c r="S413" s="3">
        <v>10772</v>
      </c>
      <c r="T413" t="s">
        <v>4408</v>
      </c>
      <c r="U413">
        <v>7932908</v>
      </c>
    </row>
    <row r="414" spans="1:21" x14ac:dyDescent="0.25">
      <c r="A414" s="9" t="s">
        <v>4401</v>
      </c>
      <c r="B414" s="10">
        <v>44049</v>
      </c>
      <c r="C414" s="1">
        <v>44048</v>
      </c>
      <c r="D414" t="s">
        <v>4402</v>
      </c>
      <c r="E414" s="11">
        <v>0.375</v>
      </c>
      <c r="F414" s="11">
        <v>0.375</v>
      </c>
      <c r="G414">
        <v>73219</v>
      </c>
      <c r="H414" t="s">
        <v>4816</v>
      </c>
      <c r="I414">
        <v>1</v>
      </c>
      <c r="J414" t="s">
        <v>4458</v>
      </c>
      <c r="K414" t="s">
        <v>4459</v>
      </c>
      <c r="L414" t="s">
        <v>4460</v>
      </c>
      <c r="M414" t="s">
        <v>4407</v>
      </c>
      <c r="N414" t="s">
        <v>60</v>
      </c>
      <c r="O414" t="s">
        <v>34</v>
      </c>
      <c r="P414" s="3">
        <v>4448</v>
      </c>
      <c r="Q414" s="3">
        <v>4448</v>
      </c>
      <c r="R414">
        <v>0</v>
      </c>
      <c r="S414" s="3">
        <v>4448</v>
      </c>
      <c r="T414" t="s">
        <v>4408</v>
      </c>
      <c r="U414">
        <v>7932908</v>
      </c>
    </row>
    <row r="415" spans="1:21" x14ac:dyDescent="0.25">
      <c r="A415" s="9" t="s">
        <v>4401</v>
      </c>
      <c r="B415" s="10">
        <v>44049</v>
      </c>
      <c r="C415" s="1">
        <v>44048</v>
      </c>
      <c r="D415" t="s">
        <v>4402</v>
      </c>
      <c r="E415" s="11">
        <v>0.375</v>
      </c>
      <c r="F415" s="11">
        <v>0.375</v>
      </c>
      <c r="G415">
        <v>73223</v>
      </c>
      <c r="H415" t="s">
        <v>4817</v>
      </c>
      <c r="I415" t="s">
        <v>367</v>
      </c>
      <c r="J415" t="s">
        <v>4404</v>
      </c>
      <c r="K415" t="s">
        <v>4405</v>
      </c>
      <c r="L415" t="s">
        <v>4406</v>
      </c>
      <c r="M415" t="s">
        <v>4407</v>
      </c>
      <c r="N415" t="s">
        <v>60</v>
      </c>
      <c r="O415" t="s">
        <v>34</v>
      </c>
      <c r="P415" s="3">
        <v>140169</v>
      </c>
      <c r="Q415" s="3">
        <v>140169</v>
      </c>
      <c r="R415">
        <v>0</v>
      </c>
      <c r="S415" s="3">
        <v>140169</v>
      </c>
      <c r="T415" t="s">
        <v>4408</v>
      </c>
      <c r="U415">
        <v>7932908</v>
      </c>
    </row>
    <row r="416" spans="1:21" x14ac:dyDescent="0.25">
      <c r="A416" s="9" t="s">
        <v>4401</v>
      </c>
      <c r="B416" s="10">
        <v>44049</v>
      </c>
      <c r="C416" s="1">
        <v>44048</v>
      </c>
      <c r="D416" t="s">
        <v>4402</v>
      </c>
      <c r="E416" s="11">
        <v>0.375</v>
      </c>
      <c r="F416" s="11">
        <v>0.375</v>
      </c>
      <c r="G416">
        <v>73225</v>
      </c>
      <c r="H416" t="s">
        <v>4818</v>
      </c>
      <c r="I416">
        <v>2</v>
      </c>
      <c r="J416" t="s">
        <v>4404</v>
      </c>
      <c r="K416" t="s">
        <v>4405</v>
      </c>
      <c r="L416" t="s">
        <v>4406</v>
      </c>
      <c r="M416" t="s">
        <v>4407</v>
      </c>
      <c r="N416" t="s">
        <v>60</v>
      </c>
      <c r="O416" t="s">
        <v>34</v>
      </c>
      <c r="P416" s="3">
        <v>25974</v>
      </c>
      <c r="Q416" s="3">
        <v>25974</v>
      </c>
      <c r="R416">
        <v>0</v>
      </c>
      <c r="S416" s="3">
        <v>25974</v>
      </c>
      <c r="T416" t="s">
        <v>4408</v>
      </c>
      <c r="U416">
        <v>7932908</v>
      </c>
    </row>
    <row r="417" spans="1:21" x14ac:dyDescent="0.25">
      <c r="A417" s="9" t="s">
        <v>4401</v>
      </c>
      <c r="B417" s="10">
        <v>44049</v>
      </c>
      <c r="C417" s="1">
        <v>44048</v>
      </c>
      <c r="D417" t="s">
        <v>4402</v>
      </c>
      <c r="E417" s="11">
        <v>0.375</v>
      </c>
      <c r="F417" s="11">
        <v>0.375</v>
      </c>
      <c r="G417">
        <v>73226</v>
      </c>
      <c r="H417" t="s">
        <v>4819</v>
      </c>
      <c r="I417">
        <v>1</v>
      </c>
      <c r="J417" t="s">
        <v>4404</v>
      </c>
      <c r="K417" t="s">
        <v>4405</v>
      </c>
      <c r="L417" t="s">
        <v>4406</v>
      </c>
      <c r="M417" t="s">
        <v>4407</v>
      </c>
      <c r="N417" t="s">
        <v>60</v>
      </c>
      <c r="O417" t="s">
        <v>34</v>
      </c>
      <c r="P417" s="3">
        <v>147446</v>
      </c>
      <c r="Q417" s="3">
        <v>147446</v>
      </c>
      <c r="R417">
        <v>0</v>
      </c>
      <c r="S417" s="3">
        <v>147446</v>
      </c>
      <c r="T417" t="s">
        <v>4408</v>
      </c>
      <c r="U417">
        <v>7932908</v>
      </c>
    </row>
    <row r="418" spans="1:21" x14ac:dyDescent="0.25">
      <c r="A418" s="9" t="s">
        <v>4401</v>
      </c>
      <c r="B418" s="10">
        <v>44049</v>
      </c>
      <c r="C418" s="1">
        <v>44048</v>
      </c>
      <c r="D418" t="s">
        <v>4402</v>
      </c>
      <c r="E418" s="11">
        <v>0.375</v>
      </c>
      <c r="F418" s="11">
        <v>0.375</v>
      </c>
      <c r="G418">
        <v>73232</v>
      </c>
      <c r="H418" t="s">
        <v>4820</v>
      </c>
      <c r="I418" t="s">
        <v>367</v>
      </c>
      <c r="J418" t="s">
        <v>4458</v>
      </c>
      <c r="K418" t="s">
        <v>4459</v>
      </c>
      <c r="L418" t="s">
        <v>4460</v>
      </c>
      <c r="M418" t="s">
        <v>4407</v>
      </c>
      <c r="N418" t="s">
        <v>60</v>
      </c>
      <c r="O418" t="s">
        <v>34</v>
      </c>
      <c r="P418" s="3">
        <v>64259</v>
      </c>
      <c r="Q418" s="3">
        <v>64259</v>
      </c>
      <c r="R418">
        <v>0</v>
      </c>
      <c r="S418" s="3">
        <v>64259</v>
      </c>
      <c r="T418" t="s">
        <v>4408</v>
      </c>
      <c r="U418">
        <v>7932908</v>
      </c>
    </row>
    <row r="419" spans="1:21" x14ac:dyDescent="0.25">
      <c r="A419" s="9" t="s">
        <v>4401</v>
      </c>
      <c r="B419" s="10">
        <v>44049</v>
      </c>
      <c r="C419" s="1">
        <v>44048</v>
      </c>
      <c r="D419" t="s">
        <v>4402</v>
      </c>
      <c r="E419" s="11">
        <v>0.375</v>
      </c>
      <c r="F419" s="11">
        <v>0.375</v>
      </c>
      <c r="G419">
        <v>73233</v>
      </c>
      <c r="H419" t="s">
        <v>4821</v>
      </c>
      <c r="I419">
        <v>2</v>
      </c>
      <c r="J419" t="s">
        <v>4404</v>
      </c>
      <c r="K419" t="s">
        <v>4405</v>
      </c>
      <c r="L419" t="s">
        <v>4406</v>
      </c>
      <c r="M419" t="s">
        <v>4407</v>
      </c>
      <c r="N419" t="s">
        <v>60</v>
      </c>
      <c r="O419" t="s">
        <v>34</v>
      </c>
      <c r="P419" s="3">
        <v>397201</v>
      </c>
      <c r="Q419" s="3">
        <v>397201</v>
      </c>
      <c r="R419">
        <v>0</v>
      </c>
      <c r="S419" s="3">
        <v>397201</v>
      </c>
      <c r="T419" t="s">
        <v>4408</v>
      </c>
      <c r="U419">
        <v>7932908</v>
      </c>
    </row>
    <row r="420" spans="1:21" x14ac:dyDescent="0.25">
      <c r="A420" s="9" t="s">
        <v>4401</v>
      </c>
      <c r="B420" s="10">
        <v>44049</v>
      </c>
      <c r="C420" s="1">
        <v>44048</v>
      </c>
      <c r="D420" t="s">
        <v>4402</v>
      </c>
      <c r="E420" s="11">
        <v>0.375</v>
      </c>
      <c r="F420" s="11">
        <v>0.375</v>
      </c>
      <c r="G420">
        <v>73235</v>
      </c>
      <c r="H420" t="s">
        <v>4822</v>
      </c>
      <c r="I420" t="s">
        <v>543</v>
      </c>
      <c r="J420" t="s">
        <v>4404</v>
      </c>
      <c r="K420" t="s">
        <v>4405</v>
      </c>
      <c r="L420" t="s">
        <v>4406</v>
      </c>
      <c r="M420" t="s">
        <v>4407</v>
      </c>
      <c r="N420" t="s">
        <v>60</v>
      </c>
      <c r="O420" t="s">
        <v>34</v>
      </c>
      <c r="P420" s="3">
        <v>3909</v>
      </c>
      <c r="Q420" s="3">
        <v>3909</v>
      </c>
      <c r="R420">
        <v>0</v>
      </c>
      <c r="S420" s="3">
        <v>3909</v>
      </c>
      <c r="T420" t="s">
        <v>4408</v>
      </c>
      <c r="U420">
        <v>7932908</v>
      </c>
    </row>
    <row r="421" spans="1:21" x14ac:dyDescent="0.25">
      <c r="A421" s="9" t="s">
        <v>4401</v>
      </c>
      <c r="B421" s="10">
        <v>44049</v>
      </c>
      <c r="C421" s="1">
        <v>44048</v>
      </c>
      <c r="D421" t="s">
        <v>4402</v>
      </c>
      <c r="E421" s="11">
        <v>0.375</v>
      </c>
      <c r="F421" s="11">
        <v>0.375</v>
      </c>
      <c r="G421">
        <v>73238</v>
      </c>
      <c r="H421" t="s">
        <v>2254</v>
      </c>
      <c r="I421" t="s">
        <v>543</v>
      </c>
      <c r="J421" t="s">
        <v>4404</v>
      </c>
      <c r="K421" t="s">
        <v>4405</v>
      </c>
      <c r="L421" t="s">
        <v>4406</v>
      </c>
      <c r="M421" t="s">
        <v>4407</v>
      </c>
      <c r="N421" t="s">
        <v>60</v>
      </c>
      <c r="O421" t="s">
        <v>34</v>
      </c>
      <c r="P421" s="3">
        <v>9122</v>
      </c>
      <c r="Q421" s="3">
        <v>9122</v>
      </c>
      <c r="R421">
        <v>0</v>
      </c>
      <c r="S421" s="3">
        <v>9122</v>
      </c>
      <c r="T421" t="s">
        <v>4408</v>
      </c>
      <c r="U421">
        <v>7932908</v>
      </c>
    </row>
    <row r="422" spans="1:21" x14ac:dyDescent="0.25">
      <c r="A422" s="9" t="s">
        <v>4401</v>
      </c>
      <c r="B422" s="10">
        <v>44049</v>
      </c>
      <c r="C422" s="1">
        <v>44048</v>
      </c>
      <c r="D422" t="s">
        <v>4402</v>
      </c>
      <c r="E422" s="11">
        <v>0.375</v>
      </c>
      <c r="F422" s="11">
        <v>0.375</v>
      </c>
      <c r="G422">
        <v>73239</v>
      </c>
      <c r="H422" t="s">
        <v>4823</v>
      </c>
      <c r="I422">
        <v>3</v>
      </c>
      <c r="J422" t="s">
        <v>4404</v>
      </c>
      <c r="K422" t="s">
        <v>4405</v>
      </c>
      <c r="L422" t="s">
        <v>4406</v>
      </c>
      <c r="M422" t="s">
        <v>4407</v>
      </c>
      <c r="N422" t="s">
        <v>60</v>
      </c>
      <c r="O422" t="s">
        <v>34</v>
      </c>
      <c r="P422" s="3">
        <v>467699</v>
      </c>
      <c r="Q422" s="3">
        <v>467699</v>
      </c>
      <c r="R422" s="3">
        <v>122508</v>
      </c>
      <c r="S422" s="3">
        <v>345191</v>
      </c>
      <c r="T422" t="s">
        <v>4408</v>
      </c>
      <c r="U422">
        <v>7932908</v>
      </c>
    </row>
    <row r="423" spans="1:21" x14ac:dyDescent="0.25">
      <c r="A423" s="9" t="s">
        <v>4401</v>
      </c>
      <c r="B423" s="10">
        <v>44049</v>
      </c>
      <c r="C423" s="1">
        <v>44048</v>
      </c>
      <c r="D423" t="s">
        <v>4402</v>
      </c>
      <c r="E423" s="11">
        <v>0.375</v>
      </c>
      <c r="F423" s="11">
        <v>0.375</v>
      </c>
      <c r="G423">
        <v>73241</v>
      </c>
      <c r="H423" t="s">
        <v>4824</v>
      </c>
      <c r="I423" t="s">
        <v>187</v>
      </c>
      <c r="J423" t="s">
        <v>4458</v>
      </c>
      <c r="K423" t="s">
        <v>4459</v>
      </c>
      <c r="L423" t="s">
        <v>4460</v>
      </c>
      <c r="M423" t="s">
        <v>4407</v>
      </c>
      <c r="N423" t="s">
        <v>60</v>
      </c>
      <c r="O423" t="s">
        <v>34</v>
      </c>
      <c r="P423" s="3">
        <v>16114</v>
      </c>
      <c r="Q423" s="3">
        <v>16114</v>
      </c>
      <c r="R423">
        <v>1</v>
      </c>
      <c r="S423" s="3">
        <v>16113</v>
      </c>
      <c r="T423" t="s">
        <v>4408</v>
      </c>
      <c r="U423">
        <v>7932908</v>
      </c>
    </row>
    <row r="424" spans="1:21" x14ac:dyDescent="0.25">
      <c r="A424" s="9" t="s">
        <v>4401</v>
      </c>
      <c r="B424" s="10">
        <v>44049</v>
      </c>
      <c r="C424" s="1">
        <v>44048</v>
      </c>
      <c r="D424" t="s">
        <v>4402</v>
      </c>
      <c r="E424" s="11">
        <v>0.375</v>
      </c>
      <c r="F424" s="11">
        <v>0.375</v>
      </c>
      <c r="G424">
        <v>73242</v>
      </c>
      <c r="H424" t="s">
        <v>4825</v>
      </c>
      <c r="I424" t="s">
        <v>367</v>
      </c>
      <c r="J424" t="s">
        <v>4458</v>
      </c>
      <c r="K424" t="s">
        <v>4459</v>
      </c>
      <c r="L424" t="s">
        <v>4460</v>
      </c>
      <c r="M424" t="s">
        <v>4407</v>
      </c>
      <c r="N424" t="s">
        <v>60</v>
      </c>
      <c r="O424" t="s">
        <v>34</v>
      </c>
      <c r="P424" s="3">
        <v>16112</v>
      </c>
      <c r="Q424" s="3">
        <v>16112</v>
      </c>
      <c r="R424">
        <v>12</v>
      </c>
      <c r="S424" s="3">
        <v>16100</v>
      </c>
      <c r="T424" t="s">
        <v>4408</v>
      </c>
      <c r="U424">
        <v>7932908</v>
      </c>
    </row>
    <row r="425" spans="1:21" x14ac:dyDescent="0.25">
      <c r="A425" s="9" t="s">
        <v>4401</v>
      </c>
      <c r="B425" s="10">
        <v>44049</v>
      </c>
      <c r="C425" s="1">
        <v>44048</v>
      </c>
      <c r="D425" t="s">
        <v>4402</v>
      </c>
      <c r="E425" s="11">
        <v>0.375</v>
      </c>
      <c r="F425" s="11">
        <v>0.375</v>
      </c>
      <c r="G425">
        <v>73244</v>
      </c>
      <c r="H425" t="s">
        <v>4826</v>
      </c>
      <c r="I425" t="s">
        <v>367</v>
      </c>
      <c r="J425" t="s">
        <v>4458</v>
      </c>
      <c r="K425" t="s">
        <v>4459</v>
      </c>
      <c r="L425" t="s">
        <v>4460</v>
      </c>
      <c r="M425" t="s">
        <v>4407</v>
      </c>
      <c r="N425" t="s">
        <v>60</v>
      </c>
      <c r="O425" t="s">
        <v>34</v>
      </c>
      <c r="P425" s="3">
        <v>8867</v>
      </c>
      <c r="Q425" s="3">
        <v>9003</v>
      </c>
      <c r="R425">
        <v>0</v>
      </c>
      <c r="S425" s="3">
        <v>9003</v>
      </c>
      <c r="T425" t="s">
        <v>4408</v>
      </c>
      <c r="U425">
        <v>7932908</v>
      </c>
    </row>
    <row r="426" spans="1:21" x14ac:dyDescent="0.25">
      <c r="A426" s="9" t="s">
        <v>4401</v>
      </c>
      <c r="B426" s="10">
        <v>44049</v>
      </c>
      <c r="C426" s="1">
        <v>44048</v>
      </c>
      <c r="D426" t="s">
        <v>4402</v>
      </c>
      <c r="E426" s="11">
        <v>0.375</v>
      </c>
      <c r="F426" s="11">
        <v>0.375</v>
      </c>
      <c r="G426">
        <v>73247</v>
      </c>
      <c r="H426" t="s">
        <v>2277</v>
      </c>
      <c r="I426">
        <v>2</v>
      </c>
      <c r="J426" t="s">
        <v>4404</v>
      </c>
      <c r="K426" t="s">
        <v>4405</v>
      </c>
      <c r="L426" t="s">
        <v>4406</v>
      </c>
      <c r="M426" t="s">
        <v>4407</v>
      </c>
      <c r="N426" t="s">
        <v>60</v>
      </c>
      <c r="O426" t="s">
        <v>34</v>
      </c>
      <c r="P426" s="3">
        <v>2280</v>
      </c>
      <c r="Q426" s="3">
        <v>2280</v>
      </c>
      <c r="R426">
        <v>1</v>
      </c>
      <c r="S426" s="3">
        <v>2279</v>
      </c>
      <c r="T426" t="s">
        <v>4408</v>
      </c>
      <c r="U426">
        <v>7932908</v>
      </c>
    </row>
    <row r="427" spans="1:21" x14ac:dyDescent="0.25">
      <c r="A427" s="9" t="s">
        <v>4401</v>
      </c>
      <c r="B427" s="10">
        <v>44049</v>
      </c>
      <c r="C427" s="1">
        <v>44048</v>
      </c>
      <c r="D427" t="s">
        <v>4402</v>
      </c>
      <c r="E427" s="11">
        <v>0.375</v>
      </c>
      <c r="F427" s="11">
        <v>0.375</v>
      </c>
      <c r="G427">
        <v>73249</v>
      </c>
      <c r="H427" t="s">
        <v>4827</v>
      </c>
      <c r="I427" t="s">
        <v>367</v>
      </c>
      <c r="J427" t="s">
        <v>4404</v>
      </c>
      <c r="K427" t="s">
        <v>4405</v>
      </c>
      <c r="L427" t="s">
        <v>4406</v>
      </c>
      <c r="M427" t="s">
        <v>4407</v>
      </c>
      <c r="N427" t="s">
        <v>60</v>
      </c>
      <c r="O427" t="s">
        <v>34</v>
      </c>
      <c r="P427" s="3">
        <v>310401</v>
      </c>
      <c r="Q427" s="3">
        <v>310401</v>
      </c>
      <c r="R427" s="3">
        <v>80000</v>
      </c>
      <c r="S427" s="3">
        <v>230401</v>
      </c>
      <c r="T427" t="s">
        <v>4408</v>
      </c>
      <c r="U427">
        <v>7932908</v>
      </c>
    </row>
    <row r="428" spans="1:21" x14ac:dyDescent="0.25">
      <c r="A428" s="9" t="s">
        <v>4401</v>
      </c>
      <c r="B428" s="10">
        <v>44049</v>
      </c>
      <c r="C428" s="1">
        <v>44048</v>
      </c>
      <c r="D428" t="s">
        <v>4402</v>
      </c>
      <c r="E428" s="11">
        <v>0.375</v>
      </c>
      <c r="F428" s="11">
        <v>0.375</v>
      </c>
      <c r="G428">
        <v>73251</v>
      </c>
      <c r="H428" t="s">
        <v>4828</v>
      </c>
      <c r="I428" t="s">
        <v>543</v>
      </c>
      <c r="J428" t="s">
        <v>4404</v>
      </c>
      <c r="K428" t="s">
        <v>4405</v>
      </c>
      <c r="L428" t="s">
        <v>4406</v>
      </c>
      <c r="M428" t="s">
        <v>4407</v>
      </c>
      <c r="N428" t="s">
        <v>60</v>
      </c>
      <c r="O428" t="s">
        <v>34</v>
      </c>
      <c r="P428" s="3">
        <v>114764</v>
      </c>
      <c r="Q428" s="3">
        <v>114764</v>
      </c>
      <c r="R428" s="3">
        <v>76326</v>
      </c>
      <c r="S428" s="3">
        <v>38438</v>
      </c>
      <c r="T428" t="s">
        <v>4408</v>
      </c>
      <c r="U428">
        <v>7932908</v>
      </c>
    </row>
    <row r="429" spans="1:21" x14ac:dyDescent="0.25">
      <c r="A429" s="9" t="s">
        <v>4401</v>
      </c>
      <c r="B429" s="10">
        <v>44049</v>
      </c>
      <c r="C429" s="1">
        <v>44048</v>
      </c>
      <c r="D429" t="s">
        <v>4402</v>
      </c>
      <c r="E429" s="11">
        <v>0.375</v>
      </c>
      <c r="F429" s="11">
        <v>0.375</v>
      </c>
      <c r="G429">
        <v>73252</v>
      </c>
      <c r="H429" t="s">
        <v>4829</v>
      </c>
      <c r="I429" t="s">
        <v>543</v>
      </c>
      <c r="J429" t="s">
        <v>4404</v>
      </c>
      <c r="K429" t="s">
        <v>4405</v>
      </c>
      <c r="L429" t="s">
        <v>4406</v>
      </c>
      <c r="M429" t="s">
        <v>4407</v>
      </c>
      <c r="N429" t="s">
        <v>60</v>
      </c>
      <c r="O429" t="s">
        <v>34</v>
      </c>
      <c r="P429" s="3">
        <v>168953</v>
      </c>
      <c r="Q429" s="3">
        <v>168953</v>
      </c>
      <c r="R429" s="3">
        <v>73014</v>
      </c>
      <c r="S429" s="3">
        <v>95939</v>
      </c>
      <c r="T429" t="s">
        <v>4408</v>
      </c>
      <c r="U429">
        <v>7932908</v>
      </c>
    </row>
    <row r="430" spans="1:21" x14ac:dyDescent="0.25">
      <c r="A430" s="9" t="s">
        <v>4401</v>
      </c>
      <c r="B430" s="10">
        <v>44049</v>
      </c>
      <c r="C430" s="1">
        <v>44048</v>
      </c>
      <c r="D430" t="s">
        <v>4402</v>
      </c>
      <c r="E430" s="11">
        <v>0.375</v>
      </c>
      <c r="F430" s="11">
        <v>0.375</v>
      </c>
      <c r="G430">
        <v>73253</v>
      </c>
      <c r="H430" t="s">
        <v>4830</v>
      </c>
      <c r="I430" t="s">
        <v>187</v>
      </c>
      <c r="J430" t="s">
        <v>4458</v>
      </c>
      <c r="K430" t="s">
        <v>4459</v>
      </c>
      <c r="L430" t="s">
        <v>4460</v>
      </c>
      <c r="M430" t="s">
        <v>4407</v>
      </c>
      <c r="N430" t="s">
        <v>60</v>
      </c>
      <c r="O430" t="s">
        <v>34</v>
      </c>
      <c r="P430" s="3">
        <v>9733</v>
      </c>
      <c r="Q430" s="3">
        <v>9733</v>
      </c>
      <c r="R430" s="3">
        <v>1031</v>
      </c>
      <c r="S430" s="3">
        <v>8702</v>
      </c>
      <c r="T430" t="s">
        <v>4408</v>
      </c>
      <c r="U430">
        <v>7932908</v>
      </c>
    </row>
    <row r="431" spans="1:21" x14ac:dyDescent="0.25">
      <c r="A431" s="9" t="s">
        <v>4401</v>
      </c>
      <c r="B431" s="10">
        <v>44049</v>
      </c>
      <c r="C431" s="1">
        <v>44048</v>
      </c>
      <c r="D431" t="s">
        <v>4402</v>
      </c>
      <c r="E431" s="11">
        <v>0.375</v>
      </c>
      <c r="F431" s="11">
        <v>0.375</v>
      </c>
      <c r="G431">
        <v>73255</v>
      </c>
      <c r="H431" t="s">
        <v>4831</v>
      </c>
      <c r="I431" t="s">
        <v>543</v>
      </c>
      <c r="J431" t="s">
        <v>4404</v>
      </c>
      <c r="K431" t="s">
        <v>4405</v>
      </c>
      <c r="L431" t="s">
        <v>4406</v>
      </c>
      <c r="M431" t="s">
        <v>4407</v>
      </c>
      <c r="N431" t="s">
        <v>60</v>
      </c>
      <c r="O431" t="s">
        <v>34</v>
      </c>
      <c r="P431" s="3">
        <v>31084</v>
      </c>
      <c r="Q431" s="3">
        <v>31084</v>
      </c>
      <c r="R431">
        <v>0</v>
      </c>
      <c r="S431" s="3">
        <v>31084</v>
      </c>
      <c r="T431" t="s">
        <v>4408</v>
      </c>
      <c r="U431">
        <v>7932908</v>
      </c>
    </row>
    <row r="432" spans="1:21" x14ac:dyDescent="0.25">
      <c r="A432" s="9" t="s">
        <v>4401</v>
      </c>
      <c r="B432" s="10">
        <v>44049</v>
      </c>
      <c r="C432" s="1">
        <v>44048</v>
      </c>
      <c r="D432" t="s">
        <v>4402</v>
      </c>
      <c r="E432" s="11">
        <v>0.375</v>
      </c>
      <c r="F432" s="11">
        <v>0.375</v>
      </c>
      <c r="G432">
        <v>73256</v>
      </c>
      <c r="H432" t="s">
        <v>2301</v>
      </c>
      <c r="I432">
        <v>1</v>
      </c>
      <c r="J432" t="s">
        <v>4458</v>
      </c>
      <c r="K432" t="s">
        <v>4459</v>
      </c>
      <c r="L432" t="s">
        <v>4460</v>
      </c>
      <c r="M432" t="s">
        <v>4407</v>
      </c>
      <c r="N432" t="s">
        <v>60</v>
      </c>
      <c r="O432" t="s">
        <v>34</v>
      </c>
      <c r="P432" s="3">
        <v>33408</v>
      </c>
      <c r="Q432" s="3">
        <v>34893</v>
      </c>
      <c r="R432" s="3">
        <v>7500</v>
      </c>
      <c r="S432" s="3">
        <v>27393</v>
      </c>
      <c r="T432" t="s">
        <v>4408</v>
      </c>
      <c r="U432">
        <v>7932908</v>
      </c>
    </row>
    <row r="433" spans="1:21" x14ac:dyDescent="0.25">
      <c r="A433" s="9" t="s">
        <v>4401</v>
      </c>
      <c r="B433" s="10">
        <v>44049</v>
      </c>
      <c r="C433" s="1">
        <v>44048</v>
      </c>
      <c r="D433" t="s">
        <v>4402</v>
      </c>
      <c r="E433" s="11">
        <v>0.375</v>
      </c>
      <c r="F433" s="11">
        <v>0.375</v>
      </c>
      <c r="G433">
        <v>73257</v>
      </c>
      <c r="H433" t="s">
        <v>4832</v>
      </c>
      <c r="I433">
        <v>2</v>
      </c>
      <c r="J433" t="s">
        <v>4404</v>
      </c>
      <c r="K433" t="s">
        <v>4405</v>
      </c>
      <c r="L433" t="s">
        <v>4406</v>
      </c>
      <c r="M433" t="s">
        <v>4407</v>
      </c>
      <c r="N433" t="s">
        <v>60</v>
      </c>
      <c r="O433" t="s">
        <v>34</v>
      </c>
      <c r="P433" s="3">
        <v>16241</v>
      </c>
      <c r="Q433" s="3">
        <v>16241</v>
      </c>
      <c r="R433">
        <v>0</v>
      </c>
      <c r="S433" s="3">
        <v>16241</v>
      </c>
      <c r="T433" t="s">
        <v>4408</v>
      </c>
      <c r="U433">
        <v>7932908</v>
      </c>
    </row>
    <row r="434" spans="1:21" x14ac:dyDescent="0.25">
      <c r="A434" s="9" t="s">
        <v>4401</v>
      </c>
      <c r="B434" s="10">
        <v>44049</v>
      </c>
      <c r="C434" s="1">
        <v>44048</v>
      </c>
      <c r="D434" t="s">
        <v>4402</v>
      </c>
      <c r="E434" s="11">
        <v>0.375</v>
      </c>
      <c r="F434" s="11">
        <v>0.375</v>
      </c>
      <c r="G434">
        <v>73269</v>
      </c>
      <c r="H434" t="s">
        <v>4833</v>
      </c>
      <c r="I434">
        <v>2</v>
      </c>
      <c r="J434" t="s">
        <v>4404</v>
      </c>
      <c r="K434" t="s">
        <v>4405</v>
      </c>
      <c r="L434" t="s">
        <v>4406</v>
      </c>
      <c r="M434" t="s">
        <v>4407</v>
      </c>
      <c r="N434" t="s">
        <v>60</v>
      </c>
      <c r="O434" t="s">
        <v>34</v>
      </c>
      <c r="P434" s="3">
        <v>245762</v>
      </c>
      <c r="Q434" s="3">
        <v>245762</v>
      </c>
      <c r="R434">
        <v>177</v>
      </c>
      <c r="S434" s="3">
        <v>245585</v>
      </c>
      <c r="T434" t="s">
        <v>4408</v>
      </c>
      <c r="U434">
        <v>7932908</v>
      </c>
    </row>
    <row r="435" spans="1:21" x14ac:dyDescent="0.25">
      <c r="A435" s="9" t="s">
        <v>4401</v>
      </c>
      <c r="B435" s="10">
        <v>44049</v>
      </c>
      <c r="C435" s="1">
        <v>44048</v>
      </c>
      <c r="D435" t="s">
        <v>4402</v>
      </c>
      <c r="E435" s="11">
        <v>0.375</v>
      </c>
      <c r="F435" s="11">
        <v>0.375</v>
      </c>
      <c r="G435">
        <v>73270</v>
      </c>
      <c r="H435" t="s">
        <v>4834</v>
      </c>
      <c r="I435">
        <v>2</v>
      </c>
      <c r="J435" t="s">
        <v>4404</v>
      </c>
      <c r="K435" t="s">
        <v>4405</v>
      </c>
      <c r="L435" t="s">
        <v>4406</v>
      </c>
      <c r="M435" t="s">
        <v>4407</v>
      </c>
      <c r="N435" t="s">
        <v>60</v>
      </c>
      <c r="O435" t="s">
        <v>34</v>
      </c>
      <c r="P435" s="3">
        <v>195767</v>
      </c>
      <c r="Q435" s="3">
        <v>195767</v>
      </c>
      <c r="R435">
        <v>0</v>
      </c>
      <c r="S435" s="3">
        <v>195767</v>
      </c>
      <c r="T435" t="s">
        <v>4408</v>
      </c>
      <c r="U435">
        <v>7932908</v>
      </c>
    </row>
    <row r="436" spans="1:21" x14ac:dyDescent="0.25">
      <c r="A436" s="9" t="s">
        <v>4401</v>
      </c>
      <c r="B436" s="10">
        <v>44049</v>
      </c>
      <c r="C436" s="1">
        <v>44048</v>
      </c>
      <c r="D436" t="s">
        <v>4402</v>
      </c>
      <c r="E436" s="11">
        <v>0.375</v>
      </c>
      <c r="F436" s="11">
        <v>0.375</v>
      </c>
      <c r="G436">
        <v>73275</v>
      </c>
      <c r="H436" t="s">
        <v>4835</v>
      </c>
      <c r="I436" t="s">
        <v>187</v>
      </c>
      <c r="J436" t="s">
        <v>4458</v>
      </c>
      <c r="K436" t="s">
        <v>4459</v>
      </c>
      <c r="L436" t="s">
        <v>4460</v>
      </c>
      <c r="M436" t="s">
        <v>4407</v>
      </c>
      <c r="N436" t="s">
        <v>60</v>
      </c>
      <c r="O436" t="s">
        <v>34</v>
      </c>
      <c r="P436" s="3">
        <v>37855</v>
      </c>
      <c r="Q436" s="3">
        <v>37855</v>
      </c>
      <c r="R436" s="3">
        <v>3118</v>
      </c>
      <c r="S436" s="3">
        <v>34737</v>
      </c>
      <c r="T436" t="s">
        <v>4408</v>
      </c>
      <c r="U436">
        <v>7932908</v>
      </c>
    </row>
    <row r="437" spans="1:21" x14ac:dyDescent="0.25">
      <c r="A437" s="9" t="s">
        <v>4401</v>
      </c>
      <c r="B437" s="10">
        <v>44049</v>
      </c>
      <c r="C437" s="1">
        <v>44048</v>
      </c>
      <c r="D437" t="s">
        <v>4402</v>
      </c>
      <c r="E437" s="11">
        <v>0.375</v>
      </c>
      <c r="F437" s="11">
        <v>0.375</v>
      </c>
      <c r="G437">
        <v>73276</v>
      </c>
      <c r="H437" t="s">
        <v>4836</v>
      </c>
      <c r="I437" t="s">
        <v>367</v>
      </c>
      <c r="J437" t="s">
        <v>4458</v>
      </c>
      <c r="K437" t="s">
        <v>4459</v>
      </c>
      <c r="L437" t="s">
        <v>4460</v>
      </c>
      <c r="M437" t="s">
        <v>4407</v>
      </c>
      <c r="N437" t="s">
        <v>60</v>
      </c>
      <c r="O437" t="s">
        <v>34</v>
      </c>
      <c r="P437" s="3">
        <v>9046</v>
      </c>
      <c r="Q437" s="3">
        <v>9046</v>
      </c>
      <c r="R437">
        <v>275</v>
      </c>
      <c r="S437" s="3">
        <v>8771</v>
      </c>
      <c r="T437" t="s">
        <v>4408</v>
      </c>
      <c r="U437">
        <v>7932908</v>
      </c>
    </row>
    <row r="438" spans="1:21" x14ac:dyDescent="0.25">
      <c r="A438" s="9" t="s">
        <v>4401</v>
      </c>
      <c r="B438" s="10">
        <v>44049</v>
      </c>
      <c r="C438" s="1">
        <v>44048</v>
      </c>
      <c r="D438" t="s">
        <v>4402</v>
      </c>
      <c r="E438" s="11">
        <v>0.375</v>
      </c>
      <c r="F438" s="11">
        <v>0.375</v>
      </c>
      <c r="G438">
        <v>73277</v>
      </c>
      <c r="H438" t="s">
        <v>4837</v>
      </c>
      <c r="I438" t="s">
        <v>367</v>
      </c>
      <c r="J438" t="s">
        <v>4458</v>
      </c>
      <c r="K438" t="s">
        <v>4459</v>
      </c>
      <c r="L438" t="s">
        <v>4460</v>
      </c>
      <c r="M438" t="s">
        <v>4407</v>
      </c>
      <c r="N438" t="s">
        <v>60</v>
      </c>
      <c r="O438" t="s">
        <v>34</v>
      </c>
      <c r="P438" s="3">
        <v>3750</v>
      </c>
      <c r="Q438" s="3">
        <v>3750</v>
      </c>
      <c r="R438">
        <v>0</v>
      </c>
      <c r="S438" s="3">
        <v>3750</v>
      </c>
      <c r="T438" t="s">
        <v>4408</v>
      </c>
      <c r="U438">
        <v>7932908</v>
      </c>
    </row>
    <row r="439" spans="1:21" x14ac:dyDescent="0.25">
      <c r="A439" s="9" t="s">
        <v>4401</v>
      </c>
      <c r="B439" s="10">
        <v>44049</v>
      </c>
      <c r="C439" s="1">
        <v>44048</v>
      </c>
      <c r="D439" t="s">
        <v>4402</v>
      </c>
      <c r="E439" s="11">
        <v>0.375</v>
      </c>
      <c r="F439" s="11">
        <v>0.375</v>
      </c>
      <c r="G439">
        <v>73280</v>
      </c>
      <c r="H439" t="s">
        <v>4838</v>
      </c>
      <c r="I439">
        <v>2</v>
      </c>
      <c r="J439" t="s">
        <v>4404</v>
      </c>
      <c r="K439" t="s">
        <v>4405</v>
      </c>
      <c r="L439" t="s">
        <v>4406</v>
      </c>
      <c r="M439" t="s">
        <v>4407</v>
      </c>
      <c r="N439" t="s">
        <v>60</v>
      </c>
      <c r="O439" t="s">
        <v>34</v>
      </c>
      <c r="P439" s="3">
        <v>156993</v>
      </c>
      <c r="Q439" s="3">
        <v>156993</v>
      </c>
      <c r="R439">
        <v>0</v>
      </c>
      <c r="S439" s="3">
        <v>156993</v>
      </c>
      <c r="T439" t="s">
        <v>4408</v>
      </c>
      <c r="U439">
        <v>7932908</v>
      </c>
    </row>
    <row r="440" spans="1:21" x14ac:dyDescent="0.25">
      <c r="A440" s="9" t="s">
        <v>4401</v>
      </c>
      <c r="B440" s="10">
        <v>44049</v>
      </c>
      <c r="C440" s="1">
        <v>44048</v>
      </c>
      <c r="D440" t="s">
        <v>4402</v>
      </c>
      <c r="E440" s="11">
        <v>0.375</v>
      </c>
      <c r="F440" s="11">
        <v>0.375</v>
      </c>
      <c r="G440">
        <v>73282</v>
      </c>
      <c r="H440" t="s">
        <v>4839</v>
      </c>
      <c r="I440" t="s">
        <v>187</v>
      </c>
      <c r="J440" t="s">
        <v>4458</v>
      </c>
      <c r="K440" t="s">
        <v>4459</v>
      </c>
      <c r="L440" t="s">
        <v>4460</v>
      </c>
      <c r="M440" t="s">
        <v>4407</v>
      </c>
      <c r="N440" t="s">
        <v>60</v>
      </c>
      <c r="O440" t="s">
        <v>34</v>
      </c>
      <c r="P440" s="3">
        <v>15122</v>
      </c>
      <c r="Q440" s="3">
        <v>15122</v>
      </c>
      <c r="R440">
        <v>400</v>
      </c>
      <c r="S440" s="3">
        <v>14722</v>
      </c>
      <c r="T440" t="s">
        <v>4408</v>
      </c>
      <c r="U440">
        <v>7932908</v>
      </c>
    </row>
    <row r="441" spans="1:21" x14ac:dyDescent="0.25">
      <c r="A441" s="9" t="s">
        <v>4401</v>
      </c>
      <c r="B441" s="10">
        <v>44049</v>
      </c>
      <c r="C441" s="1">
        <v>44048</v>
      </c>
      <c r="D441" t="s">
        <v>4402</v>
      </c>
      <c r="E441" s="11">
        <v>0.375</v>
      </c>
      <c r="F441" s="11">
        <v>0.375</v>
      </c>
      <c r="G441">
        <v>73283</v>
      </c>
      <c r="H441" t="s">
        <v>4840</v>
      </c>
      <c r="I441" t="s">
        <v>367</v>
      </c>
      <c r="J441" t="s">
        <v>4458</v>
      </c>
      <c r="K441" t="s">
        <v>4459</v>
      </c>
      <c r="L441" t="s">
        <v>4460</v>
      </c>
      <c r="M441" t="s">
        <v>4407</v>
      </c>
      <c r="N441" t="s">
        <v>60</v>
      </c>
      <c r="O441" t="s">
        <v>34</v>
      </c>
      <c r="P441" s="3">
        <v>36498</v>
      </c>
      <c r="Q441" s="3">
        <v>36498</v>
      </c>
      <c r="R441">
        <v>192</v>
      </c>
      <c r="S441" s="3">
        <v>36306</v>
      </c>
      <c r="T441" t="s">
        <v>4408</v>
      </c>
      <c r="U441">
        <v>7932908</v>
      </c>
    </row>
    <row r="442" spans="1:21" x14ac:dyDescent="0.25">
      <c r="A442" s="9" t="s">
        <v>4401</v>
      </c>
      <c r="B442" s="10">
        <v>44049</v>
      </c>
      <c r="C442" s="1">
        <v>44048</v>
      </c>
      <c r="D442" t="s">
        <v>4402</v>
      </c>
      <c r="E442" s="11">
        <v>0.375</v>
      </c>
      <c r="F442" s="11">
        <v>0.375</v>
      </c>
      <c r="G442">
        <v>73285</v>
      </c>
      <c r="H442" t="s">
        <v>4841</v>
      </c>
      <c r="I442" t="s">
        <v>367</v>
      </c>
      <c r="J442" t="s">
        <v>4458</v>
      </c>
      <c r="K442" t="s">
        <v>4459</v>
      </c>
      <c r="L442" t="s">
        <v>4460</v>
      </c>
      <c r="M442" t="s">
        <v>4407</v>
      </c>
      <c r="N442" t="s">
        <v>60</v>
      </c>
      <c r="O442" t="s">
        <v>34</v>
      </c>
      <c r="P442" s="3">
        <v>9027</v>
      </c>
      <c r="Q442" s="3">
        <v>9027</v>
      </c>
      <c r="R442">
        <v>0</v>
      </c>
      <c r="S442" s="3">
        <v>9027</v>
      </c>
      <c r="T442" t="s">
        <v>4408</v>
      </c>
      <c r="U442">
        <v>7932908</v>
      </c>
    </row>
    <row r="443" spans="1:21" x14ac:dyDescent="0.25">
      <c r="A443" s="9" t="s">
        <v>4401</v>
      </c>
      <c r="B443" s="10">
        <v>44049</v>
      </c>
      <c r="C443" s="1">
        <v>44048</v>
      </c>
      <c r="D443" t="s">
        <v>4402</v>
      </c>
      <c r="E443" s="11">
        <v>0.375</v>
      </c>
      <c r="F443" s="11">
        <v>0.375</v>
      </c>
      <c r="G443">
        <v>73294</v>
      </c>
      <c r="H443" t="s">
        <v>4842</v>
      </c>
      <c r="I443">
        <v>3</v>
      </c>
      <c r="J443" t="s">
        <v>4404</v>
      </c>
      <c r="K443" t="s">
        <v>4405</v>
      </c>
      <c r="L443" t="s">
        <v>4406</v>
      </c>
      <c r="M443" t="s">
        <v>4407</v>
      </c>
      <c r="N443" t="s">
        <v>60</v>
      </c>
      <c r="O443" t="s">
        <v>34</v>
      </c>
      <c r="P443" s="3">
        <v>105842</v>
      </c>
      <c r="Q443" s="3">
        <v>131859</v>
      </c>
      <c r="R443" s="3">
        <v>84200</v>
      </c>
      <c r="S443" s="3">
        <v>47659</v>
      </c>
      <c r="T443" t="s">
        <v>4408</v>
      </c>
      <c r="U443">
        <v>7932908</v>
      </c>
    </row>
    <row r="444" spans="1:21" x14ac:dyDescent="0.25">
      <c r="A444" s="9" t="s">
        <v>4401</v>
      </c>
      <c r="B444" s="10">
        <v>44049</v>
      </c>
      <c r="C444" s="1">
        <v>44048</v>
      </c>
      <c r="D444" t="s">
        <v>4402</v>
      </c>
      <c r="E444" s="11">
        <v>0.375</v>
      </c>
      <c r="F444" s="11">
        <v>0.375</v>
      </c>
      <c r="G444">
        <v>73295</v>
      </c>
      <c r="H444" t="s">
        <v>2368</v>
      </c>
      <c r="I444" t="s">
        <v>187</v>
      </c>
      <c r="J444" t="s">
        <v>4458</v>
      </c>
      <c r="K444" t="s">
        <v>4459</v>
      </c>
      <c r="L444" t="s">
        <v>4460</v>
      </c>
      <c r="M444" t="s">
        <v>4407</v>
      </c>
      <c r="N444" t="s">
        <v>60</v>
      </c>
      <c r="O444" t="s">
        <v>34</v>
      </c>
      <c r="P444" s="3">
        <v>15122</v>
      </c>
      <c r="Q444" s="3">
        <v>15122</v>
      </c>
      <c r="R444">
        <v>200</v>
      </c>
      <c r="S444" s="3">
        <v>14922</v>
      </c>
      <c r="T444" t="s">
        <v>4408</v>
      </c>
      <c r="U444">
        <v>7932908</v>
      </c>
    </row>
    <row r="445" spans="1:21" x14ac:dyDescent="0.25">
      <c r="A445" s="9" t="s">
        <v>4401</v>
      </c>
      <c r="B445" s="10">
        <v>44049</v>
      </c>
      <c r="C445" s="1">
        <v>44048</v>
      </c>
      <c r="D445" t="s">
        <v>4402</v>
      </c>
      <c r="E445" s="11">
        <v>0.375</v>
      </c>
      <c r="F445" s="11">
        <v>0.375</v>
      </c>
      <c r="G445">
        <v>73297</v>
      </c>
      <c r="H445" t="s">
        <v>4843</v>
      </c>
      <c r="I445">
        <v>2</v>
      </c>
      <c r="J445" t="s">
        <v>4404</v>
      </c>
      <c r="K445" t="s">
        <v>4405</v>
      </c>
      <c r="L445" t="s">
        <v>4406</v>
      </c>
      <c r="M445" t="s">
        <v>4407</v>
      </c>
      <c r="N445" t="s">
        <v>60</v>
      </c>
      <c r="O445" t="s">
        <v>34</v>
      </c>
      <c r="P445" s="3">
        <v>165261</v>
      </c>
      <c r="Q445" s="3">
        <v>165261</v>
      </c>
      <c r="R445" s="3">
        <v>102500</v>
      </c>
      <c r="S445" s="3">
        <v>62761</v>
      </c>
      <c r="T445" t="s">
        <v>4408</v>
      </c>
      <c r="U445">
        <v>7932908</v>
      </c>
    </row>
    <row r="446" spans="1:21" x14ac:dyDescent="0.25">
      <c r="A446" s="9" t="s">
        <v>4401</v>
      </c>
      <c r="B446" s="10">
        <v>44049</v>
      </c>
      <c r="C446" s="1">
        <v>44048</v>
      </c>
      <c r="D446" t="s">
        <v>4402</v>
      </c>
      <c r="E446" s="11">
        <v>0.375</v>
      </c>
      <c r="F446" s="11">
        <v>0.375</v>
      </c>
      <c r="G446">
        <v>73298</v>
      </c>
      <c r="H446" t="s">
        <v>4844</v>
      </c>
      <c r="I446" t="s">
        <v>680</v>
      </c>
      <c r="J446" t="s">
        <v>4404</v>
      </c>
      <c r="K446" t="s">
        <v>4405</v>
      </c>
      <c r="L446" t="s">
        <v>4406</v>
      </c>
      <c r="M446" t="s">
        <v>4407</v>
      </c>
      <c r="N446" t="s">
        <v>60</v>
      </c>
      <c r="O446" t="s">
        <v>34</v>
      </c>
      <c r="P446" s="3">
        <v>224117</v>
      </c>
      <c r="Q446" s="3">
        <v>224117</v>
      </c>
      <c r="R446" s="3">
        <v>115000</v>
      </c>
      <c r="S446" s="3">
        <v>109117</v>
      </c>
      <c r="T446" t="s">
        <v>4408</v>
      </c>
      <c r="U446">
        <v>7932908</v>
      </c>
    </row>
    <row r="447" spans="1:21" x14ac:dyDescent="0.25">
      <c r="A447" s="9" t="s">
        <v>4401</v>
      </c>
      <c r="B447" s="10">
        <v>44049</v>
      </c>
      <c r="C447" s="1">
        <v>44048</v>
      </c>
      <c r="D447" t="s">
        <v>4402</v>
      </c>
      <c r="E447" s="11">
        <v>0.375</v>
      </c>
      <c r="F447" s="11">
        <v>0.375</v>
      </c>
      <c r="G447">
        <v>73304</v>
      </c>
      <c r="H447" t="s">
        <v>4845</v>
      </c>
      <c r="I447">
        <v>3</v>
      </c>
      <c r="J447" t="s">
        <v>4404</v>
      </c>
      <c r="K447" t="s">
        <v>4405</v>
      </c>
      <c r="L447" t="s">
        <v>4406</v>
      </c>
      <c r="M447" t="s">
        <v>4407</v>
      </c>
      <c r="N447" t="s">
        <v>60</v>
      </c>
      <c r="O447" t="s">
        <v>34</v>
      </c>
      <c r="P447" s="3">
        <v>66510</v>
      </c>
      <c r="Q447" s="3">
        <v>66510</v>
      </c>
      <c r="R447" s="3">
        <v>10000</v>
      </c>
      <c r="S447" s="3">
        <v>56510</v>
      </c>
      <c r="T447" t="s">
        <v>4408</v>
      </c>
      <c r="U447">
        <v>7932908</v>
      </c>
    </row>
    <row r="448" spans="1:21" x14ac:dyDescent="0.25">
      <c r="A448" s="9" t="s">
        <v>4401</v>
      </c>
      <c r="B448" s="10">
        <v>44049</v>
      </c>
      <c r="C448" s="1">
        <v>44048</v>
      </c>
      <c r="D448" t="s">
        <v>4402</v>
      </c>
      <c r="E448" s="11">
        <v>0.375</v>
      </c>
      <c r="F448" s="11">
        <v>0.375</v>
      </c>
      <c r="G448">
        <v>73306</v>
      </c>
      <c r="H448" t="s">
        <v>2388</v>
      </c>
      <c r="I448">
        <v>3</v>
      </c>
      <c r="J448" t="s">
        <v>4404</v>
      </c>
      <c r="K448" t="s">
        <v>4405</v>
      </c>
      <c r="L448" t="s">
        <v>4406</v>
      </c>
      <c r="M448" t="s">
        <v>4407</v>
      </c>
      <c r="N448" t="s">
        <v>60</v>
      </c>
      <c r="O448" t="s">
        <v>34</v>
      </c>
      <c r="P448" s="3">
        <v>248362</v>
      </c>
      <c r="Q448" s="3">
        <v>248362</v>
      </c>
      <c r="R448" s="3">
        <v>129999</v>
      </c>
      <c r="S448" s="3">
        <v>118363</v>
      </c>
      <c r="T448" t="s">
        <v>4408</v>
      </c>
      <c r="U448">
        <v>7932908</v>
      </c>
    </row>
    <row r="449" spans="1:21" x14ac:dyDescent="0.25">
      <c r="A449" s="9" t="s">
        <v>4401</v>
      </c>
      <c r="B449" s="10">
        <v>44049</v>
      </c>
      <c r="C449" s="1">
        <v>44048</v>
      </c>
      <c r="D449" t="s">
        <v>4402</v>
      </c>
      <c r="E449" s="11">
        <v>0.375</v>
      </c>
      <c r="F449" s="11">
        <v>0.375</v>
      </c>
      <c r="G449">
        <v>73310</v>
      </c>
      <c r="H449" t="s">
        <v>4846</v>
      </c>
      <c r="I449" t="s">
        <v>367</v>
      </c>
      <c r="J449" t="s">
        <v>4404</v>
      </c>
      <c r="K449" t="s">
        <v>4405</v>
      </c>
      <c r="L449" t="s">
        <v>4406</v>
      </c>
      <c r="M449" t="s">
        <v>4407</v>
      </c>
      <c r="N449" t="s">
        <v>60</v>
      </c>
      <c r="O449" t="s">
        <v>34</v>
      </c>
      <c r="P449" s="3">
        <v>124219</v>
      </c>
      <c r="Q449" s="3">
        <v>124219</v>
      </c>
      <c r="R449" s="3">
        <v>6893</v>
      </c>
      <c r="S449" s="3">
        <v>117326</v>
      </c>
      <c r="T449" t="s">
        <v>4408</v>
      </c>
      <c r="U449">
        <v>7932908</v>
      </c>
    </row>
    <row r="450" spans="1:21" x14ac:dyDescent="0.25">
      <c r="A450" s="9" t="s">
        <v>4401</v>
      </c>
      <c r="B450" s="10">
        <v>44049</v>
      </c>
      <c r="C450" s="1">
        <v>44048</v>
      </c>
      <c r="D450" t="s">
        <v>4402</v>
      </c>
      <c r="E450" s="11">
        <v>0.375</v>
      </c>
      <c r="F450" s="11">
        <v>0.375</v>
      </c>
      <c r="G450">
        <v>73311</v>
      </c>
      <c r="H450" t="s">
        <v>4847</v>
      </c>
      <c r="I450" t="s">
        <v>367</v>
      </c>
      <c r="J450" t="s">
        <v>4458</v>
      </c>
      <c r="K450" t="s">
        <v>4459</v>
      </c>
      <c r="L450" t="s">
        <v>4460</v>
      </c>
      <c r="M450" t="s">
        <v>4407</v>
      </c>
      <c r="N450" t="s">
        <v>60</v>
      </c>
      <c r="O450" t="s">
        <v>34</v>
      </c>
      <c r="P450" s="3">
        <v>8612</v>
      </c>
      <c r="Q450" s="3">
        <v>8612</v>
      </c>
      <c r="R450">
        <v>0</v>
      </c>
      <c r="S450" s="3">
        <v>8612</v>
      </c>
      <c r="T450" t="s">
        <v>4408</v>
      </c>
      <c r="U450">
        <v>7932908</v>
      </c>
    </row>
    <row r="451" spans="1:21" x14ac:dyDescent="0.25">
      <c r="A451" s="9" t="s">
        <v>4401</v>
      </c>
      <c r="B451" s="10">
        <v>44049</v>
      </c>
      <c r="C451" s="1">
        <v>44048</v>
      </c>
      <c r="D451" t="s">
        <v>4402</v>
      </c>
      <c r="E451" s="11">
        <v>0.375</v>
      </c>
      <c r="F451" s="11">
        <v>0.375</v>
      </c>
      <c r="G451">
        <v>73313</v>
      </c>
      <c r="H451" t="s">
        <v>2402</v>
      </c>
      <c r="I451" t="s">
        <v>367</v>
      </c>
      <c r="J451" t="s">
        <v>4458</v>
      </c>
      <c r="K451" t="s">
        <v>4459</v>
      </c>
      <c r="L451" t="s">
        <v>4460</v>
      </c>
      <c r="M451" t="s">
        <v>4407</v>
      </c>
      <c r="N451" t="s">
        <v>60</v>
      </c>
      <c r="O451" t="s">
        <v>34</v>
      </c>
      <c r="P451" s="3">
        <v>4878</v>
      </c>
      <c r="Q451" s="3">
        <v>4878</v>
      </c>
      <c r="R451">
        <v>0</v>
      </c>
      <c r="S451" s="3">
        <v>4878</v>
      </c>
      <c r="T451" t="s">
        <v>4408</v>
      </c>
      <c r="U451">
        <v>7932908</v>
      </c>
    </row>
    <row r="452" spans="1:21" x14ac:dyDescent="0.25">
      <c r="A452" s="9" t="s">
        <v>4401</v>
      </c>
      <c r="B452" s="10">
        <v>44049</v>
      </c>
      <c r="C452" s="1">
        <v>44048</v>
      </c>
      <c r="D452" t="s">
        <v>4402</v>
      </c>
      <c r="E452" s="11">
        <v>0.375</v>
      </c>
      <c r="F452" s="11">
        <v>0.375</v>
      </c>
      <c r="G452">
        <v>73316</v>
      </c>
      <c r="H452" t="s">
        <v>4848</v>
      </c>
      <c r="I452" t="s">
        <v>367</v>
      </c>
      <c r="J452" t="s">
        <v>4458</v>
      </c>
      <c r="K452" t="s">
        <v>4459</v>
      </c>
      <c r="L452" t="s">
        <v>4460</v>
      </c>
      <c r="M452" t="s">
        <v>4407</v>
      </c>
      <c r="N452" t="s">
        <v>60</v>
      </c>
      <c r="O452" t="s">
        <v>34</v>
      </c>
      <c r="P452" s="3">
        <v>34856</v>
      </c>
      <c r="Q452" s="3">
        <v>34856</v>
      </c>
      <c r="R452">
        <v>0</v>
      </c>
      <c r="S452" s="3">
        <v>34856</v>
      </c>
      <c r="T452" t="s">
        <v>4408</v>
      </c>
      <c r="U452">
        <v>7932908</v>
      </c>
    </row>
    <row r="453" spans="1:21" x14ac:dyDescent="0.25">
      <c r="A453" s="9" t="s">
        <v>4401</v>
      </c>
      <c r="B453" s="10">
        <v>44049</v>
      </c>
      <c r="C453" s="1">
        <v>44048</v>
      </c>
      <c r="D453" t="s">
        <v>4402</v>
      </c>
      <c r="E453" s="11">
        <v>0.375</v>
      </c>
      <c r="F453" s="11">
        <v>0.375</v>
      </c>
      <c r="G453">
        <v>73318</v>
      </c>
      <c r="H453" t="s">
        <v>2411</v>
      </c>
      <c r="I453">
        <v>3</v>
      </c>
      <c r="J453" t="s">
        <v>4404</v>
      </c>
      <c r="K453" t="s">
        <v>4405</v>
      </c>
      <c r="L453" t="s">
        <v>4406</v>
      </c>
      <c r="M453" t="s">
        <v>4407</v>
      </c>
      <c r="N453" t="s">
        <v>60</v>
      </c>
      <c r="O453" t="s">
        <v>34</v>
      </c>
      <c r="P453" s="3">
        <v>91031</v>
      </c>
      <c r="Q453" s="3">
        <v>91031</v>
      </c>
      <c r="R453" s="3">
        <v>83864</v>
      </c>
      <c r="S453" s="3">
        <v>7167</v>
      </c>
      <c r="T453" t="s">
        <v>4408</v>
      </c>
      <c r="U453">
        <v>7932908</v>
      </c>
    </row>
    <row r="454" spans="1:21" x14ac:dyDescent="0.25">
      <c r="A454" s="9" t="s">
        <v>4401</v>
      </c>
      <c r="B454" s="10">
        <v>44049</v>
      </c>
      <c r="C454" s="1">
        <v>44048</v>
      </c>
      <c r="D454" t="s">
        <v>4402</v>
      </c>
      <c r="E454" s="11">
        <v>0.375</v>
      </c>
      <c r="F454" s="11">
        <v>0.375</v>
      </c>
      <c r="G454">
        <v>73322</v>
      </c>
      <c r="H454" t="s">
        <v>4849</v>
      </c>
      <c r="I454" t="s">
        <v>680</v>
      </c>
      <c r="J454" t="s">
        <v>4458</v>
      </c>
      <c r="K454" t="s">
        <v>4459</v>
      </c>
      <c r="L454" t="s">
        <v>4460</v>
      </c>
      <c r="M454" t="s">
        <v>4407</v>
      </c>
      <c r="N454" t="s">
        <v>60</v>
      </c>
      <c r="O454" t="s">
        <v>34</v>
      </c>
      <c r="P454" s="3">
        <v>7687</v>
      </c>
      <c r="Q454" s="3">
        <v>7687</v>
      </c>
      <c r="R454">
        <v>0</v>
      </c>
      <c r="S454" s="3">
        <v>7687</v>
      </c>
      <c r="T454" t="s">
        <v>4408</v>
      </c>
      <c r="U454">
        <v>7932908</v>
      </c>
    </row>
    <row r="455" spans="1:21" x14ac:dyDescent="0.25">
      <c r="A455" s="9" t="s">
        <v>4401</v>
      </c>
      <c r="B455" s="10">
        <v>44049</v>
      </c>
      <c r="C455" s="1">
        <v>44048</v>
      </c>
      <c r="D455" t="s">
        <v>4402</v>
      </c>
      <c r="E455" s="11">
        <v>0.375</v>
      </c>
      <c r="F455" s="11">
        <v>0.375</v>
      </c>
      <c r="G455">
        <v>73324</v>
      </c>
      <c r="H455" t="s">
        <v>4850</v>
      </c>
      <c r="I455" t="s">
        <v>680</v>
      </c>
      <c r="J455" t="s">
        <v>4458</v>
      </c>
      <c r="K455" t="s">
        <v>4459</v>
      </c>
      <c r="L455" t="s">
        <v>4460</v>
      </c>
      <c r="M455" t="s">
        <v>4407</v>
      </c>
      <c r="N455" t="s">
        <v>60</v>
      </c>
      <c r="O455" t="s">
        <v>34</v>
      </c>
      <c r="P455" s="3">
        <v>3496</v>
      </c>
      <c r="Q455" s="3">
        <v>3496</v>
      </c>
      <c r="R455">
        <v>0</v>
      </c>
      <c r="S455" s="3">
        <v>3496</v>
      </c>
      <c r="T455" t="s">
        <v>4408</v>
      </c>
      <c r="U455">
        <v>7932908</v>
      </c>
    </row>
    <row r="456" spans="1:21" x14ac:dyDescent="0.25">
      <c r="A456" s="9" t="s">
        <v>4401</v>
      </c>
      <c r="B456" s="10">
        <v>44049</v>
      </c>
      <c r="C456" s="1">
        <v>44048</v>
      </c>
      <c r="D456" t="s">
        <v>4402</v>
      </c>
      <c r="E456" s="11">
        <v>0.375</v>
      </c>
      <c r="F456" s="11">
        <v>0.375</v>
      </c>
      <c r="G456">
        <v>73325</v>
      </c>
      <c r="H456" t="s">
        <v>2434</v>
      </c>
      <c r="I456">
        <v>2</v>
      </c>
      <c r="J456" t="s">
        <v>4404</v>
      </c>
      <c r="K456" t="s">
        <v>4405</v>
      </c>
      <c r="L456" t="s">
        <v>4406</v>
      </c>
      <c r="M456" t="s">
        <v>4407</v>
      </c>
      <c r="N456" t="s">
        <v>60</v>
      </c>
      <c r="O456" t="s">
        <v>34</v>
      </c>
      <c r="P456" s="3">
        <v>332791</v>
      </c>
      <c r="Q456" s="3">
        <v>332791</v>
      </c>
      <c r="R456">
        <v>0</v>
      </c>
      <c r="S456" s="3">
        <v>332791</v>
      </c>
      <c r="T456" t="s">
        <v>4408</v>
      </c>
      <c r="U456">
        <v>7932908</v>
      </c>
    </row>
    <row r="457" spans="1:21" x14ac:dyDescent="0.25">
      <c r="A457" s="9" t="s">
        <v>4401</v>
      </c>
      <c r="B457" s="10">
        <v>44049</v>
      </c>
      <c r="C457" s="1">
        <v>44048</v>
      </c>
      <c r="D457" t="s">
        <v>4402</v>
      </c>
      <c r="E457" s="11">
        <v>0.375</v>
      </c>
      <c r="F457" s="11">
        <v>0.375</v>
      </c>
      <c r="G457">
        <v>73328</v>
      </c>
      <c r="H457" t="s">
        <v>4851</v>
      </c>
      <c r="I457" t="s">
        <v>187</v>
      </c>
      <c r="J457" t="s">
        <v>4458</v>
      </c>
      <c r="K457" t="s">
        <v>4459</v>
      </c>
      <c r="L457" t="s">
        <v>4460</v>
      </c>
      <c r="M457" t="s">
        <v>4407</v>
      </c>
      <c r="N457" t="s">
        <v>60</v>
      </c>
      <c r="O457" t="s">
        <v>34</v>
      </c>
      <c r="P457" s="3">
        <v>15675</v>
      </c>
      <c r="Q457" s="3">
        <v>15675</v>
      </c>
      <c r="R457">
        <v>522</v>
      </c>
      <c r="S457" s="3">
        <v>15153</v>
      </c>
      <c r="T457" t="s">
        <v>4408</v>
      </c>
      <c r="U457">
        <v>7932908</v>
      </c>
    </row>
    <row r="458" spans="1:21" x14ac:dyDescent="0.25">
      <c r="A458" s="9" t="s">
        <v>4401</v>
      </c>
      <c r="B458" s="10">
        <v>44049</v>
      </c>
      <c r="C458" s="1">
        <v>44048</v>
      </c>
      <c r="D458" t="s">
        <v>4402</v>
      </c>
      <c r="E458" s="11">
        <v>0.375</v>
      </c>
      <c r="F458" s="11">
        <v>0.375</v>
      </c>
      <c r="G458">
        <v>73329</v>
      </c>
      <c r="H458" t="s">
        <v>4852</v>
      </c>
      <c r="I458">
        <v>2</v>
      </c>
      <c r="J458" t="s">
        <v>4404</v>
      </c>
      <c r="K458" t="s">
        <v>4405</v>
      </c>
      <c r="L458" t="s">
        <v>4406</v>
      </c>
      <c r="M458" t="s">
        <v>4407</v>
      </c>
      <c r="N458" t="s">
        <v>60</v>
      </c>
      <c r="O458" t="s">
        <v>34</v>
      </c>
      <c r="P458" s="3">
        <v>3916</v>
      </c>
      <c r="Q458" s="3">
        <v>3916</v>
      </c>
      <c r="R458">
        <v>600</v>
      </c>
      <c r="S458" s="3">
        <v>3316</v>
      </c>
      <c r="T458" t="s">
        <v>4408</v>
      </c>
      <c r="U458">
        <v>7932908</v>
      </c>
    </row>
    <row r="459" spans="1:21" x14ac:dyDescent="0.25">
      <c r="A459" s="9" t="s">
        <v>4401</v>
      </c>
      <c r="B459" s="10">
        <v>44049</v>
      </c>
      <c r="C459" s="1">
        <v>44048</v>
      </c>
      <c r="D459" t="s">
        <v>4402</v>
      </c>
      <c r="E459" s="11">
        <v>0.375</v>
      </c>
      <c r="F459" s="11">
        <v>0.375</v>
      </c>
      <c r="G459">
        <v>73334</v>
      </c>
      <c r="H459" t="s">
        <v>2451</v>
      </c>
      <c r="I459">
        <v>2</v>
      </c>
      <c r="J459" t="s">
        <v>4404</v>
      </c>
      <c r="K459" t="s">
        <v>4405</v>
      </c>
      <c r="L459" t="s">
        <v>4406</v>
      </c>
      <c r="M459" t="s">
        <v>4407</v>
      </c>
      <c r="N459" t="s">
        <v>60</v>
      </c>
      <c r="O459" t="s">
        <v>34</v>
      </c>
      <c r="P459" s="3">
        <v>143059</v>
      </c>
      <c r="Q459" s="3">
        <v>143059</v>
      </c>
      <c r="R459" s="3">
        <v>135168</v>
      </c>
      <c r="S459" s="3">
        <v>7891</v>
      </c>
      <c r="T459" t="s">
        <v>4408</v>
      </c>
      <c r="U459">
        <v>7932908</v>
      </c>
    </row>
    <row r="460" spans="1:21" x14ac:dyDescent="0.25">
      <c r="A460" s="9" t="s">
        <v>4401</v>
      </c>
      <c r="B460" s="10">
        <v>44049</v>
      </c>
      <c r="C460" s="1">
        <v>44048</v>
      </c>
      <c r="D460" t="s">
        <v>4402</v>
      </c>
      <c r="E460" s="11">
        <v>0.375</v>
      </c>
      <c r="F460" s="11">
        <v>0.375</v>
      </c>
      <c r="G460">
        <v>73335</v>
      </c>
      <c r="H460" t="s">
        <v>4853</v>
      </c>
      <c r="I460">
        <v>1</v>
      </c>
      <c r="J460" t="s">
        <v>4458</v>
      </c>
      <c r="K460" t="s">
        <v>4459</v>
      </c>
      <c r="L460" t="s">
        <v>4460</v>
      </c>
      <c r="M460" t="s">
        <v>4407</v>
      </c>
      <c r="N460" t="s">
        <v>60</v>
      </c>
      <c r="O460" t="s">
        <v>34</v>
      </c>
      <c r="P460" s="3">
        <v>3991</v>
      </c>
      <c r="Q460" s="3">
        <v>3991</v>
      </c>
      <c r="R460">
        <v>0</v>
      </c>
      <c r="S460" s="3">
        <v>3991</v>
      </c>
      <c r="T460" t="s">
        <v>4408</v>
      </c>
      <c r="U460">
        <v>7932908</v>
      </c>
    </row>
    <row r="461" spans="1:21" x14ac:dyDescent="0.25">
      <c r="A461" s="9" t="s">
        <v>4401</v>
      </c>
      <c r="B461" s="10">
        <v>44049</v>
      </c>
      <c r="C461" s="1">
        <v>44048</v>
      </c>
      <c r="D461" t="s">
        <v>4402</v>
      </c>
      <c r="E461" s="11">
        <v>0.375</v>
      </c>
      <c r="F461" s="11">
        <v>0.375</v>
      </c>
      <c r="G461">
        <v>73337</v>
      </c>
      <c r="H461" t="s">
        <v>4854</v>
      </c>
      <c r="I461" t="s">
        <v>187</v>
      </c>
      <c r="J461" t="s">
        <v>4458</v>
      </c>
      <c r="K461" t="s">
        <v>4459</v>
      </c>
      <c r="L461" t="s">
        <v>4460</v>
      </c>
      <c r="M461" t="s">
        <v>4407</v>
      </c>
      <c r="N461" t="s">
        <v>60</v>
      </c>
      <c r="O461" t="s">
        <v>34</v>
      </c>
      <c r="P461" s="3">
        <v>15399</v>
      </c>
      <c r="Q461" s="3">
        <v>15399</v>
      </c>
      <c r="R461">
        <v>0</v>
      </c>
      <c r="S461" s="3">
        <v>15399</v>
      </c>
      <c r="T461" t="s">
        <v>4408</v>
      </c>
      <c r="U461">
        <v>7932908</v>
      </c>
    </row>
    <row r="462" spans="1:21" x14ac:dyDescent="0.25">
      <c r="A462" s="9" t="s">
        <v>4401</v>
      </c>
      <c r="B462" s="10">
        <v>44049</v>
      </c>
      <c r="C462" s="1">
        <v>44048</v>
      </c>
      <c r="D462" t="s">
        <v>4402</v>
      </c>
      <c r="E462" s="11">
        <v>0.375</v>
      </c>
      <c r="F462" s="11">
        <v>0.375</v>
      </c>
      <c r="G462">
        <v>73338</v>
      </c>
      <c r="H462" t="s">
        <v>4855</v>
      </c>
      <c r="I462" t="s">
        <v>367</v>
      </c>
      <c r="J462" t="s">
        <v>4458</v>
      </c>
      <c r="K462" t="s">
        <v>4459</v>
      </c>
      <c r="L462" t="s">
        <v>4460</v>
      </c>
      <c r="M462" t="s">
        <v>4407</v>
      </c>
      <c r="N462" t="s">
        <v>60</v>
      </c>
      <c r="O462" t="s">
        <v>34</v>
      </c>
      <c r="P462" s="3">
        <v>16711</v>
      </c>
      <c r="Q462" s="3">
        <v>16711</v>
      </c>
      <c r="R462">
        <v>198</v>
      </c>
      <c r="S462" s="3">
        <v>16513</v>
      </c>
      <c r="T462" t="s">
        <v>4408</v>
      </c>
      <c r="U462">
        <v>7932908</v>
      </c>
    </row>
    <row r="463" spans="1:21" x14ac:dyDescent="0.25">
      <c r="A463" s="9" t="s">
        <v>4401</v>
      </c>
      <c r="B463" s="10">
        <v>44049</v>
      </c>
      <c r="C463" s="1">
        <v>44048</v>
      </c>
      <c r="D463" t="s">
        <v>4402</v>
      </c>
      <c r="E463" s="11">
        <v>0.375</v>
      </c>
      <c r="F463" s="11">
        <v>0.375</v>
      </c>
      <c r="G463">
        <v>73339</v>
      </c>
      <c r="H463" t="s">
        <v>4856</v>
      </c>
      <c r="I463">
        <v>1</v>
      </c>
      <c r="J463" t="s">
        <v>4404</v>
      </c>
      <c r="K463" t="s">
        <v>4405</v>
      </c>
      <c r="L463" t="s">
        <v>4406</v>
      </c>
      <c r="M463" t="s">
        <v>4407</v>
      </c>
      <c r="N463" t="s">
        <v>60</v>
      </c>
      <c r="O463" t="s">
        <v>34</v>
      </c>
      <c r="P463" s="3">
        <v>267711</v>
      </c>
      <c r="Q463" s="3">
        <v>267711</v>
      </c>
      <c r="R463" s="3">
        <v>129844</v>
      </c>
      <c r="S463" s="3">
        <v>137867</v>
      </c>
      <c r="T463" t="s">
        <v>4408</v>
      </c>
      <c r="U463">
        <v>7932908</v>
      </c>
    </row>
    <row r="464" spans="1:21" x14ac:dyDescent="0.25">
      <c r="A464" s="9" t="s">
        <v>4401</v>
      </c>
      <c r="B464" s="10">
        <v>44049</v>
      </c>
      <c r="C464" s="1">
        <v>44048</v>
      </c>
      <c r="D464" t="s">
        <v>4402</v>
      </c>
      <c r="E464" s="11">
        <v>0.375</v>
      </c>
      <c r="F464" s="11">
        <v>0.375</v>
      </c>
      <c r="G464">
        <v>73341</v>
      </c>
      <c r="H464" t="s">
        <v>4857</v>
      </c>
      <c r="I464" t="s">
        <v>367</v>
      </c>
      <c r="J464" t="s">
        <v>4458</v>
      </c>
      <c r="K464" t="s">
        <v>4459</v>
      </c>
      <c r="L464" t="s">
        <v>4460</v>
      </c>
      <c r="M464" t="s">
        <v>4407</v>
      </c>
      <c r="N464" t="s">
        <v>60</v>
      </c>
      <c r="O464" t="s">
        <v>34</v>
      </c>
      <c r="P464" s="3">
        <v>4046</v>
      </c>
      <c r="Q464" s="3">
        <v>4046</v>
      </c>
      <c r="R464">
        <v>1</v>
      </c>
      <c r="S464" s="3">
        <v>4045</v>
      </c>
      <c r="T464" t="s">
        <v>4408</v>
      </c>
      <c r="U464">
        <v>7932908</v>
      </c>
    </row>
    <row r="465" spans="1:21" x14ac:dyDescent="0.25">
      <c r="A465" s="9" t="s">
        <v>4401</v>
      </c>
      <c r="B465" s="10">
        <v>44049</v>
      </c>
      <c r="C465" s="1">
        <v>44048</v>
      </c>
      <c r="D465" t="s">
        <v>4402</v>
      </c>
      <c r="E465" s="11">
        <v>0.375</v>
      </c>
      <c r="F465" s="11">
        <v>0.375</v>
      </c>
      <c r="G465">
        <v>73345</v>
      </c>
      <c r="H465" t="s">
        <v>4858</v>
      </c>
      <c r="I465" t="s">
        <v>367</v>
      </c>
      <c r="J465" t="s">
        <v>4458</v>
      </c>
      <c r="K465" t="s">
        <v>4459</v>
      </c>
      <c r="L465" t="s">
        <v>4460</v>
      </c>
      <c r="M465" t="s">
        <v>4407</v>
      </c>
      <c r="N465" t="s">
        <v>60</v>
      </c>
      <c r="O465" t="s">
        <v>34</v>
      </c>
      <c r="P465" s="3">
        <v>36172</v>
      </c>
      <c r="Q465" s="3">
        <v>36172</v>
      </c>
      <c r="R465">
        <v>0</v>
      </c>
      <c r="S465" s="3">
        <v>36172</v>
      </c>
      <c r="T465" t="s">
        <v>4408</v>
      </c>
      <c r="U465">
        <v>7932908</v>
      </c>
    </row>
    <row r="466" spans="1:21" x14ac:dyDescent="0.25">
      <c r="A466" s="9" t="s">
        <v>4401</v>
      </c>
      <c r="B466" s="10">
        <v>44049</v>
      </c>
      <c r="C466" s="1">
        <v>44048</v>
      </c>
      <c r="D466" t="s">
        <v>4402</v>
      </c>
      <c r="E466" s="11">
        <v>0.375</v>
      </c>
      <c r="F466" s="11">
        <v>0.375</v>
      </c>
      <c r="G466">
        <v>73346</v>
      </c>
      <c r="H466" t="s">
        <v>4859</v>
      </c>
      <c r="I466">
        <v>2</v>
      </c>
      <c r="J466" t="s">
        <v>4404</v>
      </c>
      <c r="K466" t="s">
        <v>4405</v>
      </c>
      <c r="L466" t="s">
        <v>4406</v>
      </c>
      <c r="M466" t="s">
        <v>4407</v>
      </c>
      <c r="N466" t="s">
        <v>60</v>
      </c>
      <c r="O466" t="s">
        <v>34</v>
      </c>
      <c r="P466" s="3">
        <v>230707</v>
      </c>
      <c r="Q466" s="3">
        <v>230707</v>
      </c>
      <c r="R466" s="3">
        <v>113264</v>
      </c>
      <c r="S466" s="3">
        <v>117443</v>
      </c>
      <c r="T466" t="s">
        <v>4408</v>
      </c>
      <c r="U466">
        <v>7932908</v>
      </c>
    </row>
    <row r="467" spans="1:21" x14ac:dyDescent="0.25">
      <c r="A467" s="9" t="s">
        <v>4401</v>
      </c>
      <c r="B467" s="10">
        <v>44049</v>
      </c>
      <c r="C467" s="1">
        <v>44048</v>
      </c>
      <c r="D467" t="s">
        <v>4402</v>
      </c>
      <c r="E467" s="11">
        <v>0.375</v>
      </c>
      <c r="F467" s="11">
        <v>0.375</v>
      </c>
      <c r="G467">
        <v>73348</v>
      </c>
      <c r="H467" t="s">
        <v>2483</v>
      </c>
      <c r="I467">
        <v>1</v>
      </c>
      <c r="J467" t="s">
        <v>4404</v>
      </c>
      <c r="K467" t="s">
        <v>4405</v>
      </c>
      <c r="L467" t="s">
        <v>4406</v>
      </c>
      <c r="M467" t="s">
        <v>4407</v>
      </c>
      <c r="N467" t="s">
        <v>60</v>
      </c>
      <c r="O467" t="s">
        <v>34</v>
      </c>
      <c r="P467" s="3">
        <v>16248</v>
      </c>
      <c r="Q467" s="3">
        <v>16248</v>
      </c>
      <c r="R467">
        <v>1</v>
      </c>
      <c r="S467" s="3">
        <v>16247</v>
      </c>
      <c r="T467" t="s">
        <v>4408</v>
      </c>
      <c r="U467">
        <v>7932908</v>
      </c>
    </row>
    <row r="468" spans="1:21" x14ac:dyDescent="0.25">
      <c r="A468" s="9" t="s">
        <v>4401</v>
      </c>
      <c r="B468" s="10">
        <v>44049</v>
      </c>
      <c r="C468" s="1">
        <v>44048</v>
      </c>
      <c r="D468" t="s">
        <v>4402</v>
      </c>
      <c r="E468" s="11">
        <v>0.375</v>
      </c>
      <c r="F468" s="11">
        <v>0.375</v>
      </c>
      <c r="G468">
        <v>73349</v>
      </c>
      <c r="H468" t="s">
        <v>4860</v>
      </c>
      <c r="I468">
        <v>2</v>
      </c>
      <c r="J468" t="s">
        <v>4404</v>
      </c>
      <c r="K468" t="s">
        <v>4405</v>
      </c>
      <c r="L468" t="s">
        <v>4406</v>
      </c>
      <c r="M468" t="s">
        <v>4407</v>
      </c>
      <c r="N468" t="s">
        <v>60</v>
      </c>
      <c r="O468" t="s">
        <v>34</v>
      </c>
      <c r="P468" s="3">
        <v>207092</v>
      </c>
      <c r="Q468" s="3">
        <v>207092</v>
      </c>
      <c r="R468" s="3">
        <v>172649</v>
      </c>
      <c r="S468" s="3">
        <v>34443</v>
      </c>
      <c r="T468" t="s">
        <v>4408</v>
      </c>
      <c r="U468">
        <v>7932908</v>
      </c>
    </row>
    <row r="469" spans="1:21" x14ac:dyDescent="0.25">
      <c r="A469" s="9" t="s">
        <v>4401</v>
      </c>
      <c r="B469" s="10">
        <v>44049</v>
      </c>
      <c r="C469" s="1">
        <v>44048</v>
      </c>
      <c r="D469" t="s">
        <v>4402</v>
      </c>
      <c r="E469" s="11">
        <v>0.375</v>
      </c>
      <c r="F469" s="11">
        <v>0.375</v>
      </c>
      <c r="G469">
        <v>73350</v>
      </c>
      <c r="H469" t="s">
        <v>2493</v>
      </c>
      <c r="I469" t="s">
        <v>543</v>
      </c>
      <c r="J469" t="s">
        <v>4404</v>
      </c>
      <c r="K469" t="s">
        <v>4405</v>
      </c>
      <c r="L469" t="s">
        <v>4406</v>
      </c>
      <c r="M469" t="s">
        <v>4407</v>
      </c>
      <c r="N469" t="s">
        <v>60</v>
      </c>
      <c r="O469" t="s">
        <v>34</v>
      </c>
      <c r="P469" s="3">
        <v>55873</v>
      </c>
      <c r="Q469" s="3">
        <v>55873</v>
      </c>
      <c r="R469" s="3">
        <v>1370</v>
      </c>
      <c r="S469" s="3">
        <v>54503</v>
      </c>
      <c r="T469" t="s">
        <v>4408</v>
      </c>
      <c r="U469">
        <v>7932908</v>
      </c>
    </row>
    <row r="470" spans="1:21" x14ac:dyDescent="0.25">
      <c r="A470" s="9" t="s">
        <v>4401</v>
      </c>
      <c r="B470" s="10">
        <v>44049</v>
      </c>
      <c r="C470" s="1">
        <v>44048</v>
      </c>
      <c r="D470" t="s">
        <v>4402</v>
      </c>
      <c r="E470" s="11">
        <v>0.375</v>
      </c>
      <c r="F470" s="11">
        <v>0.375</v>
      </c>
      <c r="G470">
        <v>73355</v>
      </c>
      <c r="H470" t="s">
        <v>2497</v>
      </c>
      <c r="I470">
        <v>1</v>
      </c>
      <c r="J470" t="s">
        <v>4458</v>
      </c>
      <c r="K470" t="s">
        <v>4459</v>
      </c>
      <c r="L470" t="s">
        <v>4460</v>
      </c>
      <c r="M470" t="s">
        <v>4407</v>
      </c>
      <c r="N470" t="s">
        <v>60</v>
      </c>
      <c r="O470" t="s">
        <v>34</v>
      </c>
      <c r="P470" s="3">
        <v>3328</v>
      </c>
      <c r="Q470" s="3">
        <v>3328</v>
      </c>
      <c r="R470">
        <v>1</v>
      </c>
      <c r="S470" s="3">
        <v>3327</v>
      </c>
      <c r="T470" t="s">
        <v>4408</v>
      </c>
      <c r="U470">
        <v>7932908</v>
      </c>
    </row>
    <row r="471" spans="1:21" x14ac:dyDescent="0.25">
      <c r="A471" s="9" t="s">
        <v>4401</v>
      </c>
      <c r="B471" s="10">
        <v>44049</v>
      </c>
      <c r="C471" s="1">
        <v>44048</v>
      </c>
      <c r="D471" t="s">
        <v>4402</v>
      </c>
      <c r="E471" s="11">
        <v>0.375</v>
      </c>
      <c r="F471" s="11">
        <v>0.375</v>
      </c>
      <c r="G471">
        <v>73362</v>
      </c>
      <c r="H471" t="s">
        <v>4861</v>
      </c>
      <c r="I471" t="s">
        <v>367</v>
      </c>
      <c r="J471" t="s">
        <v>4458</v>
      </c>
      <c r="K471" t="s">
        <v>4459</v>
      </c>
      <c r="L471" t="s">
        <v>4460</v>
      </c>
      <c r="M471" t="s">
        <v>4407</v>
      </c>
      <c r="N471" t="s">
        <v>60</v>
      </c>
      <c r="O471" t="s">
        <v>34</v>
      </c>
      <c r="P471" s="3">
        <v>9037</v>
      </c>
      <c r="Q471" s="3">
        <v>9037</v>
      </c>
      <c r="R471">
        <v>1</v>
      </c>
      <c r="S471" s="3">
        <v>9036</v>
      </c>
      <c r="T471" t="s">
        <v>4408</v>
      </c>
      <c r="U471">
        <v>7932908</v>
      </c>
    </row>
    <row r="472" spans="1:21" x14ac:dyDescent="0.25">
      <c r="A472" s="9" t="s">
        <v>4401</v>
      </c>
      <c r="B472" s="10">
        <v>44049</v>
      </c>
      <c r="C472" s="1">
        <v>44048</v>
      </c>
      <c r="D472" t="s">
        <v>4402</v>
      </c>
      <c r="E472" s="11">
        <v>0.375</v>
      </c>
      <c r="F472" s="11">
        <v>0.375</v>
      </c>
      <c r="G472">
        <v>73364</v>
      </c>
      <c r="H472" t="s">
        <v>4862</v>
      </c>
      <c r="I472" t="s">
        <v>367</v>
      </c>
      <c r="J472" t="s">
        <v>4458</v>
      </c>
      <c r="K472" t="s">
        <v>4459</v>
      </c>
      <c r="L472" t="s">
        <v>4460</v>
      </c>
      <c r="M472" t="s">
        <v>4407</v>
      </c>
      <c r="N472" t="s">
        <v>60</v>
      </c>
      <c r="O472" t="s">
        <v>34</v>
      </c>
      <c r="P472" s="3">
        <v>3896</v>
      </c>
      <c r="Q472" s="3">
        <v>3896</v>
      </c>
      <c r="R472">
        <v>0</v>
      </c>
      <c r="S472" s="3">
        <v>3896</v>
      </c>
      <c r="T472" t="s">
        <v>4408</v>
      </c>
      <c r="U472">
        <v>7932908</v>
      </c>
    </row>
    <row r="473" spans="1:21" x14ac:dyDescent="0.25">
      <c r="A473" s="9" t="s">
        <v>4401</v>
      </c>
      <c r="B473" s="10">
        <v>44049</v>
      </c>
      <c r="C473" s="1">
        <v>44048</v>
      </c>
      <c r="D473" t="s">
        <v>4402</v>
      </c>
      <c r="E473" s="11">
        <v>0.375</v>
      </c>
      <c r="F473" s="11">
        <v>0.375</v>
      </c>
      <c r="G473">
        <v>73379</v>
      </c>
      <c r="H473" t="s">
        <v>4863</v>
      </c>
      <c r="I473">
        <v>2</v>
      </c>
      <c r="J473" t="s">
        <v>4404</v>
      </c>
      <c r="K473" t="s">
        <v>4405</v>
      </c>
      <c r="L473" t="s">
        <v>4406</v>
      </c>
      <c r="M473" t="s">
        <v>4407</v>
      </c>
      <c r="N473" t="s">
        <v>60</v>
      </c>
      <c r="O473" t="s">
        <v>34</v>
      </c>
      <c r="P473" s="3">
        <v>607831</v>
      </c>
      <c r="Q473" s="3">
        <v>607831</v>
      </c>
      <c r="R473">
        <v>0</v>
      </c>
      <c r="S473" s="3">
        <v>607831</v>
      </c>
      <c r="T473" t="s">
        <v>4408</v>
      </c>
      <c r="U473">
        <v>7932908</v>
      </c>
    </row>
    <row r="474" spans="1:21" x14ac:dyDescent="0.25">
      <c r="A474" s="9" t="s">
        <v>4401</v>
      </c>
      <c r="B474" s="10">
        <v>44049</v>
      </c>
      <c r="C474" s="1">
        <v>44048</v>
      </c>
      <c r="D474" t="s">
        <v>4402</v>
      </c>
      <c r="E474" s="11">
        <v>0.375</v>
      </c>
      <c r="F474" s="11">
        <v>0.375</v>
      </c>
      <c r="G474">
        <v>73385</v>
      </c>
      <c r="H474" t="s">
        <v>4864</v>
      </c>
      <c r="I474" t="s">
        <v>367</v>
      </c>
      <c r="J474" t="s">
        <v>4458</v>
      </c>
      <c r="K474" t="s">
        <v>4459</v>
      </c>
      <c r="L474" t="s">
        <v>4460</v>
      </c>
      <c r="M474" t="s">
        <v>4407</v>
      </c>
      <c r="N474" t="s">
        <v>60</v>
      </c>
      <c r="O474" t="s">
        <v>34</v>
      </c>
      <c r="P474" s="3">
        <v>9005</v>
      </c>
      <c r="Q474" s="3">
        <v>9005</v>
      </c>
      <c r="R474">
        <v>0</v>
      </c>
      <c r="S474" s="3">
        <v>9005</v>
      </c>
      <c r="T474" t="s">
        <v>4408</v>
      </c>
      <c r="U474">
        <v>7932908</v>
      </c>
    </row>
    <row r="475" spans="1:21" x14ac:dyDescent="0.25">
      <c r="A475" s="9" t="s">
        <v>4401</v>
      </c>
      <c r="B475" s="10">
        <v>44049</v>
      </c>
      <c r="C475" s="1">
        <v>44048</v>
      </c>
      <c r="D475" t="s">
        <v>4402</v>
      </c>
      <c r="E475" s="11">
        <v>0.375</v>
      </c>
      <c r="F475" s="11">
        <v>0.375</v>
      </c>
      <c r="G475">
        <v>73388</v>
      </c>
      <c r="H475" t="s">
        <v>4865</v>
      </c>
      <c r="I475" t="s">
        <v>367</v>
      </c>
      <c r="J475" t="s">
        <v>4404</v>
      </c>
      <c r="K475" t="s">
        <v>4405</v>
      </c>
      <c r="L475" t="s">
        <v>4406</v>
      </c>
      <c r="M475" t="s">
        <v>4407</v>
      </c>
      <c r="N475" t="s">
        <v>34</v>
      </c>
      <c r="O475" t="s">
        <v>34</v>
      </c>
      <c r="P475" s="3">
        <v>8879</v>
      </c>
      <c r="Q475" s="3">
        <v>8879</v>
      </c>
      <c r="R475">
        <v>297</v>
      </c>
      <c r="S475" s="3">
        <v>8582</v>
      </c>
      <c r="T475" t="s">
        <v>4408</v>
      </c>
      <c r="U475">
        <v>7932908</v>
      </c>
    </row>
    <row r="476" spans="1:21" x14ac:dyDescent="0.25">
      <c r="A476" s="9" t="s">
        <v>4401</v>
      </c>
      <c r="B476" s="10">
        <v>44049</v>
      </c>
      <c r="C476" s="1">
        <v>44048</v>
      </c>
      <c r="D476" t="s">
        <v>4402</v>
      </c>
      <c r="E476" s="11">
        <v>0.375</v>
      </c>
      <c r="F476" s="11">
        <v>0.375</v>
      </c>
      <c r="G476">
        <v>73391</v>
      </c>
      <c r="H476" t="s">
        <v>4866</v>
      </c>
      <c r="I476" t="s">
        <v>367</v>
      </c>
      <c r="J476" t="s">
        <v>4458</v>
      </c>
      <c r="K476" t="s">
        <v>4459</v>
      </c>
      <c r="L476" t="s">
        <v>4460</v>
      </c>
      <c r="M476" t="s">
        <v>4407</v>
      </c>
      <c r="N476" t="s">
        <v>60</v>
      </c>
      <c r="O476" t="s">
        <v>34</v>
      </c>
      <c r="P476" s="3">
        <v>9732</v>
      </c>
      <c r="Q476" s="3">
        <v>9732</v>
      </c>
      <c r="R476">
        <v>819</v>
      </c>
      <c r="S476" s="3">
        <v>8913</v>
      </c>
      <c r="T476" t="s">
        <v>4408</v>
      </c>
      <c r="U476">
        <v>7932908</v>
      </c>
    </row>
    <row r="477" spans="1:21" x14ac:dyDescent="0.25">
      <c r="A477" s="9" t="s">
        <v>4401</v>
      </c>
      <c r="B477" s="10">
        <v>44049</v>
      </c>
      <c r="C477" s="1">
        <v>44048</v>
      </c>
      <c r="D477" t="s">
        <v>4402</v>
      </c>
      <c r="E477" s="11">
        <v>0.375</v>
      </c>
      <c r="F477" s="11">
        <v>0.375</v>
      </c>
      <c r="G477">
        <v>73393</v>
      </c>
      <c r="H477" t="s">
        <v>4867</v>
      </c>
      <c r="I477" t="s">
        <v>543</v>
      </c>
      <c r="J477" t="s">
        <v>4404</v>
      </c>
      <c r="K477" t="s">
        <v>4405</v>
      </c>
      <c r="L477" t="s">
        <v>4406</v>
      </c>
      <c r="M477" t="s">
        <v>4407</v>
      </c>
      <c r="N477" t="s">
        <v>60</v>
      </c>
      <c r="O477" t="s">
        <v>34</v>
      </c>
      <c r="P477" s="3">
        <v>4496</v>
      </c>
      <c r="Q477" s="3">
        <v>4496</v>
      </c>
      <c r="R477">
        <v>0</v>
      </c>
      <c r="S477" s="3">
        <v>4496</v>
      </c>
      <c r="T477" t="s">
        <v>4408</v>
      </c>
      <c r="U477">
        <v>7932908</v>
      </c>
    </row>
    <row r="478" spans="1:21" x14ac:dyDescent="0.25">
      <c r="A478" s="9" t="s">
        <v>4401</v>
      </c>
      <c r="B478" s="10">
        <v>44049</v>
      </c>
      <c r="C478" s="1">
        <v>44048</v>
      </c>
      <c r="D478" t="s">
        <v>4402</v>
      </c>
      <c r="E478" s="11">
        <v>0.375</v>
      </c>
      <c r="F478" s="11">
        <v>0.375</v>
      </c>
      <c r="G478">
        <v>73399</v>
      </c>
      <c r="H478" t="s">
        <v>4868</v>
      </c>
      <c r="I478" t="s">
        <v>367</v>
      </c>
      <c r="J478" t="s">
        <v>4458</v>
      </c>
      <c r="K478" t="s">
        <v>4459</v>
      </c>
      <c r="L478" t="s">
        <v>4460</v>
      </c>
      <c r="M478" t="s">
        <v>4407</v>
      </c>
      <c r="N478" t="s">
        <v>60</v>
      </c>
      <c r="O478" t="s">
        <v>34</v>
      </c>
      <c r="P478" s="3">
        <v>3601</v>
      </c>
      <c r="Q478" s="3">
        <v>3601</v>
      </c>
      <c r="R478">
        <v>90</v>
      </c>
      <c r="S478" s="3">
        <v>3511</v>
      </c>
      <c r="T478" t="s">
        <v>4408</v>
      </c>
      <c r="U478">
        <v>7932908</v>
      </c>
    </row>
    <row r="479" spans="1:21" x14ac:dyDescent="0.25">
      <c r="A479" s="9" t="s">
        <v>4401</v>
      </c>
      <c r="B479" s="10">
        <v>44049</v>
      </c>
      <c r="C479" s="1">
        <v>44048</v>
      </c>
      <c r="D479" t="s">
        <v>4402</v>
      </c>
      <c r="E479" s="11">
        <v>0.375</v>
      </c>
      <c r="F479" s="11">
        <v>0.375</v>
      </c>
      <c r="G479">
        <v>73402</v>
      </c>
      <c r="H479" t="s">
        <v>4869</v>
      </c>
      <c r="I479">
        <v>2</v>
      </c>
      <c r="J479" t="s">
        <v>4458</v>
      </c>
      <c r="K479" t="s">
        <v>4459</v>
      </c>
      <c r="L479" t="s">
        <v>4460</v>
      </c>
      <c r="M479" t="s">
        <v>4407</v>
      </c>
      <c r="N479" t="s">
        <v>60</v>
      </c>
      <c r="O479" t="s">
        <v>34</v>
      </c>
      <c r="P479" s="3">
        <v>15121</v>
      </c>
      <c r="Q479" s="3">
        <v>15121</v>
      </c>
      <c r="R479">
        <v>750</v>
      </c>
      <c r="S479" s="3">
        <v>14371</v>
      </c>
      <c r="T479" t="s">
        <v>4408</v>
      </c>
      <c r="U479">
        <v>7932908</v>
      </c>
    </row>
    <row r="480" spans="1:21" x14ac:dyDescent="0.25">
      <c r="A480" s="9" t="s">
        <v>4401</v>
      </c>
      <c r="B480" s="10">
        <v>44049</v>
      </c>
      <c r="C480" s="1">
        <v>44048</v>
      </c>
      <c r="D480" t="s">
        <v>4402</v>
      </c>
      <c r="E480" s="11">
        <v>0.375</v>
      </c>
      <c r="F480" s="11">
        <v>0.375</v>
      </c>
      <c r="G480">
        <v>73407</v>
      </c>
      <c r="H480" t="s">
        <v>4870</v>
      </c>
      <c r="I480" t="s">
        <v>367</v>
      </c>
      <c r="J480" t="s">
        <v>4458</v>
      </c>
      <c r="K480" t="s">
        <v>4459</v>
      </c>
      <c r="L480" t="s">
        <v>4460</v>
      </c>
      <c r="M480" t="s">
        <v>4407</v>
      </c>
      <c r="N480" t="s">
        <v>60</v>
      </c>
      <c r="O480" t="s">
        <v>34</v>
      </c>
      <c r="P480" s="3">
        <v>34246</v>
      </c>
      <c r="Q480" s="3">
        <v>34246</v>
      </c>
      <c r="R480">
        <v>300</v>
      </c>
      <c r="S480" s="3">
        <v>33946</v>
      </c>
      <c r="T480" t="s">
        <v>4408</v>
      </c>
      <c r="U480">
        <v>7932908</v>
      </c>
    </row>
    <row r="481" spans="1:21" x14ac:dyDescent="0.25">
      <c r="A481" s="9" t="s">
        <v>4401</v>
      </c>
      <c r="B481" s="10">
        <v>44049</v>
      </c>
      <c r="C481" s="1">
        <v>44048</v>
      </c>
      <c r="D481" t="s">
        <v>4402</v>
      </c>
      <c r="E481" s="11">
        <v>0.375</v>
      </c>
      <c r="F481" s="11">
        <v>0.375</v>
      </c>
      <c r="G481">
        <v>73409</v>
      </c>
      <c r="H481" t="s">
        <v>4871</v>
      </c>
      <c r="I481" t="s">
        <v>187</v>
      </c>
      <c r="J481" t="s">
        <v>4458</v>
      </c>
      <c r="K481" t="s">
        <v>4459</v>
      </c>
      <c r="L481" t="s">
        <v>4460</v>
      </c>
      <c r="M481" t="s">
        <v>4407</v>
      </c>
      <c r="N481" t="s">
        <v>60</v>
      </c>
      <c r="O481" t="s">
        <v>34</v>
      </c>
      <c r="P481" s="3">
        <v>9733</v>
      </c>
      <c r="Q481" s="3">
        <v>9733</v>
      </c>
      <c r="R481">
        <v>200</v>
      </c>
      <c r="S481" s="3">
        <v>9533</v>
      </c>
      <c r="T481" t="s">
        <v>4408</v>
      </c>
      <c r="U481">
        <v>7932908</v>
      </c>
    </row>
    <row r="482" spans="1:21" x14ac:dyDescent="0.25">
      <c r="A482" s="9" t="s">
        <v>4401</v>
      </c>
      <c r="B482" s="10">
        <v>44049</v>
      </c>
      <c r="C482" s="1">
        <v>44048</v>
      </c>
      <c r="D482" t="s">
        <v>4402</v>
      </c>
      <c r="E482" s="11">
        <v>0.375</v>
      </c>
      <c r="F482" s="11">
        <v>0.375</v>
      </c>
      <c r="G482">
        <v>73410</v>
      </c>
      <c r="H482" t="s">
        <v>4872</v>
      </c>
      <c r="I482" t="s">
        <v>187</v>
      </c>
      <c r="J482" t="s">
        <v>4458</v>
      </c>
      <c r="K482" t="s">
        <v>4459</v>
      </c>
      <c r="L482" t="s">
        <v>4460</v>
      </c>
      <c r="M482" t="s">
        <v>4407</v>
      </c>
      <c r="N482" t="s">
        <v>60</v>
      </c>
      <c r="O482" t="s">
        <v>34</v>
      </c>
      <c r="P482" s="3">
        <v>39370</v>
      </c>
      <c r="Q482" s="3">
        <v>39370</v>
      </c>
      <c r="R482" s="3">
        <v>2500</v>
      </c>
      <c r="S482" s="3">
        <v>36870</v>
      </c>
      <c r="T482" t="s">
        <v>4408</v>
      </c>
      <c r="U482">
        <v>7932908</v>
      </c>
    </row>
    <row r="483" spans="1:21" x14ac:dyDescent="0.25">
      <c r="A483" s="9" t="s">
        <v>4401</v>
      </c>
      <c r="B483" s="10">
        <v>44049</v>
      </c>
      <c r="C483" s="1">
        <v>44048</v>
      </c>
      <c r="D483" t="s">
        <v>4402</v>
      </c>
      <c r="E483" s="11">
        <v>0.375</v>
      </c>
      <c r="F483" s="11">
        <v>0.375</v>
      </c>
      <c r="G483">
        <v>73411</v>
      </c>
      <c r="H483" t="s">
        <v>4873</v>
      </c>
      <c r="I483" t="s">
        <v>543</v>
      </c>
      <c r="J483" t="s">
        <v>4404</v>
      </c>
      <c r="K483" t="s">
        <v>4405</v>
      </c>
      <c r="L483" t="s">
        <v>4406</v>
      </c>
      <c r="M483" t="s">
        <v>4407</v>
      </c>
      <c r="N483" t="s">
        <v>60</v>
      </c>
      <c r="O483" t="s">
        <v>34</v>
      </c>
      <c r="P483" s="3">
        <v>197914</v>
      </c>
      <c r="Q483" s="3">
        <v>197914</v>
      </c>
      <c r="R483">
        <v>0</v>
      </c>
      <c r="S483" s="3">
        <v>197914</v>
      </c>
      <c r="T483" t="s">
        <v>4408</v>
      </c>
      <c r="U483">
        <v>7932908</v>
      </c>
    </row>
    <row r="484" spans="1:21" x14ac:dyDescent="0.25">
      <c r="A484" s="9" t="s">
        <v>4401</v>
      </c>
      <c r="B484" s="10">
        <v>44049</v>
      </c>
      <c r="C484" s="1">
        <v>44048</v>
      </c>
      <c r="D484" t="s">
        <v>4402</v>
      </c>
      <c r="E484" s="11">
        <v>0.375</v>
      </c>
      <c r="F484" s="11">
        <v>0.375</v>
      </c>
      <c r="G484">
        <v>73412</v>
      </c>
      <c r="H484" t="s">
        <v>4874</v>
      </c>
      <c r="I484" t="s">
        <v>367</v>
      </c>
      <c r="J484" t="s">
        <v>4458</v>
      </c>
      <c r="K484" t="s">
        <v>4459</v>
      </c>
      <c r="L484" t="s">
        <v>4460</v>
      </c>
      <c r="M484" t="s">
        <v>4407</v>
      </c>
      <c r="N484" t="s">
        <v>60</v>
      </c>
      <c r="O484" t="s">
        <v>34</v>
      </c>
      <c r="P484" s="3">
        <v>4038</v>
      </c>
      <c r="Q484" s="3">
        <v>4038</v>
      </c>
      <c r="R484">
        <v>0</v>
      </c>
      <c r="S484" s="3">
        <v>4038</v>
      </c>
      <c r="T484" t="s">
        <v>4408</v>
      </c>
      <c r="U484">
        <v>7932908</v>
      </c>
    </row>
    <row r="485" spans="1:21" x14ac:dyDescent="0.25">
      <c r="A485" s="9" t="s">
        <v>4401</v>
      </c>
      <c r="B485" s="10">
        <v>44049</v>
      </c>
      <c r="C485" s="1">
        <v>44048</v>
      </c>
      <c r="D485" t="s">
        <v>4402</v>
      </c>
      <c r="E485" s="11">
        <v>0.375</v>
      </c>
      <c r="F485" s="11">
        <v>0.375</v>
      </c>
      <c r="G485">
        <v>73413</v>
      </c>
      <c r="H485" t="s">
        <v>2563</v>
      </c>
      <c r="I485">
        <v>2</v>
      </c>
      <c r="J485" t="s">
        <v>4458</v>
      </c>
      <c r="K485" t="s">
        <v>4459</v>
      </c>
      <c r="L485" t="s">
        <v>4460</v>
      </c>
      <c r="M485" t="s">
        <v>4407</v>
      </c>
      <c r="N485" t="s">
        <v>60</v>
      </c>
      <c r="O485" t="s">
        <v>34</v>
      </c>
      <c r="P485" s="3">
        <v>143338</v>
      </c>
      <c r="Q485" s="3">
        <v>143338</v>
      </c>
      <c r="R485" s="3">
        <v>160962</v>
      </c>
      <c r="S485">
        <v>0</v>
      </c>
      <c r="T485" t="s">
        <v>4408</v>
      </c>
      <c r="U485">
        <v>7932908</v>
      </c>
    </row>
    <row r="486" spans="1:21" x14ac:dyDescent="0.25">
      <c r="A486" s="9" t="s">
        <v>4401</v>
      </c>
      <c r="B486" s="10">
        <v>44049</v>
      </c>
      <c r="C486" s="1">
        <v>44048</v>
      </c>
      <c r="D486" t="s">
        <v>4402</v>
      </c>
      <c r="E486" s="11">
        <v>0.375</v>
      </c>
      <c r="F486" s="11">
        <v>0.375</v>
      </c>
      <c r="G486">
        <v>73414</v>
      </c>
      <c r="H486" t="s">
        <v>4875</v>
      </c>
      <c r="I486" t="s">
        <v>367</v>
      </c>
      <c r="J486" t="s">
        <v>4458</v>
      </c>
      <c r="K486" t="s">
        <v>4459</v>
      </c>
      <c r="L486" t="s">
        <v>4460</v>
      </c>
      <c r="M486" t="s">
        <v>4407</v>
      </c>
      <c r="N486" t="s">
        <v>60</v>
      </c>
      <c r="O486" t="s">
        <v>34</v>
      </c>
      <c r="P486" s="3">
        <v>37939</v>
      </c>
      <c r="Q486" s="3">
        <v>37939</v>
      </c>
      <c r="R486">
        <v>0</v>
      </c>
      <c r="S486" s="3">
        <v>37939</v>
      </c>
      <c r="T486" t="s">
        <v>4408</v>
      </c>
      <c r="U486">
        <v>7932908</v>
      </c>
    </row>
    <row r="487" spans="1:21" x14ac:dyDescent="0.25">
      <c r="A487" s="9" t="s">
        <v>4401</v>
      </c>
      <c r="B487" s="10">
        <v>44049</v>
      </c>
      <c r="C487" s="1">
        <v>44048</v>
      </c>
      <c r="D487" t="s">
        <v>4402</v>
      </c>
      <c r="E487" s="11">
        <v>0.375</v>
      </c>
      <c r="F487" s="11">
        <v>0.375</v>
      </c>
      <c r="G487">
        <v>73417</v>
      </c>
      <c r="H487" t="s">
        <v>4876</v>
      </c>
      <c r="I487" t="s">
        <v>367</v>
      </c>
      <c r="J487" t="s">
        <v>4458</v>
      </c>
      <c r="K487" t="s">
        <v>4459</v>
      </c>
      <c r="L487" t="s">
        <v>4460</v>
      </c>
      <c r="M487" t="s">
        <v>4407</v>
      </c>
      <c r="N487" t="s">
        <v>60</v>
      </c>
      <c r="O487" t="s">
        <v>34</v>
      </c>
      <c r="P487" s="3">
        <v>101771</v>
      </c>
      <c r="Q487" s="3">
        <v>147317</v>
      </c>
      <c r="R487" s="3">
        <v>40447</v>
      </c>
      <c r="S487" s="3">
        <v>106870</v>
      </c>
      <c r="T487" t="s">
        <v>4408</v>
      </c>
      <c r="U487">
        <v>7932908</v>
      </c>
    </row>
    <row r="488" spans="1:21" x14ac:dyDescent="0.25">
      <c r="A488" s="9" t="s">
        <v>4401</v>
      </c>
      <c r="B488" s="10">
        <v>44049</v>
      </c>
      <c r="C488" s="1">
        <v>44048</v>
      </c>
      <c r="D488" t="s">
        <v>4402</v>
      </c>
      <c r="E488" s="11">
        <v>0.375</v>
      </c>
      <c r="F488" s="11">
        <v>0.375</v>
      </c>
      <c r="G488">
        <v>73418</v>
      </c>
      <c r="H488" t="s">
        <v>4877</v>
      </c>
      <c r="I488" t="s">
        <v>367</v>
      </c>
      <c r="J488" t="s">
        <v>4458</v>
      </c>
      <c r="K488" t="s">
        <v>4459</v>
      </c>
      <c r="L488" t="s">
        <v>4460</v>
      </c>
      <c r="M488" t="s">
        <v>4407</v>
      </c>
      <c r="N488" t="s">
        <v>60</v>
      </c>
      <c r="O488" t="s">
        <v>34</v>
      </c>
      <c r="P488" s="3">
        <v>9722</v>
      </c>
      <c r="Q488" s="3">
        <v>9722</v>
      </c>
      <c r="R488">
        <v>0</v>
      </c>
      <c r="S488" s="3">
        <v>9722</v>
      </c>
      <c r="T488" t="s">
        <v>4408</v>
      </c>
      <c r="U488">
        <v>7932908</v>
      </c>
    </row>
    <row r="489" spans="1:21" x14ac:dyDescent="0.25">
      <c r="A489" s="9" t="s">
        <v>4401</v>
      </c>
      <c r="B489" s="10">
        <v>44049</v>
      </c>
      <c r="C489" s="1">
        <v>44048</v>
      </c>
      <c r="D489" t="s">
        <v>4402</v>
      </c>
      <c r="E489" s="11">
        <v>0.375</v>
      </c>
      <c r="F489" s="11">
        <v>0.375</v>
      </c>
      <c r="G489">
        <v>73422</v>
      </c>
      <c r="H489" t="s">
        <v>4878</v>
      </c>
      <c r="I489" t="s">
        <v>187</v>
      </c>
      <c r="J489" t="s">
        <v>4458</v>
      </c>
      <c r="K489" t="s">
        <v>4459</v>
      </c>
      <c r="L489" t="s">
        <v>4460</v>
      </c>
      <c r="M489" t="s">
        <v>4407</v>
      </c>
      <c r="N489" t="s">
        <v>60</v>
      </c>
      <c r="O489" t="s">
        <v>34</v>
      </c>
      <c r="P489" s="3">
        <v>14994</v>
      </c>
      <c r="Q489" s="3">
        <v>15838</v>
      </c>
      <c r="R489">
        <v>0</v>
      </c>
      <c r="S489" s="3">
        <v>15838</v>
      </c>
      <c r="T489" t="s">
        <v>4408</v>
      </c>
      <c r="U489">
        <v>7932908</v>
      </c>
    </row>
    <row r="490" spans="1:21" x14ac:dyDescent="0.25">
      <c r="A490" s="9" t="s">
        <v>4401</v>
      </c>
      <c r="B490" s="10">
        <v>44049</v>
      </c>
      <c r="C490" s="1">
        <v>44048</v>
      </c>
      <c r="D490" t="s">
        <v>4402</v>
      </c>
      <c r="E490" s="11">
        <v>0.375</v>
      </c>
      <c r="F490" s="11">
        <v>0.375</v>
      </c>
      <c r="G490">
        <v>73423</v>
      </c>
      <c r="H490" t="s">
        <v>4879</v>
      </c>
      <c r="I490">
        <v>1</v>
      </c>
      <c r="J490" t="s">
        <v>4404</v>
      </c>
      <c r="K490" t="s">
        <v>4405</v>
      </c>
      <c r="L490" t="s">
        <v>4406</v>
      </c>
      <c r="M490" t="s">
        <v>4407</v>
      </c>
      <c r="N490" t="s">
        <v>60</v>
      </c>
      <c r="O490" t="s">
        <v>34</v>
      </c>
      <c r="P490" s="3">
        <v>73234</v>
      </c>
      <c r="Q490" s="3">
        <v>73234</v>
      </c>
      <c r="R490">
        <v>0</v>
      </c>
      <c r="S490" s="3">
        <v>73234</v>
      </c>
      <c r="T490" t="s">
        <v>4408</v>
      </c>
      <c r="U490">
        <v>7932908</v>
      </c>
    </row>
    <row r="491" spans="1:21" x14ac:dyDescent="0.25">
      <c r="A491" s="9" t="s">
        <v>4401</v>
      </c>
      <c r="B491" s="10">
        <v>44049</v>
      </c>
      <c r="C491" s="1">
        <v>44048</v>
      </c>
      <c r="D491" t="s">
        <v>4402</v>
      </c>
      <c r="E491" s="11">
        <v>0.375</v>
      </c>
      <c r="F491" s="11">
        <v>0.375</v>
      </c>
      <c r="G491">
        <v>73424</v>
      </c>
      <c r="H491" t="s">
        <v>4880</v>
      </c>
      <c r="I491">
        <v>2</v>
      </c>
      <c r="J491" t="s">
        <v>4458</v>
      </c>
      <c r="K491" t="s">
        <v>4459</v>
      </c>
      <c r="L491" t="s">
        <v>4460</v>
      </c>
      <c r="M491" t="s">
        <v>4407</v>
      </c>
      <c r="N491" t="s">
        <v>60</v>
      </c>
      <c r="O491" t="s">
        <v>34</v>
      </c>
      <c r="P491" s="3">
        <v>14556</v>
      </c>
      <c r="Q491" s="3">
        <v>14556</v>
      </c>
      <c r="R491" s="3">
        <v>2200</v>
      </c>
      <c r="S491" s="3">
        <v>12356</v>
      </c>
      <c r="T491" t="s">
        <v>4408</v>
      </c>
      <c r="U491">
        <v>7932908</v>
      </c>
    </row>
    <row r="492" spans="1:21" x14ac:dyDescent="0.25">
      <c r="A492" s="9" t="s">
        <v>4401</v>
      </c>
      <c r="B492" s="10">
        <v>44049</v>
      </c>
      <c r="C492" s="1">
        <v>44048</v>
      </c>
      <c r="D492" t="s">
        <v>4402</v>
      </c>
      <c r="E492" s="11">
        <v>0.375</v>
      </c>
      <c r="F492" s="11">
        <v>0.375</v>
      </c>
      <c r="G492">
        <v>73425</v>
      </c>
      <c r="H492" t="s">
        <v>4881</v>
      </c>
      <c r="I492" t="s">
        <v>367</v>
      </c>
      <c r="J492" t="s">
        <v>4458</v>
      </c>
      <c r="K492" t="s">
        <v>4459</v>
      </c>
      <c r="L492" t="s">
        <v>4460</v>
      </c>
      <c r="M492" t="s">
        <v>4407</v>
      </c>
      <c r="N492" t="s">
        <v>60</v>
      </c>
      <c r="O492" t="s">
        <v>34</v>
      </c>
      <c r="P492" s="3">
        <v>62028</v>
      </c>
      <c r="Q492" s="3">
        <v>62028</v>
      </c>
      <c r="R492">
        <v>0</v>
      </c>
      <c r="S492" s="3">
        <v>62028</v>
      </c>
      <c r="T492" t="s">
        <v>4408</v>
      </c>
      <c r="U492">
        <v>7932908</v>
      </c>
    </row>
    <row r="493" spans="1:21" x14ac:dyDescent="0.25">
      <c r="A493" s="9" t="s">
        <v>4401</v>
      </c>
      <c r="B493" s="10">
        <v>44049</v>
      </c>
      <c r="C493" s="1">
        <v>44048</v>
      </c>
      <c r="D493" t="s">
        <v>4402</v>
      </c>
      <c r="E493" s="11">
        <v>0.375</v>
      </c>
      <c r="F493" s="11">
        <v>0.375</v>
      </c>
      <c r="G493">
        <v>73432</v>
      </c>
      <c r="H493" t="s">
        <v>4882</v>
      </c>
      <c r="I493" t="s">
        <v>680</v>
      </c>
      <c r="J493" t="s">
        <v>4458</v>
      </c>
      <c r="K493" t="s">
        <v>4459</v>
      </c>
      <c r="L493" t="s">
        <v>4460</v>
      </c>
      <c r="M493" t="s">
        <v>4407</v>
      </c>
      <c r="N493" t="s">
        <v>60</v>
      </c>
      <c r="O493" t="s">
        <v>34</v>
      </c>
      <c r="P493" s="3">
        <v>310401</v>
      </c>
      <c r="Q493" s="3">
        <v>310401</v>
      </c>
      <c r="R493" s="3">
        <v>106835</v>
      </c>
      <c r="S493" s="3">
        <v>203566</v>
      </c>
      <c r="T493" t="s">
        <v>4408</v>
      </c>
      <c r="U493">
        <v>7932908</v>
      </c>
    </row>
    <row r="494" spans="1:21" x14ac:dyDescent="0.25">
      <c r="A494" s="9" t="s">
        <v>4401</v>
      </c>
      <c r="B494" s="10">
        <v>44049</v>
      </c>
      <c r="C494" s="1">
        <v>44048</v>
      </c>
      <c r="D494" t="s">
        <v>4402</v>
      </c>
      <c r="E494" s="11">
        <v>0.375</v>
      </c>
      <c r="F494" s="11">
        <v>0.375</v>
      </c>
      <c r="G494">
        <v>73433</v>
      </c>
      <c r="H494" t="s">
        <v>4883</v>
      </c>
      <c r="I494">
        <v>2</v>
      </c>
      <c r="J494" t="s">
        <v>4458</v>
      </c>
      <c r="K494" t="s">
        <v>4459</v>
      </c>
      <c r="L494" t="s">
        <v>4460</v>
      </c>
      <c r="M494" t="s">
        <v>4407</v>
      </c>
      <c r="N494" t="s">
        <v>60</v>
      </c>
      <c r="O494" t="s">
        <v>34</v>
      </c>
      <c r="P494" s="3">
        <v>197914</v>
      </c>
      <c r="Q494" s="3">
        <v>197914</v>
      </c>
      <c r="R494">
        <v>0</v>
      </c>
      <c r="S494" s="3">
        <v>197914</v>
      </c>
      <c r="T494" t="s">
        <v>4408</v>
      </c>
      <c r="U494">
        <v>7932908</v>
      </c>
    </row>
    <row r="495" spans="1:21" x14ac:dyDescent="0.25">
      <c r="A495" s="9" t="s">
        <v>4401</v>
      </c>
      <c r="B495" s="10">
        <v>44049</v>
      </c>
      <c r="C495" s="1">
        <v>44048</v>
      </c>
      <c r="D495" t="s">
        <v>4402</v>
      </c>
      <c r="E495" s="11">
        <v>0.375</v>
      </c>
      <c r="F495" s="11">
        <v>0.375</v>
      </c>
      <c r="G495">
        <v>73442</v>
      </c>
      <c r="H495" t="s">
        <v>4884</v>
      </c>
      <c r="I495" t="s">
        <v>367</v>
      </c>
      <c r="J495" t="s">
        <v>4458</v>
      </c>
      <c r="K495" t="s">
        <v>4459</v>
      </c>
      <c r="L495" t="s">
        <v>4460</v>
      </c>
      <c r="M495" t="s">
        <v>4407</v>
      </c>
      <c r="N495" t="s">
        <v>60</v>
      </c>
      <c r="O495" t="s">
        <v>34</v>
      </c>
      <c r="P495" s="3">
        <v>39412</v>
      </c>
      <c r="Q495" s="3">
        <v>39412</v>
      </c>
      <c r="R495">
        <v>0</v>
      </c>
      <c r="S495" s="3">
        <v>39412</v>
      </c>
      <c r="T495" t="s">
        <v>4408</v>
      </c>
      <c r="U495">
        <v>7932908</v>
      </c>
    </row>
    <row r="496" spans="1:21" x14ac:dyDescent="0.25">
      <c r="A496" s="9" t="s">
        <v>4401</v>
      </c>
      <c r="B496" s="10">
        <v>44049</v>
      </c>
      <c r="C496" s="1">
        <v>44048</v>
      </c>
      <c r="D496" t="s">
        <v>4402</v>
      </c>
      <c r="E496" s="11">
        <v>0.375</v>
      </c>
      <c r="F496" s="11">
        <v>0.375</v>
      </c>
      <c r="G496">
        <v>73445</v>
      </c>
      <c r="H496" t="s">
        <v>4885</v>
      </c>
      <c r="I496">
        <v>1</v>
      </c>
      <c r="J496" t="s">
        <v>4458</v>
      </c>
      <c r="K496" t="s">
        <v>4459</v>
      </c>
      <c r="L496" t="s">
        <v>4460</v>
      </c>
      <c r="M496" t="s">
        <v>4407</v>
      </c>
      <c r="N496" t="s">
        <v>60</v>
      </c>
      <c r="O496" t="s">
        <v>34</v>
      </c>
      <c r="P496" s="3">
        <v>3301</v>
      </c>
      <c r="Q496" s="3">
        <v>3301</v>
      </c>
      <c r="R496">
        <v>0</v>
      </c>
      <c r="S496" s="3">
        <v>3301</v>
      </c>
      <c r="T496" t="s">
        <v>4408</v>
      </c>
      <c r="U496">
        <v>7932908</v>
      </c>
    </row>
    <row r="497" spans="1:21" x14ac:dyDescent="0.25">
      <c r="A497" s="9" t="s">
        <v>4401</v>
      </c>
      <c r="B497" s="10">
        <v>44049</v>
      </c>
      <c r="C497" s="1">
        <v>44048</v>
      </c>
      <c r="D497" t="s">
        <v>4402</v>
      </c>
      <c r="E497" s="11">
        <v>0.375</v>
      </c>
      <c r="F497" s="11">
        <v>0.375</v>
      </c>
      <c r="G497">
        <v>73449</v>
      </c>
      <c r="H497" t="s">
        <v>4886</v>
      </c>
      <c r="I497">
        <v>2</v>
      </c>
      <c r="J497" t="s">
        <v>4458</v>
      </c>
      <c r="K497" t="s">
        <v>4459</v>
      </c>
      <c r="L497" t="s">
        <v>4460</v>
      </c>
      <c r="M497" t="s">
        <v>4407</v>
      </c>
      <c r="N497" t="s">
        <v>60</v>
      </c>
      <c r="O497" t="s">
        <v>34</v>
      </c>
      <c r="P497" s="3">
        <v>37939</v>
      </c>
      <c r="Q497" s="3">
        <v>37939</v>
      </c>
      <c r="R497" s="3">
        <v>2700</v>
      </c>
      <c r="S497" s="3">
        <v>35239</v>
      </c>
      <c r="T497" t="s">
        <v>4408</v>
      </c>
      <c r="U497">
        <v>7932908</v>
      </c>
    </row>
    <row r="498" spans="1:21" x14ac:dyDescent="0.25">
      <c r="A498" s="9" t="s">
        <v>4401</v>
      </c>
      <c r="B498" s="10">
        <v>44049</v>
      </c>
      <c r="C498" s="1">
        <v>44048</v>
      </c>
      <c r="D498" t="s">
        <v>4402</v>
      </c>
      <c r="E498" s="11">
        <v>0.375</v>
      </c>
      <c r="F498" s="11">
        <v>0.375</v>
      </c>
      <c r="G498">
        <v>73452</v>
      </c>
      <c r="H498" t="s">
        <v>4887</v>
      </c>
      <c r="I498" t="s">
        <v>367</v>
      </c>
      <c r="J498" t="s">
        <v>4458</v>
      </c>
      <c r="K498" t="s">
        <v>4459</v>
      </c>
      <c r="L498" t="s">
        <v>4460</v>
      </c>
      <c r="M498" t="s">
        <v>4407</v>
      </c>
      <c r="N498" t="s">
        <v>60</v>
      </c>
      <c r="O498" t="s">
        <v>34</v>
      </c>
      <c r="P498" s="3">
        <v>9359</v>
      </c>
      <c r="Q498" s="3">
        <v>9359</v>
      </c>
      <c r="R498">
        <v>50</v>
      </c>
      <c r="S498" s="3">
        <v>9309</v>
      </c>
      <c r="T498" t="s">
        <v>4408</v>
      </c>
      <c r="U498">
        <v>7932908</v>
      </c>
    </row>
    <row r="499" spans="1:21" x14ac:dyDescent="0.25">
      <c r="A499" s="9" t="s">
        <v>4401</v>
      </c>
      <c r="B499" s="10">
        <v>44049</v>
      </c>
      <c r="C499" s="1">
        <v>44048</v>
      </c>
      <c r="D499" t="s">
        <v>4402</v>
      </c>
      <c r="E499" s="11">
        <v>0.375</v>
      </c>
      <c r="F499" s="11">
        <v>0.375</v>
      </c>
      <c r="G499">
        <v>73454</v>
      </c>
      <c r="H499" t="s">
        <v>4888</v>
      </c>
      <c r="I499" t="s">
        <v>367</v>
      </c>
      <c r="J499" t="s">
        <v>4458</v>
      </c>
      <c r="K499" t="s">
        <v>4459</v>
      </c>
      <c r="L499" t="s">
        <v>4460</v>
      </c>
      <c r="M499" t="s">
        <v>4407</v>
      </c>
      <c r="N499" t="s">
        <v>60</v>
      </c>
      <c r="O499" t="s">
        <v>34</v>
      </c>
      <c r="P499" s="3">
        <v>3770</v>
      </c>
      <c r="Q499" s="3">
        <v>3770</v>
      </c>
      <c r="R499">
        <v>5</v>
      </c>
      <c r="S499" s="3">
        <v>3765</v>
      </c>
      <c r="T499" t="s">
        <v>4408</v>
      </c>
      <c r="U499">
        <v>7932908</v>
      </c>
    </row>
    <row r="500" spans="1:21" x14ac:dyDescent="0.25">
      <c r="A500" s="9" t="s">
        <v>4401</v>
      </c>
      <c r="B500" s="10">
        <v>44049</v>
      </c>
      <c r="C500" s="1">
        <v>44048</v>
      </c>
      <c r="D500" t="s">
        <v>4402</v>
      </c>
      <c r="E500" s="11">
        <v>0.375</v>
      </c>
      <c r="F500" s="11">
        <v>0.375</v>
      </c>
      <c r="G500">
        <v>73455</v>
      </c>
      <c r="H500" t="s">
        <v>4889</v>
      </c>
      <c r="I500" t="s">
        <v>187</v>
      </c>
      <c r="J500" t="s">
        <v>4458</v>
      </c>
      <c r="K500" t="s">
        <v>4459</v>
      </c>
      <c r="L500" t="s">
        <v>4460</v>
      </c>
      <c r="M500" t="s">
        <v>4407</v>
      </c>
      <c r="N500" t="s">
        <v>60</v>
      </c>
      <c r="O500" t="s">
        <v>34</v>
      </c>
      <c r="P500" s="3">
        <v>9733</v>
      </c>
      <c r="Q500" s="3">
        <v>9733</v>
      </c>
      <c r="R500">
        <v>35</v>
      </c>
      <c r="S500" s="3">
        <v>9698</v>
      </c>
      <c r="T500" t="s">
        <v>4408</v>
      </c>
      <c r="U500">
        <v>7932908</v>
      </c>
    </row>
    <row r="501" spans="1:21" x14ac:dyDescent="0.25">
      <c r="A501" s="9" t="s">
        <v>4401</v>
      </c>
      <c r="B501" s="10">
        <v>44049</v>
      </c>
      <c r="C501" s="1">
        <v>44048</v>
      </c>
      <c r="D501" t="s">
        <v>4402</v>
      </c>
      <c r="E501" s="11">
        <v>0.375</v>
      </c>
      <c r="F501" s="11">
        <v>0.375</v>
      </c>
      <c r="G501">
        <v>73456</v>
      </c>
      <c r="H501" t="s">
        <v>4890</v>
      </c>
      <c r="I501" t="s">
        <v>187</v>
      </c>
      <c r="J501" t="s">
        <v>4458</v>
      </c>
      <c r="K501" t="s">
        <v>4459</v>
      </c>
      <c r="L501" t="s">
        <v>4460</v>
      </c>
      <c r="M501" t="s">
        <v>4407</v>
      </c>
      <c r="N501" t="s">
        <v>60</v>
      </c>
      <c r="O501" t="s">
        <v>34</v>
      </c>
      <c r="P501" s="3">
        <v>9733</v>
      </c>
      <c r="Q501" s="3">
        <v>9733</v>
      </c>
      <c r="R501">
        <v>160</v>
      </c>
      <c r="S501" s="3">
        <v>9573</v>
      </c>
      <c r="T501" t="s">
        <v>4408</v>
      </c>
      <c r="U501">
        <v>7932908</v>
      </c>
    </row>
    <row r="502" spans="1:21" x14ac:dyDescent="0.25">
      <c r="A502" s="9" t="s">
        <v>4401</v>
      </c>
      <c r="B502" s="10">
        <v>44049</v>
      </c>
      <c r="C502" s="1">
        <v>44048</v>
      </c>
      <c r="D502" t="s">
        <v>4402</v>
      </c>
      <c r="E502" s="11">
        <v>0.375</v>
      </c>
      <c r="F502" s="11">
        <v>0.375</v>
      </c>
      <c r="G502">
        <v>73461</v>
      </c>
      <c r="H502" t="s">
        <v>4891</v>
      </c>
      <c r="I502" t="s">
        <v>367</v>
      </c>
      <c r="J502" t="s">
        <v>4404</v>
      </c>
      <c r="K502" t="s">
        <v>4405</v>
      </c>
      <c r="L502" t="s">
        <v>4406</v>
      </c>
      <c r="M502" t="s">
        <v>4407</v>
      </c>
      <c r="N502" t="s">
        <v>34</v>
      </c>
      <c r="O502" t="s">
        <v>34</v>
      </c>
      <c r="P502" s="3">
        <v>3020</v>
      </c>
      <c r="Q502" s="3">
        <v>3020</v>
      </c>
      <c r="R502">
        <v>30</v>
      </c>
      <c r="S502" s="3">
        <v>2990</v>
      </c>
      <c r="T502" t="s">
        <v>4408</v>
      </c>
      <c r="U502">
        <v>7932908</v>
      </c>
    </row>
    <row r="503" spans="1:21" x14ac:dyDescent="0.25">
      <c r="A503" s="9" t="s">
        <v>4401</v>
      </c>
      <c r="B503" s="10">
        <v>44049</v>
      </c>
      <c r="C503" s="1">
        <v>44048</v>
      </c>
      <c r="D503" t="s">
        <v>4402</v>
      </c>
      <c r="E503" s="11">
        <v>0.375</v>
      </c>
      <c r="F503" s="11">
        <v>0.375</v>
      </c>
      <c r="G503">
        <v>73465</v>
      </c>
      <c r="H503" t="s">
        <v>4892</v>
      </c>
      <c r="I503">
        <v>2</v>
      </c>
      <c r="J503" t="s">
        <v>4458</v>
      </c>
      <c r="K503" t="s">
        <v>4459</v>
      </c>
      <c r="L503" t="s">
        <v>4460</v>
      </c>
      <c r="M503" t="s">
        <v>4407</v>
      </c>
      <c r="N503" t="s">
        <v>60</v>
      </c>
      <c r="O503" t="s">
        <v>34</v>
      </c>
      <c r="P503" s="3">
        <v>38441</v>
      </c>
      <c r="Q503" s="3">
        <v>38441</v>
      </c>
      <c r="R503" s="3">
        <v>12000</v>
      </c>
      <c r="S503" s="3">
        <v>26441</v>
      </c>
      <c r="T503" t="s">
        <v>4408</v>
      </c>
      <c r="U503">
        <v>7932908</v>
      </c>
    </row>
    <row r="504" spans="1:21" x14ac:dyDescent="0.25">
      <c r="A504" s="9" t="s">
        <v>4401</v>
      </c>
      <c r="B504" s="10">
        <v>44049</v>
      </c>
      <c r="C504" s="1">
        <v>44048</v>
      </c>
      <c r="D504" t="s">
        <v>4402</v>
      </c>
      <c r="E504" s="11">
        <v>0.375</v>
      </c>
      <c r="F504" s="11">
        <v>0.375</v>
      </c>
      <c r="G504">
        <v>73466</v>
      </c>
      <c r="H504" t="s">
        <v>4893</v>
      </c>
      <c r="I504">
        <v>2</v>
      </c>
      <c r="J504" t="s">
        <v>4458</v>
      </c>
      <c r="K504" t="s">
        <v>4459</v>
      </c>
      <c r="L504" t="s">
        <v>4460</v>
      </c>
      <c r="M504" t="s">
        <v>4407</v>
      </c>
      <c r="N504" t="s">
        <v>60</v>
      </c>
      <c r="O504" t="s">
        <v>34</v>
      </c>
      <c r="P504" s="3">
        <v>4046</v>
      </c>
      <c r="Q504" s="3">
        <v>4046</v>
      </c>
      <c r="R504">
        <v>0</v>
      </c>
      <c r="S504" s="3">
        <v>4046</v>
      </c>
      <c r="T504" t="s">
        <v>4408</v>
      </c>
      <c r="U504">
        <v>7932908</v>
      </c>
    </row>
    <row r="505" spans="1:21" x14ac:dyDescent="0.25">
      <c r="A505" s="9" t="s">
        <v>4401</v>
      </c>
      <c r="B505" s="10">
        <v>44049</v>
      </c>
      <c r="C505" s="1">
        <v>44048</v>
      </c>
      <c r="D505" t="s">
        <v>4402</v>
      </c>
      <c r="E505" s="11">
        <v>0.375</v>
      </c>
      <c r="F505" s="11">
        <v>0.375</v>
      </c>
      <c r="G505">
        <v>73469</v>
      </c>
      <c r="H505" t="s">
        <v>4894</v>
      </c>
      <c r="I505" t="s">
        <v>543</v>
      </c>
      <c r="J505" t="s">
        <v>4404</v>
      </c>
      <c r="K505" t="s">
        <v>4405</v>
      </c>
      <c r="L505" t="s">
        <v>4406</v>
      </c>
      <c r="M505" t="s">
        <v>4407</v>
      </c>
      <c r="N505" t="s">
        <v>60</v>
      </c>
      <c r="O505" t="s">
        <v>34</v>
      </c>
      <c r="P505" s="3">
        <v>915937</v>
      </c>
      <c r="Q505" s="3">
        <v>915937</v>
      </c>
      <c r="R505">
        <v>0</v>
      </c>
      <c r="S505" s="3">
        <v>915937</v>
      </c>
      <c r="T505" t="s">
        <v>4408</v>
      </c>
      <c r="U505">
        <v>7932908</v>
      </c>
    </row>
    <row r="506" spans="1:21" x14ac:dyDescent="0.25">
      <c r="A506" s="9" t="s">
        <v>4401</v>
      </c>
      <c r="B506" s="10">
        <v>44049</v>
      </c>
      <c r="C506" s="1">
        <v>44048</v>
      </c>
      <c r="D506" t="s">
        <v>4402</v>
      </c>
      <c r="E506" s="11">
        <v>0.375</v>
      </c>
      <c r="F506" s="11">
        <v>0.375</v>
      </c>
      <c r="G506">
        <v>73475</v>
      </c>
      <c r="H506" t="s">
        <v>4895</v>
      </c>
      <c r="I506" t="s">
        <v>187</v>
      </c>
      <c r="J506" t="s">
        <v>4458</v>
      </c>
      <c r="K506" t="s">
        <v>4459</v>
      </c>
      <c r="L506" t="s">
        <v>4460</v>
      </c>
      <c r="M506" t="s">
        <v>4407</v>
      </c>
      <c r="N506" t="s">
        <v>60</v>
      </c>
      <c r="O506" t="s">
        <v>34</v>
      </c>
      <c r="P506" s="3">
        <v>16740</v>
      </c>
      <c r="Q506" s="3">
        <v>16740</v>
      </c>
      <c r="R506">
        <v>0</v>
      </c>
      <c r="S506" s="3">
        <v>16740</v>
      </c>
      <c r="T506" t="s">
        <v>4408</v>
      </c>
      <c r="U506">
        <v>7932908</v>
      </c>
    </row>
    <row r="507" spans="1:21" x14ac:dyDescent="0.25">
      <c r="A507" s="9" t="s">
        <v>4401</v>
      </c>
      <c r="B507" s="10">
        <v>44049</v>
      </c>
      <c r="C507" s="1">
        <v>44048</v>
      </c>
      <c r="D507" t="s">
        <v>4402</v>
      </c>
      <c r="E507" s="11">
        <v>0.375</v>
      </c>
      <c r="F507" s="11">
        <v>0.375</v>
      </c>
      <c r="G507">
        <v>73476</v>
      </c>
      <c r="H507" t="s">
        <v>4896</v>
      </c>
      <c r="I507">
        <v>2</v>
      </c>
      <c r="J507" t="s">
        <v>4458</v>
      </c>
      <c r="K507" t="s">
        <v>4459</v>
      </c>
      <c r="L507" t="s">
        <v>4460</v>
      </c>
      <c r="M507" t="s">
        <v>4407</v>
      </c>
      <c r="N507" t="s">
        <v>60</v>
      </c>
      <c r="O507" t="s">
        <v>34</v>
      </c>
      <c r="P507" s="3">
        <v>4081</v>
      </c>
      <c r="Q507" s="3">
        <v>4081</v>
      </c>
      <c r="R507">
        <v>0</v>
      </c>
      <c r="S507" s="3">
        <v>4081</v>
      </c>
      <c r="T507" t="s">
        <v>4408</v>
      </c>
      <c r="U507">
        <v>7932908</v>
      </c>
    </row>
    <row r="508" spans="1:21" x14ac:dyDescent="0.25">
      <c r="A508" s="9" t="s">
        <v>4401</v>
      </c>
      <c r="B508" s="10">
        <v>44049</v>
      </c>
      <c r="C508" s="1">
        <v>44048</v>
      </c>
      <c r="D508" t="s">
        <v>4402</v>
      </c>
      <c r="E508" s="11">
        <v>0.375</v>
      </c>
      <c r="F508" s="11">
        <v>0.375</v>
      </c>
      <c r="G508">
        <v>73477</v>
      </c>
      <c r="H508" t="s">
        <v>4897</v>
      </c>
      <c r="I508" t="s">
        <v>367</v>
      </c>
      <c r="J508" t="s">
        <v>4458</v>
      </c>
      <c r="K508" t="s">
        <v>4459</v>
      </c>
      <c r="L508" t="s">
        <v>4460</v>
      </c>
      <c r="M508" t="s">
        <v>4407</v>
      </c>
      <c r="N508" t="s">
        <v>60</v>
      </c>
      <c r="O508" t="s">
        <v>34</v>
      </c>
      <c r="P508" s="3">
        <v>3896</v>
      </c>
      <c r="Q508" s="3">
        <v>3896</v>
      </c>
      <c r="R508">
        <v>0</v>
      </c>
      <c r="S508" s="3">
        <v>3896</v>
      </c>
      <c r="T508" t="s">
        <v>4408</v>
      </c>
      <c r="U508">
        <v>7932908</v>
      </c>
    </row>
    <row r="509" spans="1:21" x14ac:dyDescent="0.25">
      <c r="A509" s="9" t="s">
        <v>4401</v>
      </c>
      <c r="B509" s="10">
        <v>44049</v>
      </c>
      <c r="C509" s="1">
        <v>44048</v>
      </c>
      <c r="D509" t="s">
        <v>4402</v>
      </c>
      <c r="E509" s="11">
        <v>0.375</v>
      </c>
      <c r="F509" s="11">
        <v>0.375</v>
      </c>
      <c r="G509">
        <v>73481</v>
      </c>
      <c r="H509" t="s">
        <v>4898</v>
      </c>
      <c r="I509" t="s">
        <v>367</v>
      </c>
      <c r="J509" t="s">
        <v>4458</v>
      </c>
      <c r="K509" t="s">
        <v>4459</v>
      </c>
      <c r="L509" t="s">
        <v>4460</v>
      </c>
      <c r="M509" t="s">
        <v>4407</v>
      </c>
      <c r="N509" t="s">
        <v>60</v>
      </c>
      <c r="O509" t="s">
        <v>34</v>
      </c>
      <c r="P509" s="3">
        <v>9369</v>
      </c>
      <c r="Q509" s="3">
        <v>9369</v>
      </c>
      <c r="R509">
        <v>0</v>
      </c>
      <c r="S509" s="3">
        <v>9369</v>
      </c>
      <c r="T509" t="s">
        <v>4408</v>
      </c>
      <c r="U509">
        <v>7932908</v>
      </c>
    </row>
    <row r="510" spans="1:21" x14ac:dyDescent="0.25">
      <c r="A510" s="9" t="s">
        <v>4401</v>
      </c>
      <c r="B510" s="10">
        <v>44049</v>
      </c>
      <c r="C510" s="1">
        <v>44048</v>
      </c>
      <c r="D510" t="s">
        <v>4402</v>
      </c>
      <c r="E510" s="11">
        <v>0.375</v>
      </c>
      <c r="F510" s="11">
        <v>0.375</v>
      </c>
      <c r="G510">
        <v>73482</v>
      </c>
      <c r="H510" t="s">
        <v>4899</v>
      </c>
      <c r="I510" t="s">
        <v>367</v>
      </c>
      <c r="J510" t="s">
        <v>4458</v>
      </c>
      <c r="K510" t="s">
        <v>4459</v>
      </c>
      <c r="L510" t="s">
        <v>4460</v>
      </c>
      <c r="M510" t="s">
        <v>4407</v>
      </c>
      <c r="N510" t="s">
        <v>60</v>
      </c>
      <c r="O510" t="s">
        <v>34</v>
      </c>
      <c r="P510" s="3">
        <v>4038</v>
      </c>
      <c r="Q510" s="3">
        <v>4038</v>
      </c>
      <c r="R510">
        <v>145</v>
      </c>
      <c r="S510" s="3">
        <v>3893</v>
      </c>
      <c r="T510" t="s">
        <v>4408</v>
      </c>
      <c r="U510">
        <v>7932908</v>
      </c>
    </row>
    <row r="511" spans="1:21" x14ac:dyDescent="0.25">
      <c r="A511" s="9" t="s">
        <v>4401</v>
      </c>
      <c r="B511" s="10">
        <v>44049</v>
      </c>
      <c r="C511" s="1">
        <v>44048</v>
      </c>
      <c r="D511" t="s">
        <v>4402</v>
      </c>
      <c r="E511" s="11">
        <v>0.375</v>
      </c>
      <c r="F511" s="11">
        <v>0.375</v>
      </c>
      <c r="G511">
        <v>73484</v>
      </c>
      <c r="H511" t="s">
        <v>4900</v>
      </c>
      <c r="I511" t="s">
        <v>187</v>
      </c>
      <c r="J511" t="s">
        <v>4458</v>
      </c>
      <c r="K511" t="s">
        <v>4459</v>
      </c>
      <c r="L511" t="s">
        <v>4460</v>
      </c>
      <c r="M511" t="s">
        <v>4407</v>
      </c>
      <c r="N511" t="s">
        <v>60</v>
      </c>
      <c r="O511" t="s">
        <v>34</v>
      </c>
      <c r="P511" s="3">
        <v>68191</v>
      </c>
      <c r="Q511" s="3">
        <v>68191</v>
      </c>
      <c r="R511">
        <v>0</v>
      </c>
      <c r="S511" s="3">
        <v>68191</v>
      </c>
      <c r="T511" t="s">
        <v>4408</v>
      </c>
      <c r="U511">
        <v>7932908</v>
      </c>
    </row>
    <row r="512" spans="1:21" x14ac:dyDescent="0.25">
      <c r="A512" s="9" t="s">
        <v>4401</v>
      </c>
      <c r="B512" s="10">
        <v>44049</v>
      </c>
      <c r="C512" s="1">
        <v>44048</v>
      </c>
      <c r="D512" t="s">
        <v>4402</v>
      </c>
      <c r="E512" s="11">
        <v>0.375</v>
      </c>
      <c r="F512" s="11">
        <v>0.375</v>
      </c>
      <c r="G512">
        <v>73485</v>
      </c>
      <c r="H512" t="s">
        <v>4901</v>
      </c>
      <c r="I512">
        <v>3</v>
      </c>
      <c r="J512" t="s">
        <v>4404</v>
      </c>
      <c r="K512" t="s">
        <v>4405</v>
      </c>
      <c r="L512" t="s">
        <v>4406</v>
      </c>
      <c r="M512" t="s">
        <v>4407</v>
      </c>
      <c r="N512" t="s">
        <v>60</v>
      </c>
      <c r="O512" t="s">
        <v>34</v>
      </c>
      <c r="P512" s="3">
        <v>60818</v>
      </c>
      <c r="Q512" s="3">
        <v>60818</v>
      </c>
      <c r="R512">
        <v>0</v>
      </c>
      <c r="S512" s="3">
        <v>60818</v>
      </c>
      <c r="T512" t="s">
        <v>4408</v>
      </c>
      <c r="U512">
        <v>7932908</v>
      </c>
    </row>
    <row r="513" spans="1:21" x14ac:dyDescent="0.25">
      <c r="A513" s="9" t="s">
        <v>4401</v>
      </c>
      <c r="B513" s="10">
        <v>44049</v>
      </c>
      <c r="C513" s="1">
        <v>44048</v>
      </c>
      <c r="D513" t="s">
        <v>4402</v>
      </c>
      <c r="E513" s="11">
        <v>0.375</v>
      </c>
      <c r="F513" s="11">
        <v>0.375</v>
      </c>
      <c r="G513">
        <v>73490</v>
      </c>
      <c r="H513" t="s">
        <v>4902</v>
      </c>
      <c r="I513" t="s">
        <v>680</v>
      </c>
      <c r="J513" t="s">
        <v>4458</v>
      </c>
      <c r="K513" t="s">
        <v>4459</v>
      </c>
      <c r="L513" t="s">
        <v>4460</v>
      </c>
      <c r="M513" t="s">
        <v>4407</v>
      </c>
      <c r="N513" t="s">
        <v>60</v>
      </c>
      <c r="O513" t="s">
        <v>34</v>
      </c>
      <c r="P513" s="3">
        <v>39328</v>
      </c>
      <c r="Q513" s="3">
        <v>39328</v>
      </c>
      <c r="R513">
        <v>10</v>
      </c>
      <c r="S513" s="3">
        <v>39318</v>
      </c>
      <c r="T513" t="s">
        <v>4408</v>
      </c>
      <c r="U513">
        <v>7932908</v>
      </c>
    </row>
    <row r="514" spans="1:21" x14ac:dyDescent="0.25">
      <c r="A514" s="9" t="s">
        <v>4401</v>
      </c>
      <c r="B514" s="10">
        <v>44049</v>
      </c>
      <c r="C514" s="1">
        <v>44048</v>
      </c>
      <c r="D514" t="s">
        <v>4402</v>
      </c>
      <c r="E514" s="11">
        <v>0.375</v>
      </c>
      <c r="F514" s="11">
        <v>0.375</v>
      </c>
      <c r="G514">
        <v>73491</v>
      </c>
      <c r="H514" t="s">
        <v>4903</v>
      </c>
      <c r="I514" t="s">
        <v>543</v>
      </c>
      <c r="J514" t="s">
        <v>4458</v>
      </c>
      <c r="K514" t="s">
        <v>4459</v>
      </c>
      <c r="L514" t="s">
        <v>4460</v>
      </c>
      <c r="M514" t="s">
        <v>4407</v>
      </c>
      <c r="N514" t="s">
        <v>60</v>
      </c>
      <c r="O514" t="s">
        <v>34</v>
      </c>
      <c r="P514" s="3">
        <v>9712</v>
      </c>
      <c r="Q514" s="3">
        <v>9712</v>
      </c>
      <c r="R514">
        <v>70</v>
      </c>
      <c r="S514" s="3">
        <v>9642</v>
      </c>
      <c r="T514" t="s">
        <v>4408</v>
      </c>
      <c r="U514">
        <v>7932908</v>
      </c>
    </row>
    <row r="515" spans="1:21" x14ac:dyDescent="0.25">
      <c r="A515" s="9" t="s">
        <v>4401</v>
      </c>
      <c r="B515" s="10">
        <v>44049</v>
      </c>
      <c r="C515" s="1">
        <v>44048</v>
      </c>
      <c r="D515" t="s">
        <v>4402</v>
      </c>
      <c r="E515" s="11">
        <v>0.375</v>
      </c>
      <c r="F515" s="11">
        <v>0.375</v>
      </c>
      <c r="G515">
        <v>73502</v>
      </c>
      <c r="H515" t="s">
        <v>4904</v>
      </c>
      <c r="I515" t="s">
        <v>187</v>
      </c>
      <c r="J515" t="s">
        <v>4458</v>
      </c>
      <c r="K515" t="s">
        <v>4459</v>
      </c>
      <c r="L515" t="s">
        <v>4460</v>
      </c>
      <c r="M515" t="s">
        <v>4407</v>
      </c>
      <c r="N515" t="s">
        <v>60</v>
      </c>
      <c r="O515" t="s">
        <v>34</v>
      </c>
      <c r="P515" s="3">
        <v>17366</v>
      </c>
      <c r="Q515" s="3">
        <v>17366</v>
      </c>
      <c r="R515">
        <v>4</v>
      </c>
      <c r="S515" s="3">
        <v>17362</v>
      </c>
      <c r="T515" t="s">
        <v>4408</v>
      </c>
      <c r="U515">
        <v>7932908</v>
      </c>
    </row>
    <row r="516" spans="1:21" x14ac:dyDescent="0.25">
      <c r="A516" s="9" t="s">
        <v>4401</v>
      </c>
      <c r="B516" s="10">
        <v>44049</v>
      </c>
      <c r="C516" s="1">
        <v>44048</v>
      </c>
      <c r="D516" t="s">
        <v>4402</v>
      </c>
      <c r="E516" s="11">
        <v>0.375</v>
      </c>
      <c r="F516" s="11">
        <v>0.375</v>
      </c>
      <c r="G516">
        <v>73503</v>
      </c>
      <c r="H516" t="s">
        <v>4905</v>
      </c>
      <c r="I516" t="s">
        <v>367</v>
      </c>
      <c r="J516" t="s">
        <v>4458</v>
      </c>
      <c r="K516" t="s">
        <v>4459</v>
      </c>
      <c r="L516" t="s">
        <v>4460</v>
      </c>
      <c r="M516" t="s">
        <v>4407</v>
      </c>
      <c r="N516" t="s">
        <v>60</v>
      </c>
      <c r="O516" t="s">
        <v>34</v>
      </c>
      <c r="P516" s="3">
        <v>3580</v>
      </c>
      <c r="Q516" s="3">
        <v>3580</v>
      </c>
      <c r="R516">
        <v>0</v>
      </c>
      <c r="S516" s="3">
        <v>3580</v>
      </c>
      <c r="T516" t="s">
        <v>4408</v>
      </c>
      <c r="U516">
        <v>7932908</v>
      </c>
    </row>
    <row r="517" spans="1:21" x14ac:dyDescent="0.25">
      <c r="A517" s="9" t="s">
        <v>4401</v>
      </c>
      <c r="B517" s="10">
        <v>44049</v>
      </c>
      <c r="C517" s="1">
        <v>44048</v>
      </c>
      <c r="D517" t="s">
        <v>4402</v>
      </c>
      <c r="E517" s="11">
        <v>0.375</v>
      </c>
      <c r="F517" s="11">
        <v>0.375</v>
      </c>
      <c r="G517">
        <v>73504</v>
      </c>
      <c r="H517" t="s">
        <v>4906</v>
      </c>
      <c r="I517" t="s">
        <v>367</v>
      </c>
      <c r="J517" t="s">
        <v>4458</v>
      </c>
      <c r="K517" t="s">
        <v>4459</v>
      </c>
      <c r="L517" t="s">
        <v>4460</v>
      </c>
      <c r="M517" t="s">
        <v>4407</v>
      </c>
      <c r="N517" t="s">
        <v>60</v>
      </c>
      <c r="O517" t="s">
        <v>34</v>
      </c>
      <c r="P517" s="3">
        <v>18527</v>
      </c>
      <c r="Q517" s="3">
        <v>18527</v>
      </c>
      <c r="R517">
        <v>0</v>
      </c>
      <c r="S517" s="3">
        <v>18527</v>
      </c>
      <c r="T517" t="s">
        <v>4408</v>
      </c>
      <c r="U517">
        <v>7932908</v>
      </c>
    </row>
    <row r="518" spans="1:21" x14ac:dyDescent="0.25">
      <c r="A518" s="9" t="s">
        <v>4401</v>
      </c>
      <c r="B518" s="10">
        <v>44049</v>
      </c>
      <c r="C518" s="1">
        <v>44048</v>
      </c>
      <c r="D518" t="s">
        <v>4402</v>
      </c>
      <c r="E518" s="11">
        <v>0.375</v>
      </c>
      <c r="F518" s="11">
        <v>0.375</v>
      </c>
      <c r="G518">
        <v>73505</v>
      </c>
      <c r="H518" t="s">
        <v>4907</v>
      </c>
      <c r="I518" t="s">
        <v>367</v>
      </c>
      <c r="J518" t="s">
        <v>4458</v>
      </c>
      <c r="K518" t="s">
        <v>4459</v>
      </c>
      <c r="L518" t="s">
        <v>4460</v>
      </c>
      <c r="M518" t="s">
        <v>4407</v>
      </c>
      <c r="N518" t="s">
        <v>60</v>
      </c>
      <c r="O518" t="s">
        <v>34</v>
      </c>
      <c r="P518" s="3">
        <v>68045</v>
      </c>
      <c r="Q518" s="3">
        <v>68045</v>
      </c>
      <c r="R518">
        <v>0</v>
      </c>
      <c r="S518" s="3">
        <v>68045</v>
      </c>
      <c r="T518" t="s">
        <v>4408</v>
      </c>
      <c r="U518">
        <v>7932908</v>
      </c>
    </row>
    <row r="519" spans="1:21" x14ac:dyDescent="0.25">
      <c r="A519" s="9" t="s">
        <v>4401</v>
      </c>
      <c r="B519" s="10">
        <v>44049</v>
      </c>
      <c r="C519" s="1">
        <v>44048</v>
      </c>
      <c r="D519" t="s">
        <v>4402</v>
      </c>
      <c r="E519" s="11">
        <v>0.375</v>
      </c>
      <c r="F519" s="11">
        <v>0.375</v>
      </c>
      <c r="G519">
        <v>73507</v>
      </c>
      <c r="H519" t="s">
        <v>4908</v>
      </c>
      <c r="I519">
        <v>3</v>
      </c>
      <c r="J519" t="s">
        <v>4404</v>
      </c>
      <c r="K519" t="s">
        <v>4405</v>
      </c>
      <c r="L519" t="s">
        <v>4406</v>
      </c>
      <c r="M519" t="s">
        <v>4407</v>
      </c>
      <c r="N519" t="s">
        <v>60</v>
      </c>
      <c r="O519" t="s">
        <v>34</v>
      </c>
      <c r="P519" s="3">
        <v>30531</v>
      </c>
      <c r="Q519" s="3">
        <v>55650</v>
      </c>
      <c r="R519">
        <v>0</v>
      </c>
      <c r="S519" s="3">
        <v>55650</v>
      </c>
      <c r="T519" t="s">
        <v>4408</v>
      </c>
      <c r="U519">
        <v>7932908</v>
      </c>
    </row>
    <row r="520" spans="1:21" x14ac:dyDescent="0.25">
      <c r="A520" s="9" t="s">
        <v>4401</v>
      </c>
      <c r="B520" s="10">
        <v>44049</v>
      </c>
      <c r="C520" s="1">
        <v>44048</v>
      </c>
      <c r="D520" t="s">
        <v>4402</v>
      </c>
      <c r="E520" s="11">
        <v>0.375</v>
      </c>
      <c r="F520" s="11">
        <v>0.375</v>
      </c>
      <c r="G520">
        <v>73508</v>
      </c>
      <c r="H520" t="s">
        <v>4909</v>
      </c>
      <c r="I520" t="s">
        <v>543</v>
      </c>
      <c r="J520" t="s">
        <v>4404</v>
      </c>
      <c r="K520" t="s">
        <v>4405</v>
      </c>
      <c r="L520" t="s">
        <v>4406</v>
      </c>
      <c r="M520" t="s">
        <v>4407</v>
      </c>
      <c r="N520" t="s">
        <v>60</v>
      </c>
      <c r="O520" t="s">
        <v>34</v>
      </c>
      <c r="P520" s="3">
        <v>16864</v>
      </c>
      <c r="Q520" s="3">
        <v>16864</v>
      </c>
      <c r="R520">
        <v>100</v>
      </c>
      <c r="S520" s="3">
        <v>16764</v>
      </c>
      <c r="T520" t="s">
        <v>4408</v>
      </c>
      <c r="U520">
        <v>7932908</v>
      </c>
    </row>
    <row r="521" spans="1:21" x14ac:dyDescent="0.25">
      <c r="A521" s="9" t="s">
        <v>4401</v>
      </c>
      <c r="B521" s="10">
        <v>44049</v>
      </c>
      <c r="C521" s="1">
        <v>44048</v>
      </c>
      <c r="D521" t="s">
        <v>4402</v>
      </c>
      <c r="E521" s="11">
        <v>0.375</v>
      </c>
      <c r="F521" s="11">
        <v>0.375</v>
      </c>
      <c r="G521">
        <v>73512</v>
      </c>
      <c r="H521" t="s">
        <v>4910</v>
      </c>
      <c r="I521">
        <v>2</v>
      </c>
      <c r="J521" t="s">
        <v>4458</v>
      </c>
      <c r="K521" t="s">
        <v>4459</v>
      </c>
      <c r="L521" t="s">
        <v>4460</v>
      </c>
      <c r="M521" t="s">
        <v>4407</v>
      </c>
      <c r="N521" t="s">
        <v>60</v>
      </c>
      <c r="O521" t="s">
        <v>34</v>
      </c>
      <c r="P521" s="3">
        <v>30500</v>
      </c>
      <c r="Q521" s="3">
        <v>30500</v>
      </c>
      <c r="R521">
        <v>0</v>
      </c>
      <c r="S521" s="3">
        <v>30500</v>
      </c>
      <c r="T521" t="s">
        <v>4408</v>
      </c>
      <c r="U521">
        <v>7932908</v>
      </c>
    </row>
    <row r="522" spans="1:21" x14ac:dyDescent="0.25">
      <c r="A522" s="9" t="s">
        <v>4401</v>
      </c>
      <c r="B522" s="10">
        <v>44049</v>
      </c>
      <c r="C522" s="1">
        <v>44048</v>
      </c>
      <c r="D522" t="s">
        <v>4402</v>
      </c>
      <c r="E522" s="11">
        <v>0.375</v>
      </c>
      <c r="F522" s="11">
        <v>0.375</v>
      </c>
      <c r="G522">
        <v>73515</v>
      </c>
      <c r="H522" t="s">
        <v>4911</v>
      </c>
      <c r="I522" t="s">
        <v>187</v>
      </c>
      <c r="J522" t="s">
        <v>4458</v>
      </c>
      <c r="K522" t="s">
        <v>4459</v>
      </c>
      <c r="L522" t="s">
        <v>4460</v>
      </c>
      <c r="M522" t="s">
        <v>4407</v>
      </c>
      <c r="N522" t="s">
        <v>60</v>
      </c>
      <c r="O522" t="s">
        <v>34</v>
      </c>
      <c r="P522" s="3">
        <v>10090</v>
      </c>
      <c r="Q522" s="3">
        <v>10090</v>
      </c>
      <c r="R522">
        <v>179</v>
      </c>
      <c r="S522" s="3">
        <v>9911</v>
      </c>
      <c r="T522" t="s">
        <v>4408</v>
      </c>
      <c r="U522">
        <v>7932908</v>
      </c>
    </row>
    <row r="523" spans="1:21" x14ac:dyDescent="0.25">
      <c r="A523" s="9" t="s">
        <v>4401</v>
      </c>
      <c r="B523" s="10">
        <v>44049</v>
      </c>
      <c r="C523" s="1">
        <v>44048</v>
      </c>
      <c r="D523" t="s">
        <v>4402</v>
      </c>
      <c r="E523" s="11">
        <v>0.375</v>
      </c>
      <c r="F523" s="11">
        <v>0.375</v>
      </c>
      <c r="G523">
        <v>73517</v>
      </c>
      <c r="H523" t="s">
        <v>4912</v>
      </c>
      <c r="I523" t="s">
        <v>187</v>
      </c>
      <c r="J523" t="s">
        <v>4458</v>
      </c>
      <c r="K523" t="s">
        <v>4459</v>
      </c>
      <c r="L523" t="s">
        <v>4460</v>
      </c>
      <c r="M523" t="s">
        <v>4407</v>
      </c>
      <c r="N523" t="s">
        <v>60</v>
      </c>
      <c r="O523" t="s">
        <v>34</v>
      </c>
      <c r="P523" s="3">
        <v>17354</v>
      </c>
      <c r="Q523" s="3">
        <v>17354</v>
      </c>
      <c r="R523">
        <v>0</v>
      </c>
      <c r="S523" s="3">
        <v>17354</v>
      </c>
      <c r="T523" t="s">
        <v>4408</v>
      </c>
      <c r="U523">
        <v>7932908</v>
      </c>
    </row>
    <row r="524" spans="1:21" x14ac:dyDescent="0.25">
      <c r="A524" s="9" t="s">
        <v>4401</v>
      </c>
      <c r="B524" s="10">
        <v>44049</v>
      </c>
      <c r="C524" s="1">
        <v>44048</v>
      </c>
      <c r="D524" t="s">
        <v>4402</v>
      </c>
      <c r="E524" s="11">
        <v>0.375</v>
      </c>
      <c r="F524" s="11">
        <v>0.375</v>
      </c>
      <c r="G524">
        <v>73519</v>
      </c>
      <c r="H524" t="s">
        <v>4913</v>
      </c>
      <c r="I524" t="s">
        <v>187</v>
      </c>
      <c r="J524" t="s">
        <v>4458</v>
      </c>
      <c r="K524" t="s">
        <v>4459</v>
      </c>
      <c r="L524" t="s">
        <v>4460</v>
      </c>
      <c r="M524" t="s">
        <v>4407</v>
      </c>
      <c r="N524" t="s">
        <v>60</v>
      </c>
      <c r="O524" t="s">
        <v>34</v>
      </c>
      <c r="P524" s="3">
        <v>15677</v>
      </c>
      <c r="Q524" s="3">
        <v>15677</v>
      </c>
      <c r="R524">
        <v>700</v>
      </c>
      <c r="S524" s="3">
        <v>14977</v>
      </c>
      <c r="T524" t="s">
        <v>4408</v>
      </c>
      <c r="U524">
        <v>7932908</v>
      </c>
    </row>
    <row r="525" spans="1:21" x14ac:dyDescent="0.25">
      <c r="A525" s="9" t="s">
        <v>4401</v>
      </c>
      <c r="B525" s="10">
        <v>44049</v>
      </c>
      <c r="C525" s="1">
        <v>44048</v>
      </c>
      <c r="D525" t="s">
        <v>4402</v>
      </c>
      <c r="E525" s="11">
        <v>0.375</v>
      </c>
      <c r="F525" s="11">
        <v>0.375</v>
      </c>
      <c r="G525">
        <v>73521</v>
      </c>
      <c r="H525" t="s">
        <v>4914</v>
      </c>
      <c r="I525" t="s">
        <v>187</v>
      </c>
      <c r="J525" t="s">
        <v>4458</v>
      </c>
      <c r="K525" t="s">
        <v>4459</v>
      </c>
      <c r="L525" t="s">
        <v>4460</v>
      </c>
      <c r="M525" t="s">
        <v>4407</v>
      </c>
      <c r="N525" t="s">
        <v>60</v>
      </c>
      <c r="O525" t="s">
        <v>34</v>
      </c>
      <c r="P525" s="3">
        <v>10090</v>
      </c>
      <c r="Q525" s="3">
        <v>10090</v>
      </c>
      <c r="R525">
        <v>0</v>
      </c>
      <c r="S525" s="3">
        <v>10090</v>
      </c>
      <c r="T525" t="s">
        <v>4408</v>
      </c>
      <c r="U525">
        <v>7932908</v>
      </c>
    </row>
    <row r="526" spans="1:21" x14ac:dyDescent="0.25">
      <c r="A526" s="9" t="s">
        <v>4401</v>
      </c>
      <c r="B526" s="10">
        <v>44049</v>
      </c>
      <c r="C526" s="1">
        <v>44048</v>
      </c>
      <c r="D526" t="s">
        <v>4402</v>
      </c>
      <c r="E526" s="11">
        <v>0.375</v>
      </c>
      <c r="F526" s="11">
        <v>0.375</v>
      </c>
      <c r="G526">
        <v>73523</v>
      </c>
      <c r="H526" t="s">
        <v>4915</v>
      </c>
      <c r="I526" t="s">
        <v>187</v>
      </c>
      <c r="J526" t="s">
        <v>4458</v>
      </c>
      <c r="K526" t="s">
        <v>4459</v>
      </c>
      <c r="L526" t="s">
        <v>4460</v>
      </c>
      <c r="M526" t="s">
        <v>4407</v>
      </c>
      <c r="N526" t="s">
        <v>60</v>
      </c>
      <c r="O526" t="s">
        <v>34</v>
      </c>
      <c r="P526" s="3">
        <v>42001</v>
      </c>
      <c r="Q526" s="3">
        <v>42001</v>
      </c>
      <c r="R526">
        <v>0</v>
      </c>
      <c r="S526" s="3">
        <v>42001</v>
      </c>
      <c r="T526" t="s">
        <v>4408</v>
      </c>
      <c r="U526">
        <v>7932908</v>
      </c>
    </row>
    <row r="527" spans="1:21" x14ac:dyDescent="0.25">
      <c r="A527" s="9" t="s">
        <v>4401</v>
      </c>
      <c r="B527" s="10">
        <v>44049</v>
      </c>
      <c r="C527" s="1">
        <v>44048</v>
      </c>
      <c r="D527" t="s">
        <v>4402</v>
      </c>
      <c r="E527" s="11">
        <v>0.375</v>
      </c>
      <c r="F527" s="11">
        <v>0.375</v>
      </c>
      <c r="G527">
        <v>73538</v>
      </c>
      <c r="H527" t="s">
        <v>4916</v>
      </c>
      <c r="I527" t="s">
        <v>367</v>
      </c>
      <c r="J527" t="s">
        <v>4404</v>
      </c>
      <c r="K527" t="s">
        <v>4405</v>
      </c>
      <c r="L527" t="s">
        <v>4406</v>
      </c>
      <c r="M527" t="s">
        <v>4407</v>
      </c>
      <c r="N527" t="s">
        <v>60</v>
      </c>
      <c r="O527" t="s">
        <v>34</v>
      </c>
      <c r="P527" s="3">
        <v>4594</v>
      </c>
      <c r="Q527" s="3">
        <v>4594</v>
      </c>
      <c r="R527">
        <v>0</v>
      </c>
      <c r="S527" s="3">
        <v>4594</v>
      </c>
      <c r="T527" t="s">
        <v>4408</v>
      </c>
      <c r="U527">
        <v>7932908</v>
      </c>
    </row>
    <row r="528" spans="1:21" x14ac:dyDescent="0.25">
      <c r="A528" s="9" t="s">
        <v>4401</v>
      </c>
      <c r="B528" s="10">
        <v>44049</v>
      </c>
      <c r="C528" s="1">
        <v>44048</v>
      </c>
      <c r="D528" t="s">
        <v>4402</v>
      </c>
      <c r="E528" s="11">
        <v>0.375</v>
      </c>
      <c r="F528" s="11">
        <v>0.375</v>
      </c>
      <c r="G528">
        <v>73539</v>
      </c>
      <c r="H528" t="s">
        <v>4917</v>
      </c>
      <c r="I528" t="s">
        <v>367</v>
      </c>
      <c r="J528" t="s">
        <v>4404</v>
      </c>
      <c r="K528" t="s">
        <v>4405</v>
      </c>
      <c r="L528" t="s">
        <v>4406</v>
      </c>
      <c r="M528" t="s">
        <v>4407</v>
      </c>
      <c r="N528" t="s">
        <v>60</v>
      </c>
      <c r="O528" t="s">
        <v>34</v>
      </c>
      <c r="P528" s="3">
        <v>95139</v>
      </c>
      <c r="Q528" s="3">
        <v>95139</v>
      </c>
      <c r="R528">
        <v>0</v>
      </c>
      <c r="S528" s="3">
        <v>95139</v>
      </c>
      <c r="T528" t="s">
        <v>4408</v>
      </c>
      <c r="U528">
        <v>7932908</v>
      </c>
    </row>
    <row r="529" spans="1:21" x14ac:dyDescent="0.25">
      <c r="A529" s="9" t="s">
        <v>4401</v>
      </c>
      <c r="B529" s="10">
        <v>44049</v>
      </c>
      <c r="C529" s="1">
        <v>44048</v>
      </c>
      <c r="D529" t="s">
        <v>4402</v>
      </c>
      <c r="E529" s="11">
        <v>0.375</v>
      </c>
      <c r="F529" s="11">
        <v>0.375</v>
      </c>
      <c r="G529">
        <v>73542</v>
      </c>
      <c r="H529" t="s">
        <v>4918</v>
      </c>
      <c r="I529">
        <v>3</v>
      </c>
      <c r="J529" t="s">
        <v>4458</v>
      </c>
      <c r="K529" t="s">
        <v>4459</v>
      </c>
      <c r="L529" t="s">
        <v>4460</v>
      </c>
      <c r="M529" t="s">
        <v>4407</v>
      </c>
      <c r="N529" t="s">
        <v>60</v>
      </c>
      <c r="O529" t="s">
        <v>34</v>
      </c>
      <c r="P529" s="3">
        <v>8076</v>
      </c>
      <c r="Q529" s="3">
        <v>8076</v>
      </c>
      <c r="R529">
        <v>330</v>
      </c>
      <c r="S529" s="3">
        <v>7746</v>
      </c>
      <c r="T529" t="s">
        <v>4408</v>
      </c>
      <c r="U529">
        <v>7932908</v>
      </c>
    </row>
    <row r="530" spans="1:21" x14ac:dyDescent="0.25">
      <c r="A530" s="9" t="s">
        <v>4401</v>
      </c>
      <c r="B530" s="10">
        <v>44049</v>
      </c>
      <c r="C530" s="1">
        <v>44048</v>
      </c>
      <c r="D530" t="s">
        <v>4402</v>
      </c>
      <c r="E530" s="11">
        <v>0.375</v>
      </c>
      <c r="F530" s="11">
        <v>0.375</v>
      </c>
      <c r="G530">
        <v>73543</v>
      </c>
      <c r="H530" t="s">
        <v>4919</v>
      </c>
      <c r="I530">
        <v>3</v>
      </c>
      <c r="J530" t="s">
        <v>4458</v>
      </c>
      <c r="K530" t="s">
        <v>4459</v>
      </c>
      <c r="L530" t="s">
        <v>4460</v>
      </c>
      <c r="M530" t="s">
        <v>4407</v>
      </c>
      <c r="N530" t="s">
        <v>60</v>
      </c>
      <c r="O530" t="s">
        <v>34</v>
      </c>
      <c r="P530" s="3">
        <v>18526</v>
      </c>
      <c r="Q530" s="3">
        <v>18526</v>
      </c>
      <c r="R530" s="3">
        <v>1050</v>
      </c>
      <c r="S530" s="3">
        <v>17476</v>
      </c>
      <c r="T530" t="s">
        <v>4408</v>
      </c>
      <c r="U530">
        <v>7932908</v>
      </c>
    </row>
    <row r="531" spans="1:21" x14ac:dyDescent="0.25">
      <c r="A531" s="9" t="s">
        <v>4401</v>
      </c>
      <c r="B531" s="10">
        <v>44049</v>
      </c>
      <c r="C531" s="1">
        <v>44048</v>
      </c>
      <c r="D531" t="s">
        <v>4402</v>
      </c>
      <c r="E531" s="11">
        <v>0.375</v>
      </c>
      <c r="F531" s="11">
        <v>0.375</v>
      </c>
      <c r="G531">
        <v>73546</v>
      </c>
      <c r="H531" t="s">
        <v>4920</v>
      </c>
      <c r="I531" t="s">
        <v>187</v>
      </c>
      <c r="J531" t="s">
        <v>4458</v>
      </c>
      <c r="K531" t="s">
        <v>4459</v>
      </c>
      <c r="L531" t="s">
        <v>4460</v>
      </c>
      <c r="M531" t="s">
        <v>4407</v>
      </c>
      <c r="N531" t="s">
        <v>60</v>
      </c>
      <c r="O531" t="s">
        <v>34</v>
      </c>
      <c r="P531" s="3">
        <v>39306</v>
      </c>
      <c r="Q531" s="3">
        <v>39306</v>
      </c>
      <c r="R531" s="3">
        <v>3495</v>
      </c>
      <c r="S531" s="3">
        <v>35811</v>
      </c>
      <c r="T531" t="s">
        <v>4408</v>
      </c>
      <c r="U531">
        <v>7932908</v>
      </c>
    </row>
    <row r="532" spans="1:21" x14ac:dyDescent="0.25">
      <c r="A532" s="9" t="s">
        <v>4401</v>
      </c>
      <c r="B532" s="10">
        <v>44049</v>
      </c>
      <c r="C532" s="1">
        <v>44048</v>
      </c>
      <c r="D532" t="s">
        <v>4402</v>
      </c>
      <c r="E532" s="11">
        <v>0.375</v>
      </c>
      <c r="F532" s="11">
        <v>0.375</v>
      </c>
      <c r="G532">
        <v>73549</v>
      </c>
      <c r="H532" t="s">
        <v>4921</v>
      </c>
      <c r="I532" t="s">
        <v>187</v>
      </c>
      <c r="J532" t="s">
        <v>4458</v>
      </c>
      <c r="K532" t="s">
        <v>4459</v>
      </c>
      <c r="L532" t="s">
        <v>4460</v>
      </c>
      <c r="M532" t="s">
        <v>4407</v>
      </c>
      <c r="N532" t="s">
        <v>60</v>
      </c>
      <c r="O532" t="s">
        <v>34</v>
      </c>
      <c r="P532" s="3">
        <v>17354</v>
      </c>
      <c r="Q532" s="3">
        <v>17354</v>
      </c>
      <c r="R532">
        <v>100</v>
      </c>
      <c r="S532" s="3">
        <v>17254</v>
      </c>
      <c r="T532" t="s">
        <v>4408</v>
      </c>
      <c r="U532">
        <v>7932908</v>
      </c>
    </row>
    <row r="533" spans="1:21" x14ac:dyDescent="0.25">
      <c r="A533" s="9" t="s">
        <v>4401</v>
      </c>
      <c r="B533" s="10">
        <v>44049</v>
      </c>
      <c r="C533" s="1">
        <v>44048</v>
      </c>
      <c r="D533" t="s">
        <v>4402</v>
      </c>
      <c r="E533" s="11">
        <v>0.375</v>
      </c>
      <c r="F533" s="11">
        <v>0.375</v>
      </c>
      <c r="G533">
        <v>73556</v>
      </c>
      <c r="H533" t="s">
        <v>4922</v>
      </c>
      <c r="I533" t="s">
        <v>680</v>
      </c>
      <c r="J533" t="s">
        <v>4458</v>
      </c>
      <c r="K533" t="s">
        <v>4459</v>
      </c>
      <c r="L533" t="s">
        <v>4460</v>
      </c>
      <c r="M533" t="s">
        <v>4407</v>
      </c>
      <c r="N533" t="s">
        <v>60</v>
      </c>
      <c r="O533" t="s">
        <v>34</v>
      </c>
      <c r="P533" s="3">
        <v>600000</v>
      </c>
      <c r="Q533" s="3">
        <v>600000</v>
      </c>
      <c r="R533">
        <v>0</v>
      </c>
      <c r="S533" s="3">
        <v>600000</v>
      </c>
      <c r="T533" t="s">
        <v>4408</v>
      </c>
      <c r="U533">
        <v>7932908</v>
      </c>
    </row>
    <row r="534" spans="1:21" x14ac:dyDescent="0.25">
      <c r="A534" s="9" t="s">
        <v>4401</v>
      </c>
      <c r="B534" s="10">
        <v>44049</v>
      </c>
      <c r="C534" s="1">
        <v>44048</v>
      </c>
      <c r="D534" t="s">
        <v>4402</v>
      </c>
      <c r="E534" s="11">
        <v>0.375</v>
      </c>
      <c r="F534" s="11">
        <v>0.375</v>
      </c>
      <c r="G534">
        <v>73560</v>
      </c>
      <c r="H534" t="s">
        <v>4923</v>
      </c>
      <c r="I534" t="s">
        <v>543</v>
      </c>
      <c r="J534" t="s">
        <v>4458</v>
      </c>
      <c r="K534" t="s">
        <v>4459</v>
      </c>
      <c r="L534" t="s">
        <v>4460</v>
      </c>
      <c r="M534" t="s">
        <v>4407</v>
      </c>
      <c r="N534" t="s">
        <v>60</v>
      </c>
      <c r="O534" t="s">
        <v>34</v>
      </c>
      <c r="P534" s="3">
        <v>665581</v>
      </c>
      <c r="Q534" s="3">
        <v>665581</v>
      </c>
      <c r="R534" s="3">
        <v>28800</v>
      </c>
      <c r="S534" s="3">
        <v>636781</v>
      </c>
      <c r="T534" t="s">
        <v>4408</v>
      </c>
      <c r="U534">
        <v>7932908</v>
      </c>
    </row>
    <row r="535" spans="1:21" x14ac:dyDescent="0.25">
      <c r="A535" s="9" t="s">
        <v>4401</v>
      </c>
      <c r="B535" s="10">
        <v>44049</v>
      </c>
      <c r="C535" s="1">
        <v>44048</v>
      </c>
      <c r="D535" t="s">
        <v>4402</v>
      </c>
      <c r="E535" s="11">
        <v>0.375</v>
      </c>
      <c r="F535" s="11">
        <v>0.375</v>
      </c>
      <c r="G535">
        <v>73561</v>
      </c>
      <c r="H535" t="s">
        <v>4924</v>
      </c>
      <c r="I535">
        <v>1</v>
      </c>
      <c r="J535" t="s">
        <v>4458</v>
      </c>
      <c r="K535" t="s">
        <v>4459</v>
      </c>
      <c r="L535" t="s">
        <v>4460</v>
      </c>
      <c r="M535" t="s">
        <v>4407</v>
      </c>
      <c r="N535" t="s">
        <v>60</v>
      </c>
      <c r="O535" t="s">
        <v>34</v>
      </c>
      <c r="P535" s="3">
        <v>3328</v>
      </c>
      <c r="Q535" s="3">
        <v>3328</v>
      </c>
      <c r="R535">
        <v>0</v>
      </c>
      <c r="S535" s="3">
        <v>3328</v>
      </c>
      <c r="T535" t="s">
        <v>4408</v>
      </c>
      <c r="U535">
        <v>7932908</v>
      </c>
    </row>
    <row r="536" spans="1:21" x14ac:dyDescent="0.25">
      <c r="A536" s="9" t="s">
        <v>4401</v>
      </c>
      <c r="B536" s="10">
        <v>44049</v>
      </c>
      <c r="C536" s="1">
        <v>44048</v>
      </c>
      <c r="D536" t="s">
        <v>4402</v>
      </c>
      <c r="E536" s="11">
        <v>0.375</v>
      </c>
      <c r="F536" s="11">
        <v>0.375</v>
      </c>
      <c r="G536">
        <v>73562</v>
      </c>
      <c r="H536" t="s">
        <v>4925</v>
      </c>
      <c r="I536" t="s">
        <v>187</v>
      </c>
      <c r="J536" t="s">
        <v>4458</v>
      </c>
      <c r="K536" t="s">
        <v>4459</v>
      </c>
      <c r="L536" t="s">
        <v>4460</v>
      </c>
      <c r="M536" t="s">
        <v>4407</v>
      </c>
      <c r="N536" t="s">
        <v>60</v>
      </c>
      <c r="O536" t="s">
        <v>34</v>
      </c>
      <c r="P536" s="3">
        <v>10111</v>
      </c>
      <c r="Q536" s="3">
        <v>10111</v>
      </c>
      <c r="R536">
        <v>0</v>
      </c>
      <c r="S536" s="3">
        <v>10111</v>
      </c>
      <c r="T536" t="s">
        <v>4408</v>
      </c>
      <c r="U536">
        <v>7932908</v>
      </c>
    </row>
    <row r="537" spans="1:21" x14ac:dyDescent="0.25">
      <c r="A537" s="9" t="s">
        <v>4401</v>
      </c>
      <c r="B537" s="10">
        <v>44049</v>
      </c>
      <c r="C537" s="1">
        <v>44048</v>
      </c>
      <c r="D537" t="s">
        <v>4402</v>
      </c>
      <c r="E537" s="11">
        <v>0.375</v>
      </c>
      <c r="F537" s="11">
        <v>0.375</v>
      </c>
      <c r="G537">
        <v>73564</v>
      </c>
      <c r="H537" t="s">
        <v>4926</v>
      </c>
      <c r="I537" t="s">
        <v>187</v>
      </c>
      <c r="J537" t="s">
        <v>4458</v>
      </c>
      <c r="K537" t="s">
        <v>4459</v>
      </c>
      <c r="L537" t="s">
        <v>4460</v>
      </c>
      <c r="M537" t="s">
        <v>4407</v>
      </c>
      <c r="N537" t="s">
        <v>60</v>
      </c>
      <c r="O537" t="s">
        <v>34</v>
      </c>
      <c r="P537" s="3">
        <v>4038</v>
      </c>
      <c r="Q537" s="3">
        <v>4038</v>
      </c>
      <c r="R537">
        <v>106</v>
      </c>
      <c r="S537" s="3">
        <v>3932</v>
      </c>
      <c r="T537" t="s">
        <v>4408</v>
      </c>
      <c r="U537">
        <v>7932908</v>
      </c>
    </row>
    <row r="538" spans="1:21" x14ac:dyDescent="0.25">
      <c r="A538" s="9" t="s">
        <v>4401</v>
      </c>
      <c r="B538" s="10">
        <v>44049</v>
      </c>
      <c r="C538" s="1">
        <v>44048</v>
      </c>
      <c r="D538" t="s">
        <v>4402</v>
      </c>
      <c r="E538" s="11">
        <v>0.375</v>
      </c>
      <c r="F538" s="11">
        <v>0.375</v>
      </c>
      <c r="G538">
        <v>73568</v>
      </c>
      <c r="H538" t="s">
        <v>4927</v>
      </c>
      <c r="I538" t="s">
        <v>680</v>
      </c>
      <c r="J538" t="s">
        <v>4458</v>
      </c>
      <c r="K538" t="s">
        <v>4459</v>
      </c>
      <c r="L538" t="s">
        <v>4460</v>
      </c>
      <c r="M538" t="s">
        <v>4407</v>
      </c>
      <c r="N538" t="s">
        <v>60</v>
      </c>
      <c r="O538" t="s">
        <v>34</v>
      </c>
      <c r="P538" s="3">
        <v>574801</v>
      </c>
      <c r="Q538" s="3">
        <v>574801</v>
      </c>
      <c r="R538">
        <v>0</v>
      </c>
      <c r="S538" s="3">
        <v>574801</v>
      </c>
      <c r="T538" t="s">
        <v>4408</v>
      </c>
      <c r="U538">
        <v>7932908</v>
      </c>
    </row>
    <row r="539" spans="1:21" x14ac:dyDescent="0.25">
      <c r="A539" s="9" t="s">
        <v>4401</v>
      </c>
      <c r="B539" s="10">
        <v>44049</v>
      </c>
      <c r="C539" s="1">
        <v>44048</v>
      </c>
      <c r="D539" t="s">
        <v>4402</v>
      </c>
      <c r="E539" s="11">
        <v>0.375</v>
      </c>
      <c r="F539" s="11">
        <v>0.375</v>
      </c>
      <c r="G539">
        <v>73569</v>
      </c>
      <c r="H539" t="s">
        <v>4928</v>
      </c>
      <c r="I539" t="s">
        <v>543</v>
      </c>
      <c r="J539" t="s">
        <v>4458</v>
      </c>
      <c r="K539" t="s">
        <v>4459</v>
      </c>
      <c r="L539" t="s">
        <v>4460</v>
      </c>
      <c r="M539" t="s">
        <v>4407</v>
      </c>
      <c r="N539" t="s">
        <v>60</v>
      </c>
      <c r="O539" t="s">
        <v>34</v>
      </c>
      <c r="P539" s="3">
        <v>665581</v>
      </c>
      <c r="Q539" s="3">
        <v>665581</v>
      </c>
      <c r="R539">
        <v>0</v>
      </c>
      <c r="S539" s="3">
        <v>665581</v>
      </c>
      <c r="T539" t="s">
        <v>4408</v>
      </c>
      <c r="U539">
        <v>7932908</v>
      </c>
    </row>
    <row r="540" spans="1:21" x14ac:dyDescent="0.25">
      <c r="A540" s="9" t="s">
        <v>4401</v>
      </c>
      <c r="B540" s="10">
        <v>44049</v>
      </c>
      <c r="C540" s="1">
        <v>44048</v>
      </c>
      <c r="D540" t="s">
        <v>4402</v>
      </c>
      <c r="E540" s="11">
        <v>0.375</v>
      </c>
      <c r="F540" s="11">
        <v>0.375</v>
      </c>
      <c r="G540">
        <v>73573</v>
      </c>
      <c r="H540" t="s">
        <v>2814</v>
      </c>
      <c r="I540">
        <v>1</v>
      </c>
      <c r="J540" t="s">
        <v>4458</v>
      </c>
      <c r="K540" t="s">
        <v>4459</v>
      </c>
      <c r="L540" t="s">
        <v>4460</v>
      </c>
      <c r="M540" t="s">
        <v>4407</v>
      </c>
      <c r="N540" t="s">
        <v>60</v>
      </c>
      <c r="O540" t="s">
        <v>34</v>
      </c>
      <c r="P540" s="3">
        <v>3991</v>
      </c>
      <c r="Q540" s="3">
        <v>3991</v>
      </c>
      <c r="R540">
        <v>0</v>
      </c>
      <c r="S540" s="3">
        <v>3991</v>
      </c>
      <c r="T540" t="s">
        <v>4408</v>
      </c>
      <c r="U540">
        <v>7932908</v>
      </c>
    </row>
    <row r="541" spans="1:21" x14ac:dyDescent="0.25">
      <c r="A541" s="9" t="s">
        <v>4401</v>
      </c>
      <c r="B541" s="10">
        <v>44049</v>
      </c>
      <c r="C541" s="1">
        <v>44048</v>
      </c>
      <c r="D541" t="s">
        <v>4402</v>
      </c>
      <c r="E541" s="11">
        <v>0.375</v>
      </c>
      <c r="F541" s="11">
        <v>0.375</v>
      </c>
      <c r="G541">
        <v>73575</v>
      </c>
      <c r="H541" t="s">
        <v>2817</v>
      </c>
      <c r="I541" t="s">
        <v>367</v>
      </c>
      <c r="J541" t="s">
        <v>4458</v>
      </c>
      <c r="K541" t="s">
        <v>4459</v>
      </c>
      <c r="L541" t="s">
        <v>4460</v>
      </c>
      <c r="M541" t="s">
        <v>4407</v>
      </c>
      <c r="N541" t="s">
        <v>60</v>
      </c>
      <c r="O541" t="s">
        <v>34</v>
      </c>
      <c r="P541" s="3">
        <v>37304</v>
      </c>
      <c r="Q541" s="3">
        <v>37304</v>
      </c>
      <c r="R541">
        <v>0</v>
      </c>
      <c r="S541" s="3">
        <v>37304</v>
      </c>
      <c r="T541" t="s">
        <v>4408</v>
      </c>
      <c r="U541">
        <v>7932908</v>
      </c>
    </row>
    <row r="542" spans="1:21" x14ac:dyDescent="0.25">
      <c r="A542" s="9" t="s">
        <v>4401</v>
      </c>
      <c r="B542" s="10">
        <v>44049</v>
      </c>
      <c r="C542" s="1">
        <v>44048</v>
      </c>
      <c r="D542" t="s">
        <v>4402</v>
      </c>
      <c r="E542" s="11">
        <v>0.375</v>
      </c>
      <c r="F542" s="11">
        <v>0.375</v>
      </c>
      <c r="G542">
        <v>73576</v>
      </c>
      <c r="H542" t="s">
        <v>4929</v>
      </c>
      <c r="I542">
        <v>1</v>
      </c>
      <c r="J542" t="s">
        <v>4458</v>
      </c>
      <c r="K542" t="s">
        <v>4459</v>
      </c>
      <c r="L542" t="s">
        <v>4460</v>
      </c>
      <c r="M542" t="s">
        <v>4407</v>
      </c>
      <c r="N542" t="s">
        <v>60</v>
      </c>
      <c r="O542" t="s">
        <v>34</v>
      </c>
      <c r="P542" s="3">
        <v>1400000</v>
      </c>
      <c r="Q542" s="3">
        <v>1400000</v>
      </c>
      <c r="R542" s="3">
        <v>69579</v>
      </c>
      <c r="S542" s="3">
        <v>1330421</v>
      </c>
      <c r="T542" t="s">
        <v>4408</v>
      </c>
      <c r="U542">
        <v>7932908</v>
      </c>
    </row>
    <row r="543" spans="1:21" x14ac:dyDescent="0.25">
      <c r="A543" s="9" t="s">
        <v>4401</v>
      </c>
      <c r="B543" s="10">
        <v>44049</v>
      </c>
      <c r="C543" s="1">
        <v>44048</v>
      </c>
      <c r="D543" t="s">
        <v>4402</v>
      </c>
      <c r="E543" s="11">
        <v>0.375</v>
      </c>
      <c r="F543" s="11">
        <v>0.375</v>
      </c>
      <c r="G543">
        <v>73577</v>
      </c>
      <c r="H543" t="s">
        <v>4930</v>
      </c>
      <c r="I543">
        <v>1</v>
      </c>
      <c r="J543" t="s">
        <v>4458</v>
      </c>
      <c r="K543" t="s">
        <v>4459</v>
      </c>
      <c r="L543" t="s">
        <v>4460</v>
      </c>
      <c r="M543" t="s">
        <v>4407</v>
      </c>
      <c r="N543" t="s">
        <v>60</v>
      </c>
      <c r="O543" t="s">
        <v>34</v>
      </c>
      <c r="P543" s="3">
        <v>332791</v>
      </c>
      <c r="Q543" s="3">
        <v>332791</v>
      </c>
      <c r="R543" s="3">
        <v>21321</v>
      </c>
      <c r="S543" s="3">
        <v>311470</v>
      </c>
      <c r="T543" t="s">
        <v>4408</v>
      </c>
      <c r="U543">
        <v>7932908</v>
      </c>
    </row>
    <row r="544" spans="1:21" x14ac:dyDescent="0.25">
      <c r="A544" s="9" t="s">
        <v>4401</v>
      </c>
      <c r="B544" s="10">
        <v>44049</v>
      </c>
      <c r="C544" s="1">
        <v>44048</v>
      </c>
      <c r="D544" t="s">
        <v>4402</v>
      </c>
      <c r="E544" s="11">
        <v>0.375</v>
      </c>
      <c r="F544" s="11">
        <v>0.375</v>
      </c>
      <c r="G544">
        <v>73580</v>
      </c>
      <c r="H544" t="s">
        <v>4931</v>
      </c>
      <c r="I544">
        <v>2</v>
      </c>
      <c r="J544" t="s">
        <v>4458</v>
      </c>
      <c r="K544" t="s">
        <v>4459</v>
      </c>
      <c r="L544" t="s">
        <v>4460</v>
      </c>
      <c r="M544" t="s">
        <v>4407</v>
      </c>
      <c r="N544" t="s">
        <v>60</v>
      </c>
      <c r="O544" t="s">
        <v>34</v>
      </c>
      <c r="P544" s="3">
        <v>1331162</v>
      </c>
      <c r="Q544" s="3">
        <v>1331162</v>
      </c>
      <c r="R544">
        <v>0</v>
      </c>
      <c r="S544" s="3">
        <v>1331162</v>
      </c>
      <c r="T544" t="s">
        <v>4408</v>
      </c>
      <c r="U544">
        <v>7932908</v>
      </c>
    </row>
    <row r="545" spans="1:21" x14ac:dyDescent="0.25">
      <c r="A545" s="9" t="s">
        <v>4401</v>
      </c>
      <c r="B545" s="10">
        <v>44049</v>
      </c>
      <c r="C545" s="1">
        <v>44048</v>
      </c>
      <c r="D545" t="s">
        <v>4402</v>
      </c>
      <c r="E545" s="11">
        <v>0.375</v>
      </c>
      <c r="F545" s="11">
        <v>0.375</v>
      </c>
      <c r="G545">
        <v>73581</v>
      </c>
      <c r="H545" t="s">
        <v>4932</v>
      </c>
      <c r="I545">
        <v>2</v>
      </c>
      <c r="J545" t="s">
        <v>4458</v>
      </c>
      <c r="K545" t="s">
        <v>4459</v>
      </c>
      <c r="L545" t="s">
        <v>4460</v>
      </c>
      <c r="M545" t="s">
        <v>4407</v>
      </c>
      <c r="N545" t="s">
        <v>60</v>
      </c>
      <c r="O545" t="s">
        <v>34</v>
      </c>
      <c r="P545" s="3">
        <v>916711</v>
      </c>
      <c r="Q545" s="3">
        <v>916711</v>
      </c>
      <c r="R545">
        <v>270</v>
      </c>
      <c r="S545" s="3">
        <v>916441</v>
      </c>
      <c r="T545" t="s">
        <v>4408</v>
      </c>
      <c r="U545">
        <v>7932908</v>
      </c>
    </row>
    <row r="546" spans="1:21" x14ac:dyDescent="0.25">
      <c r="A546" s="9" t="s">
        <v>4401</v>
      </c>
      <c r="B546" s="10">
        <v>44049</v>
      </c>
      <c r="C546" s="1">
        <v>44048</v>
      </c>
      <c r="D546" t="s">
        <v>4402</v>
      </c>
      <c r="E546" s="11">
        <v>0.375</v>
      </c>
      <c r="F546" s="11">
        <v>0.375</v>
      </c>
      <c r="G546">
        <v>73582</v>
      </c>
      <c r="H546" t="s">
        <v>4933</v>
      </c>
      <c r="I546" t="s">
        <v>187</v>
      </c>
      <c r="J546" t="s">
        <v>4458</v>
      </c>
      <c r="K546" t="s">
        <v>4459</v>
      </c>
      <c r="L546" t="s">
        <v>4460</v>
      </c>
      <c r="M546" t="s">
        <v>4407</v>
      </c>
      <c r="N546" t="s">
        <v>60</v>
      </c>
      <c r="O546" t="s">
        <v>34</v>
      </c>
      <c r="P546" s="3">
        <v>17354</v>
      </c>
      <c r="Q546" s="3">
        <v>17354</v>
      </c>
      <c r="R546">
        <v>0</v>
      </c>
      <c r="S546" s="3">
        <v>17354</v>
      </c>
      <c r="T546" t="s">
        <v>4408</v>
      </c>
      <c r="U546">
        <v>7932908</v>
      </c>
    </row>
    <row r="547" spans="1:21" x14ac:dyDescent="0.25">
      <c r="A547" s="9" t="s">
        <v>4401</v>
      </c>
      <c r="B547" s="10">
        <v>44049</v>
      </c>
      <c r="C547" s="1">
        <v>44048</v>
      </c>
      <c r="D547" t="s">
        <v>4402</v>
      </c>
      <c r="E547" s="11">
        <v>0.375</v>
      </c>
      <c r="F547" s="11">
        <v>0.375</v>
      </c>
      <c r="G547">
        <v>73590</v>
      </c>
      <c r="H547" t="s">
        <v>4934</v>
      </c>
      <c r="I547" t="s">
        <v>367</v>
      </c>
      <c r="J547" t="s">
        <v>4404</v>
      </c>
      <c r="K547" t="s">
        <v>4405</v>
      </c>
      <c r="L547" t="s">
        <v>4406</v>
      </c>
      <c r="M547" t="s">
        <v>4407</v>
      </c>
      <c r="N547" t="s">
        <v>60</v>
      </c>
      <c r="O547" t="s">
        <v>34</v>
      </c>
      <c r="P547" s="3">
        <v>711000</v>
      </c>
      <c r="Q547" s="3">
        <v>711000</v>
      </c>
      <c r="R547" s="3">
        <v>103245</v>
      </c>
      <c r="S547" s="3">
        <v>607755</v>
      </c>
      <c r="T547" t="s">
        <v>4408</v>
      </c>
      <c r="U547">
        <v>7932908</v>
      </c>
    </row>
    <row r="548" spans="1:21" x14ac:dyDescent="0.25">
      <c r="A548" s="9" t="s">
        <v>4401</v>
      </c>
      <c r="B548" s="10">
        <v>44049</v>
      </c>
      <c r="C548" s="1">
        <v>44048</v>
      </c>
      <c r="D548" t="s">
        <v>4402</v>
      </c>
      <c r="E548" s="11">
        <v>0.375</v>
      </c>
      <c r="F548" s="11">
        <v>0.375</v>
      </c>
      <c r="G548">
        <v>73594</v>
      </c>
      <c r="H548" t="s">
        <v>4935</v>
      </c>
      <c r="I548" t="s">
        <v>543</v>
      </c>
      <c r="J548" t="s">
        <v>4458</v>
      </c>
      <c r="K548" t="s">
        <v>4459</v>
      </c>
      <c r="L548" t="s">
        <v>4460</v>
      </c>
      <c r="M548" t="s">
        <v>4407</v>
      </c>
      <c r="N548" t="s">
        <v>60</v>
      </c>
      <c r="O548" t="s">
        <v>34</v>
      </c>
      <c r="P548" s="3">
        <v>117688</v>
      </c>
      <c r="Q548" s="3">
        <v>117688</v>
      </c>
      <c r="R548">
        <v>0</v>
      </c>
      <c r="S548" s="3">
        <v>117688</v>
      </c>
      <c r="T548" t="s">
        <v>4408</v>
      </c>
      <c r="U548">
        <v>7932908</v>
      </c>
    </row>
    <row r="549" spans="1:21" x14ac:dyDescent="0.25">
      <c r="A549" s="9" t="s">
        <v>4401</v>
      </c>
      <c r="B549" s="10">
        <v>44049</v>
      </c>
      <c r="C549" s="1">
        <v>44048</v>
      </c>
      <c r="D549" t="s">
        <v>4402</v>
      </c>
      <c r="E549" s="11">
        <v>0.375</v>
      </c>
      <c r="F549" s="11">
        <v>0.375</v>
      </c>
      <c r="G549">
        <v>73597</v>
      </c>
      <c r="H549" t="s">
        <v>4936</v>
      </c>
      <c r="I549" t="s">
        <v>187</v>
      </c>
      <c r="J549" t="s">
        <v>4458</v>
      </c>
      <c r="K549" t="s">
        <v>4459</v>
      </c>
      <c r="L549" t="s">
        <v>4460</v>
      </c>
      <c r="M549" t="s">
        <v>4407</v>
      </c>
      <c r="N549" t="s">
        <v>60</v>
      </c>
      <c r="O549" t="s">
        <v>34</v>
      </c>
      <c r="P549" s="3">
        <v>38469</v>
      </c>
      <c r="Q549" s="3">
        <v>38469</v>
      </c>
      <c r="R549">
        <v>0</v>
      </c>
      <c r="S549" s="3">
        <v>38469</v>
      </c>
      <c r="T549" t="s">
        <v>4408</v>
      </c>
      <c r="U549">
        <v>7932908</v>
      </c>
    </row>
    <row r="550" spans="1:21" x14ac:dyDescent="0.25">
      <c r="A550" s="9" t="s">
        <v>4401</v>
      </c>
      <c r="B550" s="10">
        <v>44049</v>
      </c>
      <c r="C550" s="1">
        <v>44048</v>
      </c>
      <c r="D550" t="s">
        <v>4402</v>
      </c>
      <c r="E550" s="11">
        <v>0.375</v>
      </c>
      <c r="F550" s="11">
        <v>0.375</v>
      </c>
      <c r="G550">
        <v>73600</v>
      </c>
      <c r="H550" t="s">
        <v>4937</v>
      </c>
      <c r="I550" t="s">
        <v>187</v>
      </c>
      <c r="J550" t="s">
        <v>4458</v>
      </c>
      <c r="K550" t="s">
        <v>4459</v>
      </c>
      <c r="L550" t="s">
        <v>4460</v>
      </c>
      <c r="M550" t="s">
        <v>4407</v>
      </c>
      <c r="N550" t="s">
        <v>60</v>
      </c>
      <c r="O550" t="s">
        <v>34</v>
      </c>
      <c r="P550" s="3">
        <v>17124</v>
      </c>
      <c r="Q550" s="3">
        <v>17124</v>
      </c>
      <c r="R550">
        <v>1</v>
      </c>
      <c r="S550" s="3">
        <v>17123</v>
      </c>
      <c r="T550" t="s">
        <v>4408</v>
      </c>
      <c r="U550">
        <v>7932908</v>
      </c>
    </row>
    <row r="551" spans="1:21" x14ac:dyDescent="0.25">
      <c r="A551" s="9" t="s">
        <v>4401</v>
      </c>
      <c r="B551" s="10">
        <v>44049</v>
      </c>
      <c r="C551" s="1">
        <v>44048</v>
      </c>
      <c r="D551" t="s">
        <v>4402</v>
      </c>
      <c r="E551" s="11">
        <v>0.375</v>
      </c>
      <c r="F551" s="11">
        <v>0.375</v>
      </c>
      <c r="G551">
        <v>73601</v>
      </c>
      <c r="H551" t="s">
        <v>4938</v>
      </c>
      <c r="I551" t="s">
        <v>680</v>
      </c>
      <c r="J551" t="s">
        <v>4404</v>
      </c>
      <c r="K551" t="s">
        <v>4405</v>
      </c>
      <c r="L551" t="s">
        <v>4406</v>
      </c>
      <c r="M551" t="s">
        <v>4407</v>
      </c>
      <c r="N551" t="s">
        <v>60</v>
      </c>
      <c r="O551" t="s">
        <v>34</v>
      </c>
      <c r="P551" s="3">
        <v>152550</v>
      </c>
      <c r="Q551" s="3">
        <v>152550</v>
      </c>
      <c r="R551">
        <v>0</v>
      </c>
      <c r="S551" s="3">
        <v>152550</v>
      </c>
      <c r="T551" t="s">
        <v>4408</v>
      </c>
      <c r="U551">
        <v>7932908</v>
      </c>
    </row>
    <row r="552" spans="1:21" x14ac:dyDescent="0.25">
      <c r="A552" s="9" t="s">
        <v>4401</v>
      </c>
      <c r="B552" s="10">
        <v>44049</v>
      </c>
      <c r="C552" s="1">
        <v>44048</v>
      </c>
      <c r="D552" t="s">
        <v>4402</v>
      </c>
      <c r="E552" s="11">
        <v>0.375</v>
      </c>
      <c r="F552" s="11">
        <v>0.375</v>
      </c>
      <c r="G552">
        <v>73603</v>
      </c>
      <c r="H552" t="s">
        <v>4939</v>
      </c>
      <c r="I552" t="s">
        <v>187</v>
      </c>
      <c r="J552" t="s">
        <v>4458</v>
      </c>
      <c r="K552" t="s">
        <v>4459</v>
      </c>
      <c r="L552" t="s">
        <v>4460</v>
      </c>
      <c r="M552" t="s">
        <v>4407</v>
      </c>
      <c r="N552" t="s">
        <v>60</v>
      </c>
      <c r="O552" t="s">
        <v>34</v>
      </c>
      <c r="P552" s="3">
        <v>9369</v>
      </c>
      <c r="Q552" s="3">
        <v>9369</v>
      </c>
      <c r="R552">
        <v>0</v>
      </c>
      <c r="S552" s="3">
        <v>9369</v>
      </c>
      <c r="T552" t="s">
        <v>4408</v>
      </c>
      <c r="U552">
        <v>7932908</v>
      </c>
    </row>
    <row r="553" spans="1:21" x14ac:dyDescent="0.25">
      <c r="A553" s="9" t="s">
        <v>4401</v>
      </c>
      <c r="B553" s="10">
        <v>44049</v>
      </c>
      <c r="C553" s="1">
        <v>44048</v>
      </c>
      <c r="D553" t="s">
        <v>4402</v>
      </c>
      <c r="E553" s="11">
        <v>0.375</v>
      </c>
      <c r="F553" s="11">
        <v>0.375</v>
      </c>
      <c r="G553">
        <v>73604</v>
      </c>
      <c r="H553" t="s">
        <v>4940</v>
      </c>
      <c r="I553" t="s">
        <v>367</v>
      </c>
      <c r="J553" t="s">
        <v>4458</v>
      </c>
      <c r="K553" t="s">
        <v>4459</v>
      </c>
      <c r="L553" t="s">
        <v>4460</v>
      </c>
      <c r="M553" t="s">
        <v>4407</v>
      </c>
      <c r="N553" t="s">
        <v>60</v>
      </c>
      <c r="O553" t="s">
        <v>34</v>
      </c>
      <c r="P553" s="3">
        <v>41107</v>
      </c>
      <c r="Q553" s="3">
        <v>41107</v>
      </c>
      <c r="R553" s="3">
        <v>1000</v>
      </c>
      <c r="S553" s="3">
        <v>40107</v>
      </c>
      <c r="T553" t="s">
        <v>4408</v>
      </c>
      <c r="U553">
        <v>7932908</v>
      </c>
    </row>
    <row r="554" spans="1:21" x14ac:dyDescent="0.25">
      <c r="A554" s="9" t="s">
        <v>4401</v>
      </c>
      <c r="B554" s="10">
        <v>44049</v>
      </c>
      <c r="C554" s="1">
        <v>44048</v>
      </c>
      <c r="D554" t="s">
        <v>4402</v>
      </c>
      <c r="E554" s="11">
        <v>0.375</v>
      </c>
      <c r="F554" s="11">
        <v>0.375</v>
      </c>
      <c r="G554">
        <v>73608</v>
      </c>
      <c r="H554" t="s">
        <v>4941</v>
      </c>
      <c r="I554" t="s">
        <v>187</v>
      </c>
      <c r="J554" t="s">
        <v>4458</v>
      </c>
      <c r="K554" t="s">
        <v>4459</v>
      </c>
      <c r="L554" t="s">
        <v>4460</v>
      </c>
      <c r="M554" t="s">
        <v>4407</v>
      </c>
      <c r="N554" t="s">
        <v>60</v>
      </c>
      <c r="O554" t="s">
        <v>34</v>
      </c>
      <c r="P554" s="3">
        <v>50000</v>
      </c>
      <c r="Q554" s="3">
        <v>63450</v>
      </c>
      <c r="R554" s="3">
        <v>9000</v>
      </c>
      <c r="S554" s="3">
        <v>54450</v>
      </c>
      <c r="T554" t="s">
        <v>4408</v>
      </c>
      <c r="U554">
        <v>7932908</v>
      </c>
    </row>
    <row r="555" spans="1:21" x14ac:dyDescent="0.25">
      <c r="A555" s="9" t="s">
        <v>4401</v>
      </c>
      <c r="B555" s="10">
        <v>44049</v>
      </c>
      <c r="C555" s="1">
        <v>44048</v>
      </c>
      <c r="D555" t="s">
        <v>4402</v>
      </c>
      <c r="E555" s="11">
        <v>0.375</v>
      </c>
      <c r="F555" s="11">
        <v>0.375</v>
      </c>
      <c r="G555">
        <v>73609</v>
      </c>
      <c r="H555" t="s">
        <v>4942</v>
      </c>
      <c r="I555">
        <v>2</v>
      </c>
      <c r="J555" t="s">
        <v>4458</v>
      </c>
      <c r="K555" t="s">
        <v>4459</v>
      </c>
      <c r="L555" t="s">
        <v>4460</v>
      </c>
      <c r="M555" t="s">
        <v>4407</v>
      </c>
      <c r="N555" t="s">
        <v>60</v>
      </c>
      <c r="O555" t="s">
        <v>34</v>
      </c>
      <c r="P555" s="3">
        <v>39437</v>
      </c>
      <c r="Q555" s="3">
        <v>39437</v>
      </c>
      <c r="R555" s="3">
        <v>5425</v>
      </c>
      <c r="S555" s="3">
        <v>34012</v>
      </c>
      <c r="T555" t="s">
        <v>4408</v>
      </c>
      <c r="U555">
        <v>7932908</v>
      </c>
    </row>
    <row r="556" spans="1:21" x14ac:dyDescent="0.25">
      <c r="A556" s="9" t="s">
        <v>4401</v>
      </c>
      <c r="B556" s="10">
        <v>44049</v>
      </c>
      <c r="C556" s="1">
        <v>44048</v>
      </c>
      <c r="D556" t="s">
        <v>4402</v>
      </c>
      <c r="E556" s="11">
        <v>0.375</v>
      </c>
      <c r="F556" s="11">
        <v>0.375</v>
      </c>
      <c r="G556">
        <v>73610</v>
      </c>
      <c r="H556" t="s">
        <v>4943</v>
      </c>
      <c r="I556">
        <v>2</v>
      </c>
      <c r="J556" t="s">
        <v>4458</v>
      </c>
      <c r="K556" t="s">
        <v>4459</v>
      </c>
      <c r="L556" t="s">
        <v>4460</v>
      </c>
      <c r="M556" t="s">
        <v>4407</v>
      </c>
      <c r="N556" t="s">
        <v>60</v>
      </c>
      <c r="O556" t="s">
        <v>34</v>
      </c>
      <c r="P556" s="3">
        <v>91238</v>
      </c>
      <c r="Q556" s="3">
        <v>91238</v>
      </c>
      <c r="R556">
        <v>0</v>
      </c>
      <c r="S556" s="3">
        <v>91238</v>
      </c>
      <c r="T556" t="s">
        <v>4408</v>
      </c>
      <c r="U556">
        <v>7932908</v>
      </c>
    </row>
    <row r="557" spans="1:21" x14ac:dyDescent="0.25">
      <c r="A557" s="9" t="s">
        <v>4401</v>
      </c>
      <c r="B557" s="10">
        <v>44049</v>
      </c>
      <c r="C557" s="1">
        <v>44048</v>
      </c>
      <c r="D557" t="s">
        <v>4402</v>
      </c>
      <c r="E557" s="11">
        <v>0.375</v>
      </c>
      <c r="F557" s="11">
        <v>0.375</v>
      </c>
      <c r="G557">
        <v>73612</v>
      </c>
      <c r="H557" t="s">
        <v>4944</v>
      </c>
      <c r="I557" t="s">
        <v>187</v>
      </c>
      <c r="J557" t="s">
        <v>4458</v>
      </c>
      <c r="K557" t="s">
        <v>4459</v>
      </c>
      <c r="L557" t="s">
        <v>4460</v>
      </c>
      <c r="M557" t="s">
        <v>4407</v>
      </c>
      <c r="N557" t="s">
        <v>60</v>
      </c>
      <c r="O557" t="s">
        <v>34</v>
      </c>
      <c r="P557" s="3">
        <v>4299</v>
      </c>
      <c r="Q557" s="3">
        <v>4299</v>
      </c>
      <c r="R557">
        <v>35</v>
      </c>
      <c r="S557" s="3">
        <v>4264</v>
      </c>
      <c r="T557" t="s">
        <v>4408</v>
      </c>
      <c r="U557">
        <v>7932908</v>
      </c>
    </row>
    <row r="558" spans="1:21" x14ac:dyDescent="0.25">
      <c r="A558" s="9" t="s">
        <v>4401</v>
      </c>
      <c r="B558" s="10">
        <v>44049</v>
      </c>
      <c r="C558" s="1">
        <v>44048</v>
      </c>
      <c r="D558" t="s">
        <v>4402</v>
      </c>
      <c r="E558" s="11">
        <v>0.375</v>
      </c>
      <c r="F558" s="11">
        <v>0.375</v>
      </c>
      <c r="G558">
        <v>73613</v>
      </c>
      <c r="H558" t="s">
        <v>4945</v>
      </c>
      <c r="I558" t="s">
        <v>187</v>
      </c>
      <c r="J558" t="s">
        <v>4458</v>
      </c>
      <c r="K558" t="s">
        <v>4459</v>
      </c>
      <c r="L558" t="s">
        <v>4460</v>
      </c>
      <c r="M558" t="s">
        <v>4407</v>
      </c>
      <c r="N558" t="s">
        <v>60</v>
      </c>
      <c r="O558" t="s">
        <v>34</v>
      </c>
      <c r="P558" s="3">
        <v>9647</v>
      </c>
      <c r="Q558" s="3">
        <v>9647</v>
      </c>
      <c r="R558">
        <v>4</v>
      </c>
      <c r="S558" s="3">
        <v>9643</v>
      </c>
      <c r="T558" t="s">
        <v>4408</v>
      </c>
      <c r="U558">
        <v>7932908</v>
      </c>
    </row>
    <row r="559" spans="1:21" x14ac:dyDescent="0.25">
      <c r="A559" s="9" t="s">
        <v>4401</v>
      </c>
      <c r="B559" s="10">
        <v>44049</v>
      </c>
      <c r="C559" s="1">
        <v>44048</v>
      </c>
      <c r="D559" t="s">
        <v>4402</v>
      </c>
      <c r="E559" s="11">
        <v>0.375</v>
      </c>
      <c r="F559" s="11">
        <v>0.375</v>
      </c>
      <c r="G559">
        <v>73617</v>
      </c>
      <c r="H559" t="s">
        <v>4946</v>
      </c>
      <c r="I559" t="s">
        <v>367</v>
      </c>
      <c r="J559" t="s">
        <v>4404</v>
      </c>
      <c r="K559" t="s">
        <v>4405</v>
      </c>
      <c r="L559" t="s">
        <v>4406</v>
      </c>
      <c r="M559" t="s">
        <v>4407</v>
      </c>
      <c r="N559" t="s">
        <v>60</v>
      </c>
      <c r="O559" t="s">
        <v>34</v>
      </c>
      <c r="P559" s="3">
        <v>252372</v>
      </c>
      <c r="Q559" s="3">
        <v>252372</v>
      </c>
      <c r="R559" s="3">
        <v>50382</v>
      </c>
      <c r="S559" s="3">
        <v>201990</v>
      </c>
      <c r="T559" t="s">
        <v>4408</v>
      </c>
      <c r="U559">
        <v>7932908</v>
      </c>
    </row>
    <row r="560" spans="1:21" x14ac:dyDescent="0.25">
      <c r="A560" s="9" t="s">
        <v>4401</v>
      </c>
      <c r="B560" s="10">
        <v>44049</v>
      </c>
      <c r="C560" s="1">
        <v>44048</v>
      </c>
      <c r="D560" t="s">
        <v>4402</v>
      </c>
      <c r="E560" s="11">
        <v>0.375</v>
      </c>
      <c r="F560" s="11">
        <v>0.375</v>
      </c>
      <c r="G560">
        <v>73618</v>
      </c>
      <c r="H560" t="s">
        <v>4947</v>
      </c>
      <c r="I560" t="s">
        <v>367</v>
      </c>
      <c r="J560" t="s">
        <v>4404</v>
      </c>
      <c r="K560" t="s">
        <v>4405</v>
      </c>
      <c r="L560" t="s">
        <v>4406</v>
      </c>
      <c r="M560" t="s">
        <v>4407</v>
      </c>
      <c r="N560" t="s">
        <v>60</v>
      </c>
      <c r="O560" t="s">
        <v>34</v>
      </c>
      <c r="P560" s="3">
        <v>392068</v>
      </c>
      <c r="Q560" s="3">
        <v>392068</v>
      </c>
      <c r="R560" s="3">
        <v>76170</v>
      </c>
      <c r="S560" s="3">
        <v>315898</v>
      </c>
      <c r="T560" t="s">
        <v>4408</v>
      </c>
      <c r="U560">
        <v>7932908</v>
      </c>
    </row>
    <row r="561" spans="1:21" x14ac:dyDescent="0.25">
      <c r="A561" s="9" t="s">
        <v>4401</v>
      </c>
      <c r="B561" s="10">
        <v>44049</v>
      </c>
      <c r="C561" s="1">
        <v>44048</v>
      </c>
      <c r="D561" t="s">
        <v>4402</v>
      </c>
      <c r="E561" s="11">
        <v>0.375</v>
      </c>
      <c r="F561" s="11">
        <v>0.375</v>
      </c>
      <c r="G561">
        <v>73619</v>
      </c>
      <c r="H561" t="s">
        <v>4948</v>
      </c>
      <c r="I561">
        <v>2</v>
      </c>
      <c r="J561" t="s">
        <v>4458</v>
      </c>
      <c r="K561" t="s">
        <v>4459</v>
      </c>
      <c r="L561" t="s">
        <v>4460</v>
      </c>
      <c r="M561" t="s">
        <v>4407</v>
      </c>
      <c r="N561" t="s">
        <v>60</v>
      </c>
      <c r="O561" t="s">
        <v>34</v>
      </c>
      <c r="P561" s="3">
        <v>15901</v>
      </c>
      <c r="Q561" s="3">
        <v>15901</v>
      </c>
      <c r="R561">
        <v>0</v>
      </c>
      <c r="S561" s="3">
        <v>15901</v>
      </c>
      <c r="T561" t="s">
        <v>4408</v>
      </c>
      <c r="U561">
        <v>7932908</v>
      </c>
    </row>
    <row r="562" spans="1:21" x14ac:dyDescent="0.25">
      <c r="A562" s="9" t="s">
        <v>4401</v>
      </c>
      <c r="B562" s="10">
        <v>44049</v>
      </c>
      <c r="C562" s="1">
        <v>44048</v>
      </c>
      <c r="D562" t="s">
        <v>4402</v>
      </c>
      <c r="E562" s="11">
        <v>0.375</v>
      </c>
      <c r="F562" s="11">
        <v>0.375</v>
      </c>
      <c r="G562">
        <v>73620</v>
      </c>
      <c r="H562" t="s">
        <v>4949</v>
      </c>
      <c r="I562">
        <v>2</v>
      </c>
      <c r="J562" t="s">
        <v>4458</v>
      </c>
      <c r="K562" t="s">
        <v>4459</v>
      </c>
      <c r="L562" t="s">
        <v>4460</v>
      </c>
      <c r="M562" t="s">
        <v>4407</v>
      </c>
      <c r="N562" t="s">
        <v>60</v>
      </c>
      <c r="O562" t="s">
        <v>34</v>
      </c>
      <c r="P562" s="3">
        <v>37793</v>
      </c>
      <c r="Q562" s="3">
        <v>37793</v>
      </c>
      <c r="R562" s="3">
        <v>1400</v>
      </c>
      <c r="S562" s="3">
        <v>36393</v>
      </c>
      <c r="T562" t="s">
        <v>4408</v>
      </c>
      <c r="U562">
        <v>7932908</v>
      </c>
    </row>
    <row r="563" spans="1:21" x14ac:dyDescent="0.25">
      <c r="A563" s="9" t="s">
        <v>4401</v>
      </c>
      <c r="B563" s="10">
        <v>44049</v>
      </c>
      <c r="C563" s="1">
        <v>44048</v>
      </c>
      <c r="D563" t="s">
        <v>4402</v>
      </c>
      <c r="E563" s="11">
        <v>0.375</v>
      </c>
      <c r="F563" s="11">
        <v>0.375</v>
      </c>
      <c r="G563">
        <v>73621</v>
      </c>
      <c r="H563" t="s">
        <v>4950</v>
      </c>
      <c r="I563">
        <v>3</v>
      </c>
      <c r="J563" t="s">
        <v>4458</v>
      </c>
      <c r="K563" t="s">
        <v>4459</v>
      </c>
      <c r="L563" t="s">
        <v>4460</v>
      </c>
      <c r="M563" t="s">
        <v>4407</v>
      </c>
      <c r="N563" t="s">
        <v>60</v>
      </c>
      <c r="O563" t="s">
        <v>34</v>
      </c>
      <c r="P563" s="3">
        <v>15649</v>
      </c>
      <c r="Q563" s="3">
        <v>15649</v>
      </c>
      <c r="R563" s="3">
        <v>1190</v>
      </c>
      <c r="S563" s="3">
        <v>14459</v>
      </c>
      <c r="T563" t="s">
        <v>4408</v>
      </c>
      <c r="U563">
        <v>7932908</v>
      </c>
    </row>
    <row r="564" spans="1:21" x14ac:dyDescent="0.25">
      <c r="A564" s="9" t="s">
        <v>4401</v>
      </c>
      <c r="B564" s="10">
        <v>44049</v>
      </c>
      <c r="C564" s="1">
        <v>44048</v>
      </c>
      <c r="D564" t="s">
        <v>4402</v>
      </c>
      <c r="E564" s="11">
        <v>0.375</v>
      </c>
      <c r="F564" s="11">
        <v>0.375</v>
      </c>
      <c r="G564">
        <v>73623</v>
      </c>
      <c r="H564" t="s">
        <v>4951</v>
      </c>
      <c r="I564">
        <v>2</v>
      </c>
      <c r="J564" t="s">
        <v>4458</v>
      </c>
      <c r="K564" t="s">
        <v>4459</v>
      </c>
      <c r="L564" t="s">
        <v>4460</v>
      </c>
      <c r="M564" t="s">
        <v>4407</v>
      </c>
      <c r="N564" t="s">
        <v>60</v>
      </c>
      <c r="O564" t="s">
        <v>34</v>
      </c>
      <c r="P564" s="3">
        <v>4193</v>
      </c>
      <c r="Q564" s="3">
        <v>4193</v>
      </c>
      <c r="R564">
        <v>0</v>
      </c>
      <c r="S564" s="3">
        <v>4193</v>
      </c>
      <c r="T564" t="s">
        <v>4408</v>
      </c>
      <c r="U564">
        <v>7932908</v>
      </c>
    </row>
    <row r="565" spans="1:21" x14ac:dyDescent="0.25">
      <c r="A565" s="9" t="s">
        <v>4401</v>
      </c>
      <c r="B565" s="10">
        <v>44049</v>
      </c>
      <c r="C565" s="1">
        <v>44048</v>
      </c>
      <c r="D565" t="s">
        <v>4402</v>
      </c>
      <c r="E565" s="11">
        <v>0.375</v>
      </c>
      <c r="F565" s="11">
        <v>0.375</v>
      </c>
      <c r="G565">
        <v>73626</v>
      </c>
      <c r="H565" t="s">
        <v>4952</v>
      </c>
      <c r="I565" t="s">
        <v>367</v>
      </c>
      <c r="J565" t="s">
        <v>4458</v>
      </c>
      <c r="K565" t="s">
        <v>4459</v>
      </c>
      <c r="L565" t="s">
        <v>4460</v>
      </c>
      <c r="M565" t="s">
        <v>4407</v>
      </c>
      <c r="N565" t="s">
        <v>60</v>
      </c>
      <c r="O565" t="s">
        <v>34</v>
      </c>
      <c r="P565" s="3">
        <v>16114</v>
      </c>
      <c r="Q565" s="3">
        <v>16114</v>
      </c>
      <c r="R565">
        <v>0</v>
      </c>
      <c r="S565" s="3">
        <v>16114</v>
      </c>
      <c r="T565" t="s">
        <v>4408</v>
      </c>
      <c r="U565">
        <v>7932908</v>
      </c>
    </row>
    <row r="566" spans="1:21" x14ac:dyDescent="0.25">
      <c r="A566" s="9" t="s">
        <v>4401</v>
      </c>
      <c r="B566" s="10">
        <v>44049</v>
      </c>
      <c r="C566" s="1">
        <v>44048</v>
      </c>
      <c r="D566" t="s">
        <v>4402</v>
      </c>
      <c r="E566" s="11">
        <v>0.375</v>
      </c>
      <c r="F566" s="11">
        <v>0.375</v>
      </c>
      <c r="G566">
        <v>73628</v>
      </c>
      <c r="H566" t="s">
        <v>4953</v>
      </c>
      <c r="I566" t="s">
        <v>543</v>
      </c>
      <c r="J566" t="s">
        <v>4404</v>
      </c>
      <c r="K566" t="s">
        <v>4405</v>
      </c>
      <c r="L566" t="s">
        <v>4406</v>
      </c>
      <c r="M566" t="s">
        <v>4407</v>
      </c>
      <c r="N566" t="s">
        <v>60</v>
      </c>
      <c r="O566" t="s">
        <v>34</v>
      </c>
      <c r="P566" s="3">
        <v>64691</v>
      </c>
      <c r="Q566" s="3">
        <v>64691</v>
      </c>
      <c r="R566" s="3">
        <v>5000</v>
      </c>
      <c r="S566" s="3">
        <v>59691</v>
      </c>
      <c r="T566" t="s">
        <v>4408</v>
      </c>
      <c r="U566">
        <v>7932908</v>
      </c>
    </row>
    <row r="567" spans="1:21" x14ac:dyDescent="0.25">
      <c r="A567" s="9" t="s">
        <v>4401</v>
      </c>
      <c r="B567" s="10">
        <v>44049</v>
      </c>
      <c r="C567" s="1">
        <v>44048</v>
      </c>
      <c r="D567" t="s">
        <v>4402</v>
      </c>
      <c r="E567" s="11">
        <v>0.375</v>
      </c>
      <c r="F567" s="11">
        <v>0.375</v>
      </c>
      <c r="G567">
        <v>73632</v>
      </c>
      <c r="H567" t="s">
        <v>4601</v>
      </c>
      <c r="I567" t="s">
        <v>680</v>
      </c>
      <c r="J567" t="s">
        <v>4458</v>
      </c>
      <c r="K567" t="s">
        <v>4459</v>
      </c>
      <c r="L567" t="s">
        <v>4460</v>
      </c>
      <c r="M567" t="s">
        <v>4407</v>
      </c>
      <c r="N567" t="s">
        <v>60</v>
      </c>
      <c r="O567" t="s">
        <v>34</v>
      </c>
      <c r="P567" s="3">
        <v>87307</v>
      </c>
      <c r="Q567" s="3">
        <v>87307</v>
      </c>
      <c r="R567">
        <v>0</v>
      </c>
      <c r="S567" s="3">
        <v>87307</v>
      </c>
      <c r="T567" t="s">
        <v>4408</v>
      </c>
      <c r="U567">
        <v>7932908</v>
      </c>
    </row>
    <row r="568" spans="1:21" x14ac:dyDescent="0.25">
      <c r="A568" s="9" t="s">
        <v>4401</v>
      </c>
      <c r="B568" s="10">
        <v>44049</v>
      </c>
      <c r="C568" s="1">
        <v>44048</v>
      </c>
      <c r="D568" t="s">
        <v>4402</v>
      </c>
      <c r="E568" s="11">
        <v>0.375</v>
      </c>
      <c r="F568" s="11">
        <v>0.375</v>
      </c>
      <c r="G568">
        <v>73633</v>
      </c>
      <c r="H568" t="s">
        <v>4954</v>
      </c>
      <c r="I568" t="s">
        <v>367</v>
      </c>
      <c r="J568" t="s">
        <v>4458</v>
      </c>
      <c r="K568" t="s">
        <v>4459</v>
      </c>
      <c r="L568" t="s">
        <v>4460</v>
      </c>
      <c r="M568" t="s">
        <v>4407</v>
      </c>
      <c r="N568" t="s">
        <v>60</v>
      </c>
      <c r="O568" t="s">
        <v>34</v>
      </c>
      <c r="P568" s="3">
        <v>8601</v>
      </c>
      <c r="Q568" s="3">
        <v>8601</v>
      </c>
      <c r="R568">
        <v>10</v>
      </c>
      <c r="S568" s="3">
        <v>8591</v>
      </c>
      <c r="T568" t="s">
        <v>4408</v>
      </c>
      <c r="U568">
        <v>7932908</v>
      </c>
    </row>
    <row r="569" spans="1:21" x14ac:dyDescent="0.25">
      <c r="A569" s="9" t="s">
        <v>4401</v>
      </c>
      <c r="B569" s="10">
        <v>44049</v>
      </c>
      <c r="C569" s="1">
        <v>44048</v>
      </c>
      <c r="D569" t="s">
        <v>4402</v>
      </c>
      <c r="E569" s="11">
        <v>0.375</v>
      </c>
      <c r="F569" s="11">
        <v>0.375</v>
      </c>
      <c r="G569">
        <v>73636</v>
      </c>
      <c r="H569" t="s">
        <v>4955</v>
      </c>
      <c r="I569" t="s">
        <v>367</v>
      </c>
      <c r="J569" t="s">
        <v>4458</v>
      </c>
      <c r="K569" t="s">
        <v>4459</v>
      </c>
      <c r="L569" t="s">
        <v>4460</v>
      </c>
      <c r="M569" t="s">
        <v>4407</v>
      </c>
      <c r="N569" t="s">
        <v>60</v>
      </c>
      <c r="O569" t="s">
        <v>34</v>
      </c>
      <c r="P569" s="3">
        <v>8601</v>
      </c>
      <c r="Q569" s="3">
        <v>8601</v>
      </c>
      <c r="R569">
        <v>0</v>
      </c>
      <c r="S569" s="3">
        <v>8601</v>
      </c>
      <c r="T569" t="s">
        <v>4408</v>
      </c>
      <c r="U569">
        <v>7932908</v>
      </c>
    </row>
    <row r="570" spans="1:21" x14ac:dyDescent="0.25">
      <c r="A570" s="9" t="s">
        <v>4401</v>
      </c>
      <c r="B570" s="10">
        <v>44049</v>
      </c>
      <c r="C570" s="1">
        <v>44048</v>
      </c>
      <c r="D570" t="s">
        <v>4402</v>
      </c>
      <c r="E570" s="11">
        <v>0.375</v>
      </c>
      <c r="F570" s="11">
        <v>0.375</v>
      </c>
      <c r="G570">
        <v>73637</v>
      </c>
      <c r="H570" t="s">
        <v>4956</v>
      </c>
      <c r="I570" t="s">
        <v>187</v>
      </c>
      <c r="J570" t="s">
        <v>4458</v>
      </c>
      <c r="K570" t="s">
        <v>4459</v>
      </c>
      <c r="L570" t="s">
        <v>4460</v>
      </c>
      <c r="M570" t="s">
        <v>4407</v>
      </c>
      <c r="N570" t="s">
        <v>60</v>
      </c>
      <c r="O570" t="s">
        <v>34</v>
      </c>
      <c r="P570" s="3">
        <v>15901</v>
      </c>
      <c r="Q570" s="3">
        <v>15901</v>
      </c>
      <c r="R570">
        <v>0</v>
      </c>
      <c r="S570" s="3">
        <v>15901</v>
      </c>
      <c r="T570" t="s">
        <v>4408</v>
      </c>
      <c r="U570">
        <v>7932908</v>
      </c>
    </row>
    <row r="571" spans="1:21" x14ac:dyDescent="0.25">
      <c r="A571" s="9" t="s">
        <v>4401</v>
      </c>
      <c r="B571" s="10">
        <v>44049</v>
      </c>
      <c r="C571" s="1">
        <v>44048</v>
      </c>
      <c r="D571" t="s">
        <v>4402</v>
      </c>
      <c r="E571" s="11">
        <v>0.375</v>
      </c>
      <c r="F571" s="11">
        <v>0.375</v>
      </c>
      <c r="G571">
        <v>73639</v>
      </c>
      <c r="H571" t="s">
        <v>4957</v>
      </c>
      <c r="I571" t="s">
        <v>187</v>
      </c>
      <c r="J571" t="s">
        <v>4458</v>
      </c>
      <c r="K571" t="s">
        <v>4459</v>
      </c>
      <c r="L571" t="s">
        <v>4460</v>
      </c>
      <c r="M571" t="s">
        <v>4407</v>
      </c>
      <c r="N571" t="s">
        <v>60</v>
      </c>
      <c r="O571" t="s">
        <v>34</v>
      </c>
      <c r="P571" s="3">
        <v>57648</v>
      </c>
      <c r="Q571" s="3">
        <v>57648</v>
      </c>
      <c r="R571" s="3">
        <v>4580</v>
      </c>
      <c r="S571" s="3">
        <v>53068</v>
      </c>
      <c r="T571" t="s">
        <v>4408</v>
      </c>
      <c r="U571">
        <v>7932908</v>
      </c>
    </row>
    <row r="572" spans="1:21" x14ac:dyDescent="0.25">
      <c r="A572" s="9" t="s">
        <v>4401</v>
      </c>
      <c r="B572" s="10">
        <v>44049</v>
      </c>
      <c r="C572" s="1">
        <v>44048</v>
      </c>
      <c r="D572" t="s">
        <v>4402</v>
      </c>
      <c r="E572" s="11">
        <v>0.375</v>
      </c>
      <c r="F572" s="11">
        <v>0.375</v>
      </c>
      <c r="G572">
        <v>73640</v>
      </c>
      <c r="H572" t="s">
        <v>4958</v>
      </c>
      <c r="I572" t="s">
        <v>187</v>
      </c>
      <c r="J572" t="s">
        <v>4458</v>
      </c>
      <c r="K572" t="s">
        <v>4459</v>
      </c>
      <c r="L572" t="s">
        <v>4460</v>
      </c>
      <c r="M572" t="s">
        <v>4407</v>
      </c>
      <c r="N572" t="s">
        <v>60</v>
      </c>
      <c r="O572" t="s">
        <v>34</v>
      </c>
      <c r="P572" s="3">
        <v>15901</v>
      </c>
      <c r="Q572" s="3">
        <v>15901</v>
      </c>
      <c r="R572" s="3">
        <v>5420</v>
      </c>
      <c r="S572" s="3">
        <v>10481</v>
      </c>
      <c r="T572" t="s">
        <v>4408</v>
      </c>
      <c r="U572">
        <v>7932908</v>
      </c>
    </row>
    <row r="573" spans="1:21" x14ac:dyDescent="0.25">
      <c r="A573" s="9" t="s">
        <v>4401</v>
      </c>
      <c r="B573" s="10">
        <v>44049</v>
      </c>
      <c r="C573" s="1">
        <v>44048</v>
      </c>
      <c r="D573" t="s">
        <v>4402</v>
      </c>
      <c r="E573" s="11">
        <v>0.375</v>
      </c>
      <c r="F573" s="11">
        <v>0.375</v>
      </c>
      <c r="G573">
        <v>73641</v>
      </c>
      <c r="H573" t="s">
        <v>4959</v>
      </c>
      <c r="I573" t="s">
        <v>187</v>
      </c>
      <c r="J573" t="s">
        <v>4458</v>
      </c>
      <c r="K573" t="s">
        <v>4459</v>
      </c>
      <c r="L573" t="s">
        <v>4460</v>
      </c>
      <c r="M573" t="s">
        <v>4407</v>
      </c>
      <c r="N573" t="s">
        <v>60</v>
      </c>
      <c r="O573" t="s">
        <v>34</v>
      </c>
      <c r="P573" s="3">
        <v>15901</v>
      </c>
      <c r="Q573" s="3">
        <v>15901</v>
      </c>
      <c r="R573">
        <v>200</v>
      </c>
      <c r="S573" s="3">
        <v>15701</v>
      </c>
      <c r="T573" t="s">
        <v>4408</v>
      </c>
      <c r="U573">
        <v>7932908</v>
      </c>
    </row>
    <row r="574" spans="1:21" x14ac:dyDescent="0.25">
      <c r="A574" s="9" t="s">
        <v>4401</v>
      </c>
      <c r="B574" s="10">
        <v>44049</v>
      </c>
      <c r="C574" s="1">
        <v>44048</v>
      </c>
      <c r="D574" t="s">
        <v>4402</v>
      </c>
      <c r="E574" s="11">
        <v>0.375</v>
      </c>
      <c r="F574" s="11">
        <v>0.375</v>
      </c>
      <c r="G574">
        <v>73642</v>
      </c>
      <c r="H574" t="s">
        <v>4960</v>
      </c>
      <c r="I574" t="s">
        <v>543</v>
      </c>
      <c r="J574" t="s">
        <v>4404</v>
      </c>
      <c r="K574" t="s">
        <v>4405</v>
      </c>
      <c r="L574" t="s">
        <v>4406</v>
      </c>
      <c r="M574" t="s">
        <v>4407</v>
      </c>
      <c r="N574" t="s">
        <v>60</v>
      </c>
      <c r="O574" t="s">
        <v>34</v>
      </c>
      <c r="P574" s="3">
        <v>4737</v>
      </c>
      <c r="Q574" s="3">
        <v>4737</v>
      </c>
      <c r="R574">
        <v>0</v>
      </c>
      <c r="S574" s="3">
        <v>4737</v>
      </c>
      <c r="T574" t="s">
        <v>4408</v>
      </c>
      <c r="U574">
        <v>7932908</v>
      </c>
    </row>
    <row r="575" spans="1:21" x14ac:dyDescent="0.25">
      <c r="A575" s="9" t="s">
        <v>4401</v>
      </c>
      <c r="B575" s="10">
        <v>44049</v>
      </c>
      <c r="C575" s="1">
        <v>44048</v>
      </c>
      <c r="D575" t="s">
        <v>4402</v>
      </c>
      <c r="E575" s="11">
        <v>0.375</v>
      </c>
      <c r="F575" s="11">
        <v>0.375</v>
      </c>
      <c r="G575">
        <v>73646</v>
      </c>
      <c r="H575" t="s">
        <v>4961</v>
      </c>
      <c r="I575" t="s">
        <v>680</v>
      </c>
      <c r="J575" t="s">
        <v>4458</v>
      </c>
      <c r="K575" t="s">
        <v>4459</v>
      </c>
      <c r="L575" t="s">
        <v>4460</v>
      </c>
      <c r="M575" t="s">
        <v>4407</v>
      </c>
      <c r="N575" t="s">
        <v>60</v>
      </c>
      <c r="O575" t="s">
        <v>34</v>
      </c>
      <c r="P575" s="3">
        <v>38864</v>
      </c>
      <c r="Q575" s="3">
        <v>38864</v>
      </c>
      <c r="R575">
        <v>0</v>
      </c>
      <c r="S575" s="3">
        <v>38864</v>
      </c>
      <c r="T575" t="s">
        <v>4408</v>
      </c>
      <c r="U575">
        <v>7932908</v>
      </c>
    </row>
    <row r="576" spans="1:21" x14ac:dyDescent="0.25">
      <c r="A576" s="9" t="s">
        <v>4401</v>
      </c>
      <c r="B576" s="10">
        <v>44049</v>
      </c>
      <c r="C576" s="1">
        <v>44048</v>
      </c>
      <c r="D576" t="s">
        <v>4402</v>
      </c>
      <c r="E576" s="11">
        <v>0.375</v>
      </c>
      <c r="F576" s="11">
        <v>0.375</v>
      </c>
      <c r="G576">
        <v>73649</v>
      </c>
      <c r="H576" t="s">
        <v>4962</v>
      </c>
      <c r="I576" t="s">
        <v>187</v>
      </c>
      <c r="J576" t="s">
        <v>4458</v>
      </c>
      <c r="K576" t="s">
        <v>4459</v>
      </c>
      <c r="L576" t="s">
        <v>4460</v>
      </c>
      <c r="M576" t="s">
        <v>4407</v>
      </c>
      <c r="N576" t="s">
        <v>60</v>
      </c>
      <c r="O576" t="s">
        <v>34</v>
      </c>
      <c r="P576" s="3">
        <v>35721</v>
      </c>
      <c r="Q576" s="3">
        <v>35721</v>
      </c>
      <c r="R576">
        <v>50</v>
      </c>
      <c r="S576" s="3">
        <v>35671</v>
      </c>
      <c r="T576" t="s">
        <v>4408</v>
      </c>
      <c r="U576">
        <v>7932908</v>
      </c>
    </row>
    <row r="577" spans="1:21" x14ac:dyDescent="0.25">
      <c r="A577" s="9" t="s">
        <v>4401</v>
      </c>
      <c r="B577" s="10">
        <v>44049</v>
      </c>
      <c r="C577" s="1">
        <v>44048</v>
      </c>
      <c r="D577" t="s">
        <v>4402</v>
      </c>
      <c r="E577" s="11">
        <v>0.375</v>
      </c>
      <c r="F577" s="11">
        <v>0.375</v>
      </c>
      <c r="G577">
        <v>73650</v>
      </c>
      <c r="H577" t="s">
        <v>4963</v>
      </c>
      <c r="I577">
        <v>2</v>
      </c>
      <c r="J577" t="s">
        <v>4458</v>
      </c>
      <c r="K577" t="s">
        <v>4459</v>
      </c>
      <c r="L577" t="s">
        <v>4460</v>
      </c>
      <c r="M577" t="s">
        <v>4407</v>
      </c>
      <c r="N577" t="s">
        <v>60</v>
      </c>
      <c r="O577" t="s">
        <v>34</v>
      </c>
      <c r="P577" s="3">
        <v>36835</v>
      </c>
      <c r="Q577" s="3">
        <v>36835</v>
      </c>
      <c r="R577">
        <v>1</v>
      </c>
      <c r="S577" s="3">
        <v>36834</v>
      </c>
      <c r="T577" t="s">
        <v>4408</v>
      </c>
      <c r="U577">
        <v>7932908</v>
      </c>
    </row>
    <row r="578" spans="1:21" x14ac:dyDescent="0.25">
      <c r="A578" s="9" t="s">
        <v>4401</v>
      </c>
      <c r="B578" s="10">
        <v>44049</v>
      </c>
      <c r="C578" s="1">
        <v>44048</v>
      </c>
      <c r="D578" t="s">
        <v>4402</v>
      </c>
      <c r="E578" s="11">
        <v>0.375</v>
      </c>
      <c r="F578" s="11">
        <v>0.375</v>
      </c>
      <c r="G578">
        <v>73651</v>
      </c>
      <c r="H578" t="s">
        <v>4964</v>
      </c>
      <c r="I578">
        <v>3</v>
      </c>
      <c r="J578" t="s">
        <v>4458</v>
      </c>
      <c r="K578" t="s">
        <v>4459</v>
      </c>
      <c r="L578" t="s">
        <v>4460</v>
      </c>
      <c r="M578" t="s">
        <v>4407</v>
      </c>
      <c r="N578" t="s">
        <v>60</v>
      </c>
      <c r="O578" t="s">
        <v>34</v>
      </c>
      <c r="P578" s="3">
        <v>33183</v>
      </c>
      <c r="Q578" s="3">
        <v>33183</v>
      </c>
      <c r="R578">
        <v>0</v>
      </c>
      <c r="S578" s="3">
        <v>33183</v>
      </c>
      <c r="T578" t="s">
        <v>4408</v>
      </c>
      <c r="U578">
        <v>7932908</v>
      </c>
    </row>
    <row r="579" spans="1:21" x14ac:dyDescent="0.25">
      <c r="A579" s="9" t="s">
        <v>4401</v>
      </c>
      <c r="B579" s="10">
        <v>44049</v>
      </c>
      <c r="C579" s="1">
        <v>44048</v>
      </c>
      <c r="D579" t="s">
        <v>4402</v>
      </c>
      <c r="E579" s="11">
        <v>0.375</v>
      </c>
      <c r="F579" s="11">
        <v>0.375</v>
      </c>
      <c r="G579">
        <v>73652</v>
      </c>
      <c r="H579" t="s">
        <v>4965</v>
      </c>
      <c r="I579" t="s">
        <v>187</v>
      </c>
      <c r="J579" t="s">
        <v>4458</v>
      </c>
      <c r="K579" t="s">
        <v>4459</v>
      </c>
      <c r="L579" t="s">
        <v>4460</v>
      </c>
      <c r="M579" t="s">
        <v>4407</v>
      </c>
      <c r="N579" t="s">
        <v>60</v>
      </c>
      <c r="O579" t="s">
        <v>34</v>
      </c>
      <c r="P579" s="3">
        <v>15901</v>
      </c>
      <c r="Q579" s="3">
        <v>15901</v>
      </c>
      <c r="R579">
        <v>60</v>
      </c>
      <c r="S579" s="3">
        <v>15841</v>
      </c>
      <c r="T579" t="s">
        <v>4408</v>
      </c>
      <c r="U579">
        <v>7932908</v>
      </c>
    </row>
    <row r="580" spans="1:21" x14ac:dyDescent="0.25">
      <c r="A580" s="9" t="s">
        <v>4401</v>
      </c>
      <c r="B580" s="10">
        <v>44049</v>
      </c>
      <c r="C580" s="1">
        <v>44048</v>
      </c>
      <c r="D580" t="s">
        <v>4402</v>
      </c>
      <c r="E580" s="11">
        <v>0.375</v>
      </c>
      <c r="F580" s="11">
        <v>0.375</v>
      </c>
      <c r="G580">
        <v>73653</v>
      </c>
      <c r="H580" t="s">
        <v>4966</v>
      </c>
      <c r="I580" t="s">
        <v>367</v>
      </c>
      <c r="J580" t="s">
        <v>4404</v>
      </c>
      <c r="K580" t="s">
        <v>4405</v>
      </c>
      <c r="L580" t="s">
        <v>4406</v>
      </c>
      <c r="M580" t="s">
        <v>4407</v>
      </c>
      <c r="N580" t="s">
        <v>34</v>
      </c>
      <c r="O580" t="s">
        <v>34</v>
      </c>
      <c r="P580" s="3">
        <v>6514</v>
      </c>
      <c r="Q580" s="3">
        <v>6514</v>
      </c>
      <c r="R580">
        <v>1</v>
      </c>
      <c r="S580" s="3">
        <v>6513</v>
      </c>
      <c r="T580" t="s">
        <v>4408</v>
      </c>
      <c r="U580">
        <v>7932908</v>
      </c>
    </row>
    <row r="581" spans="1:21" x14ac:dyDescent="0.25">
      <c r="A581" s="9" t="s">
        <v>4401</v>
      </c>
      <c r="B581" s="10">
        <v>44049</v>
      </c>
      <c r="C581" s="1">
        <v>44048</v>
      </c>
      <c r="D581" t="s">
        <v>4402</v>
      </c>
      <c r="E581" s="11">
        <v>0.375</v>
      </c>
      <c r="F581" s="11">
        <v>0.375</v>
      </c>
      <c r="G581">
        <v>73654</v>
      </c>
      <c r="H581" t="s">
        <v>4967</v>
      </c>
      <c r="I581" t="s">
        <v>543</v>
      </c>
      <c r="J581" t="s">
        <v>4458</v>
      </c>
      <c r="K581" t="s">
        <v>4459</v>
      </c>
      <c r="L581" t="s">
        <v>4460</v>
      </c>
      <c r="M581" t="s">
        <v>4407</v>
      </c>
      <c r="N581" t="s">
        <v>34</v>
      </c>
      <c r="O581" t="s">
        <v>34</v>
      </c>
      <c r="P581" s="3">
        <v>83503</v>
      </c>
      <c r="Q581" s="3">
        <v>83503</v>
      </c>
      <c r="R581" s="3">
        <v>2100</v>
      </c>
      <c r="S581" s="3">
        <v>81403</v>
      </c>
      <c r="T581" t="s">
        <v>4408</v>
      </c>
      <c r="U581">
        <v>7932908</v>
      </c>
    </row>
    <row r="582" spans="1:21" x14ac:dyDescent="0.25">
      <c r="A582" s="9" t="s">
        <v>4401</v>
      </c>
      <c r="B582" s="10">
        <v>44049</v>
      </c>
      <c r="C582" s="1">
        <v>44048</v>
      </c>
      <c r="D582" t="s">
        <v>4402</v>
      </c>
      <c r="E582" s="11">
        <v>0.375</v>
      </c>
      <c r="F582" s="11">
        <v>0.375</v>
      </c>
      <c r="G582">
        <v>73656</v>
      </c>
      <c r="H582" t="s">
        <v>4968</v>
      </c>
      <c r="I582">
        <v>2</v>
      </c>
      <c r="J582" t="s">
        <v>4458</v>
      </c>
      <c r="K582" t="s">
        <v>4459</v>
      </c>
      <c r="L582" t="s">
        <v>4460</v>
      </c>
      <c r="M582" t="s">
        <v>4407</v>
      </c>
      <c r="N582" t="s">
        <v>60</v>
      </c>
      <c r="O582" t="s">
        <v>34</v>
      </c>
      <c r="P582" s="3">
        <v>632343</v>
      </c>
      <c r="Q582" s="3">
        <v>640159</v>
      </c>
      <c r="R582" s="3">
        <v>220032</v>
      </c>
      <c r="S582" s="3">
        <v>420127</v>
      </c>
      <c r="T582" t="s">
        <v>4408</v>
      </c>
      <c r="U582">
        <v>7932908</v>
      </c>
    </row>
    <row r="583" spans="1:21" x14ac:dyDescent="0.25">
      <c r="A583" s="9" t="s">
        <v>4401</v>
      </c>
      <c r="B583" s="10">
        <v>44049</v>
      </c>
      <c r="C583" s="1">
        <v>44048</v>
      </c>
      <c r="D583" t="s">
        <v>4402</v>
      </c>
      <c r="E583" s="11">
        <v>0.375</v>
      </c>
      <c r="F583" s="11">
        <v>0.375</v>
      </c>
      <c r="G583">
        <v>73659</v>
      </c>
      <c r="H583" t="s">
        <v>4969</v>
      </c>
      <c r="I583">
        <v>3</v>
      </c>
      <c r="J583" t="s">
        <v>4458</v>
      </c>
      <c r="K583" t="s">
        <v>4459</v>
      </c>
      <c r="L583" t="s">
        <v>4460</v>
      </c>
      <c r="M583" t="s">
        <v>4407</v>
      </c>
      <c r="N583" t="s">
        <v>60</v>
      </c>
      <c r="O583" t="s">
        <v>34</v>
      </c>
      <c r="P583" s="3">
        <v>18067</v>
      </c>
      <c r="Q583" s="3">
        <v>18067</v>
      </c>
      <c r="R583" s="3">
        <v>2000</v>
      </c>
      <c r="S583" s="3">
        <v>16067</v>
      </c>
      <c r="T583" t="s">
        <v>4408</v>
      </c>
      <c r="U583">
        <v>7932908</v>
      </c>
    </row>
    <row r="584" spans="1:21" x14ac:dyDescent="0.25">
      <c r="A584" s="9" t="s">
        <v>4401</v>
      </c>
      <c r="B584" s="10">
        <v>44049</v>
      </c>
      <c r="C584" s="1">
        <v>44048</v>
      </c>
      <c r="D584" t="s">
        <v>4402</v>
      </c>
      <c r="E584" s="11">
        <v>0.375</v>
      </c>
      <c r="F584" s="11">
        <v>0.375</v>
      </c>
      <c r="G584">
        <v>73664</v>
      </c>
      <c r="H584" t="s">
        <v>4970</v>
      </c>
      <c r="I584">
        <v>3</v>
      </c>
      <c r="J584" t="s">
        <v>4458</v>
      </c>
      <c r="K584" t="s">
        <v>4459</v>
      </c>
      <c r="L584" t="s">
        <v>4460</v>
      </c>
      <c r="M584" t="s">
        <v>4407</v>
      </c>
      <c r="N584" t="s">
        <v>60</v>
      </c>
      <c r="O584" t="s">
        <v>34</v>
      </c>
      <c r="P584" s="3">
        <v>34847</v>
      </c>
      <c r="Q584" s="3">
        <v>34847</v>
      </c>
      <c r="R584">
        <v>0</v>
      </c>
      <c r="S584" s="3">
        <v>34847</v>
      </c>
      <c r="T584" t="s">
        <v>4408</v>
      </c>
      <c r="U584">
        <v>7932908</v>
      </c>
    </row>
    <row r="585" spans="1:21" x14ac:dyDescent="0.25">
      <c r="A585" s="9" t="s">
        <v>4401</v>
      </c>
      <c r="B585" s="10">
        <v>44049</v>
      </c>
      <c r="C585" s="1">
        <v>44048</v>
      </c>
      <c r="D585" t="s">
        <v>4402</v>
      </c>
      <c r="E585" s="11">
        <v>0.375</v>
      </c>
      <c r="F585" s="11">
        <v>0.375</v>
      </c>
      <c r="G585">
        <v>73667</v>
      </c>
      <c r="H585" t="s">
        <v>4971</v>
      </c>
      <c r="I585" t="s">
        <v>187</v>
      </c>
      <c r="J585" t="s">
        <v>4404</v>
      </c>
      <c r="K585" t="s">
        <v>4405</v>
      </c>
      <c r="L585" t="s">
        <v>4406</v>
      </c>
      <c r="M585" t="s">
        <v>4407</v>
      </c>
      <c r="N585" t="s">
        <v>60</v>
      </c>
      <c r="O585" t="s">
        <v>34</v>
      </c>
      <c r="P585" s="3">
        <v>226210</v>
      </c>
      <c r="Q585" s="3">
        <v>226210</v>
      </c>
      <c r="R585">
        <v>0</v>
      </c>
      <c r="S585" s="3">
        <v>226210</v>
      </c>
      <c r="T585" t="s">
        <v>4408</v>
      </c>
      <c r="U585">
        <v>7932908</v>
      </c>
    </row>
    <row r="586" spans="1:21" x14ac:dyDescent="0.25">
      <c r="A586" s="9" t="s">
        <v>4401</v>
      </c>
      <c r="B586" s="10">
        <v>44049</v>
      </c>
      <c r="C586" s="1">
        <v>44048</v>
      </c>
      <c r="D586" t="s">
        <v>4402</v>
      </c>
      <c r="E586" s="11">
        <v>0.375</v>
      </c>
      <c r="F586" s="11">
        <v>0.375</v>
      </c>
      <c r="G586">
        <v>73669</v>
      </c>
      <c r="H586" t="s">
        <v>4972</v>
      </c>
      <c r="I586" t="s">
        <v>367</v>
      </c>
      <c r="J586" t="s">
        <v>4458</v>
      </c>
      <c r="K586" t="s">
        <v>4459</v>
      </c>
      <c r="L586" t="s">
        <v>4460</v>
      </c>
      <c r="M586" t="s">
        <v>4407</v>
      </c>
      <c r="N586" t="s">
        <v>60</v>
      </c>
      <c r="O586" t="s">
        <v>34</v>
      </c>
      <c r="P586" s="3">
        <v>3579</v>
      </c>
      <c r="Q586" s="3">
        <v>3579</v>
      </c>
      <c r="R586">
        <v>10</v>
      </c>
      <c r="S586" s="3">
        <v>3569</v>
      </c>
      <c r="T586" t="s">
        <v>4408</v>
      </c>
      <c r="U586">
        <v>7932908</v>
      </c>
    </row>
    <row r="587" spans="1:21" x14ac:dyDescent="0.25">
      <c r="A587" s="9" t="s">
        <v>4401</v>
      </c>
      <c r="B587" s="10">
        <v>44049</v>
      </c>
      <c r="C587" s="1">
        <v>44048</v>
      </c>
      <c r="D587" t="s">
        <v>4402</v>
      </c>
      <c r="E587" s="11">
        <v>0.375</v>
      </c>
      <c r="F587" s="11">
        <v>0.375</v>
      </c>
      <c r="G587">
        <v>73670</v>
      </c>
      <c r="H587" t="s">
        <v>4973</v>
      </c>
      <c r="I587" t="s">
        <v>187</v>
      </c>
      <c r="J587" t="s">
        <v>4458</v>
      </c>
      <c r="K587" t="s">
        <v>4459</v>
      </c>
      <c r="L587" t="s">
        <v>4460</v>
      </c>
      <c r="M587" t="s">
        <v>4407</v>
      </c>
      <c r="N587" t="s">
        <v>60</v>
      </c>
      <c r="O587" t="s">
        <v>34</v>
      </c>
      <c r="P587" s="3">
        <v>16347</v>
      </c>
      <c r="Q587" s="3">
        <v>16347</v>
      </c>
      <c r="R587">
        <v>60</v>
      </c>
      <c r="S587" s="3">
        <v>16287</v>
      </c>
      <c r="T587" t="s">
        <v>4408</v>
      </c>
      <c r="U587">
        <v>7932908</v>
      </c>
    </row>
    <row r="588" spans="1:21" x14ac:dyDescent="0.25">
      <c r="A588" s="9" t="s">
        <v>4401</v>
      </c>
      <c r="B588" s="10">
        <v>44049</v>
      </c>
      <c r="C588" s="1">
        <v>44048</v>
      </c>
      <c r="D588" t="s">
        <v>4402</v>
      </c>
      <c r="E588" s="11">
        <v>0.375</v>
      </c>
      <c r="F588" s="11">
        <v>0.375</v>
      </c>
      <c r="G588">
        <v>73671</v>
      </c>
      <c r="H588" t="s">
        <v>4974</v>
      </c>
      <c r="I588">
        <v>2</v>
      </c>
      <c r="J588" t="s">
        <v>4458</v>
      </c>
      <c r="K588" t="s">
        <v>4459</v>
      </c>
      <c r="L588" t="s">
        <v>4460</v>
      </c>
      <c r="M588" t="s">
        <v>4407</v>
      </c>
      <c r="N588" t="s">
        <v>60</v>
      </c>
      <c r="O588" t="s">
        <v>34</v>
      </c>
      <c r="P588" s="3">
        <v>140169</v>
      </c>
      <c r="Q588" s="3">
        <v>140169</v>
      </c>
      <c r="R588">
        <v>0</v>
      </c>
      <c r="S588" s="3">
        <v>140169</v>
      </c>
      <c r="T588" t="s">
        <v>4408</v>
      </c>
      <c r="U588">
        <v>7932908</v>
      </c>
    </row>
    <row r="589" spans="1:21" x14ac:dyDescent="0.25">
      <c r="A589" s="9" t="s">
        <v>4401</v>
      </c>
      <c r="B589" s="10">
        <v>44049</v>
      </c>
      <c r="C589" s="1">
        <v>44048</v>
      </c>
      <c r="D589" t="s">
        <v>4402</v>
      </c>
      <c r="E589" s="11">
        <v>0.375</v>
      </c>
      <c r="F589" s="11">
        <v>0.375</v>
      </c>
      <c r="G589">
        <v>73672</v>
      </c>
      <c r="H589" t="s">
        <v>4975</v>
      </c>
      <c r="I589" t="s">
        <v>187</v>
      </c>
      <c r="J589" t="s">
        <v>4458</v>
      </c>
      <c r="K589" t="s">
        <v>4459</v>
      </c>
      <c r="L589" t="s">
        <v>4460</v>
      </c>
      <c r="M589" t="s">
        <v>4407</v>
      </c>
      <c r="N589" t="s">
        <v>60</v>
      </c>
      <c r="O589" t="s">
        <v>34</v>
      </c>
      <c r="P589" s="3">
        <v>142479</v>
      </c>
      <c r="Q589" s="3">
        <v>155806</v>
      </c>
      <c r="R589">
        <v>20</v>
      </c>
      <c r="S589" s="3">
        <v>155786</v>
      </c>
      <c r="T589" t="s">
        <v>4408</v>
      </c>
      <c r="U589">
        <v>7932908</v>
      </c>
    </row>
    <row r="590" spans="1:21" x14ac:dyDescent="0.25">
      <c r="A590" s="9" t="s">
        <v>4401</v>
      </c>
      <c r="B590" s="10">
        <v>44049</v>
      </c>
      <c r="C590" s="1">
        <v>44048</v>
      </c>
      <c r="D590" t="s">
        <v>4402</v>
      </c>
      <c r="E590" s="11">
        <v>0.375</v>
      </c>
      <c r="F590" s="11">
        <v>0.375</v>
      </c>
      <c r="G590">
        <v>73673</v>
      </c>
      <c r="H590" t="s">
        <v>4976</v>
      </c>
      <c r="I590">
        <v>2</v>
      </c>
      <c r="J590" t="s">
        <v>4458</v>
      </c>
      <c r="K590" t="s">
        <v>4459</v>
      </c>
      <c r="L590" t="s">
        <v>4460</v>
      </c>
      <c r="M590" t="s">
        <v>4407</v>
      </c>
      <c r="N590" t="s">
        <v>60</v>
      </c>
      <c r="O590" t="s">
        <v>34</v>
      </c>
      <c r="P590" s="3">
        <v>413049</v>
      </c>
      <c r="Q590" s="3">
        <v>413049</v>
      </c>
      <c r="R590" s="3">
        <v>197918</v>
      </c>
      <c r="S590" s="3">
        <v>215131</v>
      </c>
      <c r="T590" t="s">
        <v>4408</v>
      </c>
      <c r="U590">
        <v>7932908</v>
      </c>
    </row>
    <row r="591" spans="1:21" x14ac:dyDescent="0.25">
      <c r="A591" s="9" t="s">
        <v>4401</v>
      </c>
      <c r="B591" s="10">
        <v>44049</v>
      </c>
      <c r="C591" s="1">
        <v>44048</v>
      </c>
      <c r="D591" t="s">
        <v>4402</v>
      </c>
      <c r="E591" s="11">
        <v>0.375</v>
      </c>
      <c r="F591" s="11">
        <v>0.375</v>
      </c>
      <c r="G591">
        <v>73674</v>
      </c>
      <c r="H591" t="s">
        <v>4977</v>
      </c>
      <c r="I591" t="s">
        <v>680</v>
      </c>
      <c r="J591" t="s">
        <v>4458</v>
      </c>
      <c r="K591" t="s">
        <v>4459</v>
      </c>
      <c r="L591" t="s">
        <v>4460</v>
      </c>
      <c r="M591" t="s">
        <v>4407</v>
      </c>
      <c r="N591" t="s">
        <v>60</v>
      </c>
      <c r="O591" t="s">
        <v>34</v>
      </c>
      <c r="P591" s="3">
        <v>76939</v>
      </c>
      <c r="Q591" s="3">
        <v>76939</v>
      </c>
      <c r="R591">
        <v>0</v>
      </c>
      <c r="S591" s="3">
        <v>76939</v>
      </c>
      <c r="T591" t="s">
        <v>4408</v>
      </c>
      <c r="U591">
        <v>7932908</v>
      </c>
    </row>
    <row r="592" spans="1:21" x14ac:dyDescent="0.25">
      <c r="A592" s="9" t="s">
        <v>4401</v>
      </c>
      <c r="B592" s="10">
        <v>44049</v>
      </c>
      <c r="C592" s="1">
        <v>44048</v>
      </c>
      <c r="D592" t="s">
        <v>4402</v>
      </c>
      <c r="E592" s="11">
        <v>0.375</v>
      </c>
      <c r="F592" s="11">
        <v>0.375</v>
      </c>
      <c r="G592">
        <v>73675</v>
      </c>
      <c r="H592" t="s">
        <v>4978</v>
      </c>
      <c r="I592" t="s">
        <v>367</v>
      </c>
      <c r="J592" t="s">
        <v>4458</v>
      </c>
      <c r="K592" t="s">
        <v>4459</v>
      </c>
      <c r="L592" t="s">
        <v>4460</v>
      </c>
      <c r="M592" t="s">
        <v>4407</v>
      </c>
      <c r="N592" t="s">
        <v>60</v>
      </c>
      <c r="O592" t="s">
        <v>34</v>
      </c>
      <c r="P592" s="3">
        <v>36697</v>
      </c>
      <c r="Q592" s="3">
        <v>36697</v>
      </c>
      <c r="R592">
        <v>0</v>
      </c>
      <c r="S592" s="3">
        <v>36697</v>
      </c>
      <c r="T592" t="s">
        <v>4408</v>
      </c>
      <c r="U592">
        <v>7932908</v>
      </c>
    </row>
    <row r="593" spans="1:21" x14ac:dyDescent="0.25">
      <c r="A593" s="9" t="s">
        <v>4401</v>
      </c>
      <c r="B593" s="10">
        <v>44049</v>
      </c>
      <c r="C593" s="1">
        <v>44048</v>
      </c>
      <c r="D593" t="s">
        <v>4402</v>
      </c>
      <c r="E593" s="11">
        <v>0.375</v>
      </c>
      <c r="F593" s="11">
        <v>0.375</v>
      </c>
      <c r="G593">
        <v>73677</v>
      </c>
      <c r="H593" t="s">
        <v>4979</v>
      </c>
      <c r="I593">
        <v>3</v>
      </c>
      <c r="J593" t="s">
        <v>4404</v>
      </c>
      <c r="K593" t="s">
        <v>4405</v>
      </c>
      <c r="L593" t="s">
        <v>4406</v>
      </c>
      <c r="M593" t="s">
        <v>4407</v>
      </c>
      <c r="N593" t="s">
        <v>60</v>
      </c>
      <c r="O593" t="s">
        <v>34</v>
      </c>
      <c r="P593" s="3">
        <v>208500</v>
      </c>
      <c r="Q593" s="3">
        <v>208500</v>
      </c>
      <c r="R593" s="3">
        <v>39344</v>
      </c>
      <c r="S593" s="3">
        <v>169156</v>
      </c>
      <c r="T593" t="s">
        <v>4408</v>
      </c>
      <c r="U593">
        <v>7932908</v>
      </c>
    </row>
    <row r="594" spans="1:21" x14ac:dyDescent="0.25">
      <c r="A594" s="9" t="s">
        <v>4401</v>
      </c>
      <c r="B594" s="10">
        <v>44049</v>
      </c>
      <c r="C594" s="1">
        <v>44048</v>
      </c>
      <c r="D594" t="s">
        <v>4402</v>
      </c>
      <c r="E594" s="11">
        <v>0.375</v>
      </c>
      <c r="F594" s="11">
        <v>0.375</v>
      </c>
      <c r="G594">
        <v>73678</v>
      </c>
      <c r="H594" t="s">
        <v>4980</v>
      </c>
      <c r="I594">
        <v>3</v>
      </c>
      <c r="J594" t="s">
        <v>4458</v>
      </c>
      <c r="K594" t="s">
        <v>4459</v>
      </c>
      <c r="L594" t="s">
        <v>4460</v>
      </c>
      <c r="M594" t="s">
        <v>4407</v>
      </c>
      <c r="N594" t="s">
        <v>60</v>
      </c>
      <c r="O594" t="s">
        <v>34</v>
      </c>
      <c r="P594" s="3">
        <v>280338</v>
      </c>
      <c r="Q594" s="3">
        <v>280338</v>
      </c>
      <c r="R594" s="3">
        <v>13000</v>
      </c>
      <c r="S594" s="3">
        <v>267338</v>
      </c>
      <c r="T594" t="s">
        <v>4408</v>
      </c>
      <c r="U594">
        <v>7932908</v>
      </c>
    </row>
    <row r="595" spans="1:21" x14ac:dyDescent="0.25">
      <c r="A595" s="9" t="s">
        <v>4401</v>
      </c>
      <c r="B595" s="10">
        <v>44049</v>
      </c>
      <c r="C595" s="1">
        <v>44048</v>
      </c>
      <c r="D595" t="s">
        <v>4402</v>
      </c>
      <c r="E595" s="11">
        <v>0.375</v>
      </c>
      <c r="F595" s="11">
        <v>0.375</v>
      </c>
      <c r="G595">
        <v>73679</v>
      </c>
      <c r="H595" t="s">
        <v>4981</v>
      </c>
      <c r="I595">
        <v>2</v>
      </c>
      <c r="J595" t="s">
        <v>4458</v>
      </c>
      <c r="K595" t="s">
        <v>4459</v>
      </c>
      <c r="L595" t="s">
        <v>4460</v>
      </c>
      <c r="M595" t="s">
        <v>4407</v>
      </c>
      <c r="N595" t="s">
        <v>60</v>
      </c>
      <c r="O595" t="s">
        <v>34</v>
      </c>
      <c r="P595" s="3">
        <v>36558</v>
      </c>
      <c r="Q595" s="3">
        <v>36558</v>
      </c>
      <c r="R595" s="3">
        <v>4199</v>
      </c>
      <c r="S595" s="3">
        <v>32359</v>
      </c>
      <c r="T595" t="s">
        <v>4408</v>
      </c>
      <c r="U595">
        <v>7932908</v>
      </c>
    </row>
    <row r="596" spans="1:21" x14ac:dyDescent="0.25">
      <c r="A596" s="9" t="s">
        <v>4401</v>
      </c>
      <c r="B596" s="10">
        <v>44049</v>
      </c>
      <c r="C596" s="1">
        <v>44048</v>
      </c>
      <c r="D596" t="s">
        <v>4402</v>
      </c>
      <c r="E596" s="11">
        <v>0.375</v>
      </c>
      <c r="F596" s="11">
        <v>0.375</v>
      </c>
      <c r="G596">
        <v>73684</v>
      </c>
      <c r="H596" t="s">
        <v>4982</v>
      </c>
      <c r="I596" t="s">
        <v>187</v>
      </c>
      <c r="J596" t="s">
        <v>4404</v>
      </c>
      <c r="K596" t="s">
        <v>4405</v>
      </c>
      <c r="L596" t="s">
        <v>4406</v>
      </c>
      <c r="M596" t="s">
        <v>4407</v>
      </c>
      <c r="N596" t="s">
        <v>60</v>
      </c>
      <c r="O596" t="s">
        <v>34</v>
      </c>
      <c r="P596" s="3">
        <v>204166</v>
      </c>
      <c r="Q596" s="3">
        <v>204166</v>
      </c>
      <c r="R596">
        <v>0</v>
      </c>
      <c r="S596" s="3">
        <v>204166</v>
      </c>
      <c r="T596" t="s">
        <v>4408</v>
      </c>
      <c r="U596">
        <v>7932908</v>
      </c>
    </row>
    <row r="597" spans="1:21" x14ac:dyDescent="0.25">
      <c r="A597" s="9" t="s">
        <v>4401</v>
      </c>
      <c r="B597" s="10">
        <v>44049</v>
      </c>
      <c r="C597" s="1">
        <v>44048</v>
      </c>
      <c r="D597" t="s">
        <v>4402</v>
      </c>
      <c r="E597" s="11">
        <v>0.375</v>
      </c>
      <c r="F597" s="11">
        <v>0.375</v>
      </c>
      <c r="G597">
        <v>73686</v>
      </c>
      <c r="H597" t="s">
        <v>4983</v>
      </c>
      <c r="I597" t="s">
        <v>187</v>
      </c>
      <c r="J597" t="s">
        <v>4458</v>
      </c>
      <c r="K597" t="s">
        <v>4459</v>
      </c>
      <c r="L597" t="s">
        <v>4460</v>
      </c>
      <c r="M597" t="s">
        <v>4407</v>
      </c>
      <c r="N597" t="s">
        <v>60</v>
      </c>
      <c r="O597" t="s">
        <v>34</v>
      </c>
      <c r="P597" s="3">
        <v>206209</v>
      </c>
      <c r="Q597" s="3">
        <v>212915</v>
      </c>
      <c r="R597">
        <v>0</v>
      </c>
      <c r="S597" s="3">
        <v>212915</v>
      </c>
      <c r="T597" t="s">
        <v>4408</v>
      </c>
      <c r="U597">
        <v>7932908</v>
      </c>
    </row>
    <row r="598" spans="1:21" x14ac:dyDescent="0.25">
      <c r="A598" s="9" t="s">
        <v>4401</v>
      </c>
      <c r="B598" s="10">
        <v>44049</v>
      </c>
      <c r="C598" s="1">
        <v>44048</v>
      </c>
      <c r="D598" t="s">
        <v>4402</v>
      </c>
      <c r="E598" s="11">
        <v>0.375</v>
      </c>
      <c r="F598" s="11">
        <v>0.375</v>
      </c>
      <c r="G598">
        <v>73688</v>
      </c>
      <c r="H598" t="s">
        <v>4984</v>
      </c>
      <c r="I598">
        <v>2</v>
      </c>
      <c r="J598" t="s">
        <v>4458</v>
      </c>
      <c r="K598" t="s">
        <v>4459</v>
      </c>
      <c r="L598" t="s">
        <v>4460</v>
      </c>
      <c r="M598" t="s">
        <v>4407</v>
      </c>
      <c r="N598" t="s">
        <v>60</v>
      </c>
      <c r="O598" t="s">
        <v>34</v>
      </c>
      <c r="P598" s="3">
        <v>114000</v>
      </c>
      <c r="Q598" s="3">
        <v>114000</v>
      </c>
      <c r="R598" s="3">
        <v>41000</v>
      </c>
      <c r="S598" s="3">
        <v>73000</v>
      </c>
      <c r="T598" t="s">
        <v>4408</v>
      </c>
      <c r="U598">
        <v>7932908</v>
      </c>
    </row>
    <row r="599" spans="1:21" x14ac:dyDescent="0.25">
      <c r="A599" s="9" t="s">
        <v>4401</v>
      </c>
      <c r="B599" s="10">
        <v>44049</v>
      </c>
      <c r="C599" s="1">
        <v>44048</v>
      </c>
      <c r="D599" t="s">
        <v>4402</v>
      </c>
      <c r="E599" s="11">
        <v>0.375</v>
      </c>
      <c r="F599" s="11">
        <v>0.375</v>
      </c>
      <c r="G599">
        <v>73692</v>
      </c>
      <c r="H599" t="s">
        <v>4985</v>
      </c>
      <c r="I599">
        <v>2</v>
      </c>
      <c r="J599" t="s">
        <v>4458</v>
      </c>
      <c r="K599" t="s">
        <v>4459</v>
      </c>
      <c r="L599" t="s">
        <v>4460</v>
      </c>
      <c r="M599" t="s">
        <v>4407</v>
      </c>
      <c r="N599" t="s">
        <v>60</v>
      </c>
      <c r="O599" t="s">
        <v>34</v>
      </c>
      <c r="P599" s="3">
        <v>144101</v>
      </c>
      <c r="Q599" s="3">
        <v>144101</v>
      </c>
      <c r="R599">
        <v>0</v>
      </c>
      <c r="S599" s="3">
        <v>144101</v>
      </c>
      <c r="T599" t="s">
        <v>4408</v>
      </c>
      <c r="U599">
        <v>7932908</v>
      </c>
    </row>
    <row r="600" spans="1:21" x14ac:dyDescent="0.25">
      <c r="A600" s="9" t="s">
        <v>4401</v>
      </c>
      <c r="B600" s="10">
        <v>44049</v>
      </c>
      <c r="C600" s="1">
        <v>44048</v>
      </c>
      <c r="D600" t="s">
        <v>4402</v>
      </c>
      <c r="E600" s="11">
        <v>0.375</v>
      </c>
      <c r="F600" s="11">
        <v>0.375</v>
      </c>
      <c r="G600">
        <v>73694</v>
      </c>
      <c r="H600" t="s">
        <v>4986</v>
      </c>
      <c r="I600" t="s">
        <v>367</v>
      </c>
      <c r="J600" t="s">
        <v>4404</v>
      </c>
      <c r="K600" t="s">
        <v>4405</v>
      </c>
      <c r="L600" t="s">
        <v>4406</v>
      </c>
      <c r="M600" t="s">
        <v>4407</v>
      </c>
      <c r="N600" t="s">
        <v>60</v>
      </c>
      <c r="O600" t="s">
        <v>34</v>
      </c>
      <c r="P600" s="3">
        <v>76102</v>
      </c>
      <c r="Q600" s="3">
        <v>76102</v>
      </c>
      <c r="R600" s="3">
        <v>35000</v>
      </c>
      <c r="S600" s="3">
        <v>41102</v>
      </c>
      <c r="T600" t="s">
        <v>4408</v>
      </c>
      <c r="U600">
        <v>7932908</v>
      </c>
    </row>
    <row r="601" spans="1:21" x14ac:dyDescent="0.25">
      <c r="A601" s="9" t="s">
        <v>4401</v>
      </c>
      <c r="B601" s="10">
        <v>44049</v>
      </c>
      <c r="C601" s="1">
        <v>44048</v>
      </c>
      <c r="D601" t="s">
        <v>4402</v>
      </c>
      <c r="E601" s="11">
        <v>0.375</v>
      </c>
      <c r="F601" s="11">
        <v>0.375</v>
      </c>
      <c r="G601">
        <v>73696</v>
      </c>
      <c r="H601" t="s">
        <v>4987</v>
      </c>
      <c r="I601" t="s">
        <v>680</v>
      </c>
      <c r="J601" t="s">
        <v>4458</v>
      </c>
      <c r="K601" t="s">
        <v>4459</v>
      </c>
      <c r="L601" t="s">
        <v>4460</v>
      </c>
      <c r="M601" t="s">
        <v>4407</v>
      </c>
      <c r="N601" t="s">
        <v>60</v>
      </c>
      <c r="O601" t="s">
        <v>34</v>
      </c>
      <c r="P601" s="3">
        <v>37858</v>
      </c>
      <c r="Q601" s="3">
        <v>37858</v>
      </c>
      <c r="R601">
        <v>0</v>
      </c>
      <c r="S601" s="3">
        <v>37858</v>
      </c>
      <c r="T601" t="s">
        <v>4408</v>
      </c>
      <c r="U601">
        <v>7932908</v>
      </c>
    </row>
    <row r="602" spans="1:21" x14ac:dyDescent="0.25">
      <c r="A602" s="9" t="s">
        <v>4401</v>
      </c>
      <c r="B602" s="10">
        <v>44049</v>
      </c>
      <c r="C602" s="1">
        <v>44048</v>
      </c>
      <c r="D602" t="s">
        <v>4402</v>
      </c>
      <c r="E602" s="11">
        <v>0.375</v>
      </c>
      <c r="F602" s="11">
        <v>0.375</v>
      </c>
      <c r="G602">
        <v>73697</v>
      </c>
      <c r="H602" t="s">
        <v>4988</v>
      </c>
      <c r="I602" t="s">
        <v>187</v>
      </c>
      <c r="J602" t="s">
        <v>4458</v>
      </c>
      <c r="K602" t="s">
        <v>4459</v>
      </c>
      <c r="L602" t="s">
        <v>4460</v>
      </c>
      <c r="M602" t="s">
        <v>4407</v>
      </c>
      <c r="N602" t="s">
        <v>60</v>
      </c>
      <c r="O602" t="s">
        <v>34</v>
      </c>
      <c r="P602" s="3">
        <v>14617</v>
      </c>
      <c r="Q602" s="3">
        <v>14617</v>
      </c>
      <c r="R602">
        <v>0</v>
      </c>
      <c r="S602" s="3">
        <v>14617</v>
      </c>
      <c r="T602" t="s">
        <v>4408</v>
      </c>
      <c r="U602">
        <v>7932908</v>
      </c>
    </row>
    <row r="603" spans="1:21" x14ac:dyDescent="0.25">
      <c r="A603" s="9" t="s">
        <v>4401</v>
      </c>
      <c r="B603" s="10">
        <v>44049</v>
      </c>
      <c r="C603" s="1">
        <v>44048</v>
      </c>
      <c r="D603" t="s">
        <v>4402</v>
      </c>
      <c r="E603" s="11">
        <v>0.375</v>
      </c>
      <c r="F603" s="11">
        <v>0.375</v>
      </c>
      <c r="G603">
        <v>73698</v>
      </c>
      <c r="H603" t="s">
        <v>4989</v>
      </c>
      <c r="I603" t="s">
        <v>543</v>
      </c>
      <c r="J603" t="s">
        <v>4458</v>
      </c>
      <c r="K603" t="s">
        <v>4459</v>
      </c>
      <c r="L603" t="s">
        <v>4460</v>
      </c>
      <c r="M603" t="s">
        <v>4407</v>
      </c>
      <c r="N603" t="s">
        <v>60</v>
      </c>
      <c r="O603" t="s">
        <v>34</v>
      </c>
      <c r="P603" s="3">
        <v>688937</v>
      </c>
      <c r="Q603" s="3">
        <v>688937</v>
      </c>
      <c r="R603">
        <v>0</v>
      </c>
      <c r="S603" s="3">
        <v>688937</v>
      </c>
      <c r="T603" t="s">
        <v>4408</v>
      </c>
      <c r="U603">
        <v>7932908</v>
      </c>
    </row>
    <row r="604" spans="1:21" x14ac:dyDescent="0.25">
      <c r="A604" s="9" t="s">
        <v>4401</v>
      </c>
      <c r="B604" s="10">
        <v>44049</v>
      </c>
      <c r="C604" s="1">
        <v>44048</v>
      </c>
      <c r="D604" t="s">
        <v>4402</v>
      </c>
      <c r="E604" s="11">
        <v>0.375</v>
      </c>
      <c r="F604" s="11">
        <v>0.375</v>
      </c>
      <c r="G604">
        <v>73699</v>
      </c>
      <c r="H604" t="s">
        <v>4990</v>
      </c>
      <c r="I604">
        <v>2</v>
      </c>
      <c r="J604" t="s">
        <v>4458</v>
      </c>
      <c r="K604" t="s">
        <v>4459</v>
      </c>
      <c r="L604" t="s">
        <v>4460</v>
      </c>
      <c r="M604" t="s">
        <v>4407</v>
      </c>
      <c r="N604" t="s">
        <v>60</v>
      </c>
      <c r="O604" t="s">
        <v>34</v>
      </c>
      <c r="P604" s="3">
        <v>647133</v>
      </c>
      <c r="Q604" s="3">
        <v>742427</v>
      </c>
      <c r="R604">
        <v>0</v>
      </c>
      <c r="S604" s="3">
        <v>742427</v>
      </c>
      <c r="T604" t="s">
        <v>4408</v>
      </c>
      <c r="U604">
        <v>7932908</v>
      </c>
    </row>
    <row r="605" spans="1:21" x14ac:dyDescent="0.25">
      <c r="A605" s="9" t="s">
        <v>4401</v>
      </c>
      <c r="B605" s="10">
        <v>44049</v>
      </c>
      <c r="C605" s="1">
        <v>44048</v>
      </c>
      <c r="D605" t="s">
        <v>4402</v>
      </c>
      <c r="E605" s="11">
        <v>0.375</v>
      </c>
      <c r="F605" s="11">
        <v>0.375</v>
      </c>
      <c r="G605">
        <v>73702</v>
      </c>
      <c r="H605" t="s">
        <v>4991</v>
      </c>
      <c r="I605" t="s">
        <v>680</v>
      </c>
      <c r="J605" t="s">
        <v>4404</v>
      </c>
      <c r="K605" t="s">
        <v>4405</v>
      </c>
      <c r="L605" t="s">
        <v>4406</v>
      </c>
      <c r="M605" t="s">
        <v>4407</v>
      </c>
      <c r="N605" t="s">
        <v>60</v>
      </c>
      <c r="O605" t="s">
        <v>34</v>
      </c>
      <c r="P605" s="3">
        <v>38864</v>
      </c>
      <c r="Q605" s="3">
        <v>38864</v>
      </c>
      <c r="R605">
        <v>0</v>
      </c>
      <c r="S605" s="3">
        <v>38864</v>
      </c>
      <c r="T605" t="s">
        <v>4408</v>
      </c>
      <c r="U605">
        <v>7932908</v>
      </c>
    </row>
    <row r="606" spans="1:21" x14ac:dyDescent="0.25">
      <c r="A606" s="9" t="s">
        <v>4401</v>
      </c>
      <c r="B606" s="10">
        <v>44049</v>
      </c>
      <c r="C606" s="1">
        <v>44048</v>
      </c>
      <c r="D606" t="s">
        <v>4402</v>
      </c>
      <c r="E606" s="11">
        <v>0.375</v>
      </c>
      <c r="F606" s="11">
        <v>0.375</v>
      </c>
      <c r="G606">
        <v>73703</v>
      </c>
      <c r="H606" t="s">
        <v>4992</v>
      </c>
      <c r="I606">
        <v>3</v>
      </c>
      <c r="J606" t="s">
        <v>4404</v>
      </c>
      <c r="K606" t="s">
        <v>4405</v>
      </c>
      <c r="L606" t="s">
        <v>4406</v>
      </c>
      <c r="M606" t="s">
        <v>4407</v>
      </c>
      <c r="N606" t="s">
        <v>34</v>
      </c>
      <c r="O606" t="s">
        <v>34</v>
      </c>
      <c r="P606" s="3">
        <v>950000</v>
      </c>
      <c r="Q606" s="3">
        <v>950000</v>
      </c>
      <c r="R606" s="3">
        <v>617086</v>
      </c>
      <c r="S606" s="3">
        <v>332914</v>
      </c>
      <c r="T606" t="s">
        <v>4408</v>
      </c>
      <c r="U606">
        <v>7932908</v>
      </c>
    </row>
    <row r="607" spans="1:21" x14ac:dyDescent="0.25">
      <c r="A607" s="9" t="s">
        <v>4401</v>
      </c>
      <c r="B607" s="10">
        <v>44049</v>
      </c>
      <c r="C607" s="1">
        <v>44048</v>
      </c>
      <c r="D607" t="s">
        <v>4402</v>
      </c>
      <c r="E607" s="11">
        <v>0.375</v>
      </c>
      <c r="F607" s="11">
        <v>0.375</v>
      </c>
      <c r="G607">
        <v>73704</v>
      </c>
      <c r="H607" t="s">
        <v>4993</v>
      </c>
      <c r="I607">
        <v>2</v>
      </c>
      <c r="J607" t="s">
        <v>4458</v>
      </c>
      <c r="K607" t="s">
        <v>4459</v>
      </c>
      <c r="L607" t="s">
        <v>4460</v>
      </c>
      <c r="M607" t="s">
        <v>4407</v>
      </c>
      <c r="N607" t="s">
        <v>60</v>
      </c>
      <c r="O607" t="s">
        <v>34</v>
      </c>
      <c r="P607" s="3">
        <v>229649</v>
      </c>
      <c r="Q607" s="3">
        <v>229649</v>
      </c>
      <c r="R607" s="3">
        <v>132750</v>
      </c>
      <c r="S607" s="3">
        <v>96899</v>
      </c>
      <c r="T607" t="s">
        <v>4408</v>
      </c>
      <c r="U607">
        <v>7932908</v>
      </c>
    </row>
    <row r="608" spans="1:21" x14ac:dyDescent="0.25">
      <c r="A608" s="9" t="s">
        <v>4401</v>
      </c>
      <c r="B608" s="10">
        <v>44049</v>
      </c>
      <c r="C608" s="1">
        <v>44048</v>
      </c>
      <c r="D608" t="s">
        <v>4402</v>
      </c>
      <c r="E608" s="11">
        <v>0.375</v>
      </c>
      <c r="F608" s="11">
        <v>0.375</v>
      </c>
      <c r="G608">
        <v>73705</v>
      </c>
      <c r="H608" t="s">
        <v>4994</v>
      </c>
      <c r="I608">
        <v>2</v>
      </c>
      <c r="J608" t="s">
        <v>4458</v>
      </c>
      <c r="K608" t="s">
        <v>4459</v>
      </c>
      <c r="L608" t="s">
        <v>4460</v>
      </c>
      <c r="M608" t="s">
        <v>4407</v>
      </c>
      <c r="N608" t="s">
        <v>60</v>
      </c>
      <c r="O608" t="s">
        <v>34</v>
      </c>
      <c r="P608" s="3">
        <v>460028</v>
      </c>
      <c r="Q608" s="3">
        <v>460028</v>
      </c>
      <c r="R608" s="3">
        <v>5064</v>
      </c>
      <c r="S608" s="3">
        <v>454964</v>
      </c>
      <c r="T608" t="s">
        <v>4408</v>
      </c>
      <c r="U608">
        <v>7932908</v>
      </c>
    </row>
    <row r="609" spans="1:21" x14ac:dyDescent="0.25">
      <c r="A609" s="9" t="s">
        <v>4401</v>
      </c>
      <c r="B609" s="10">
        <v>44049</v>
      </c>
      <c r="C609" s="1">
        <v>44048</v>
      </c>
      <c r="D609" t="s">
        <v>4402</v>
      </c>
      <c r="E609" s="11">
        <v>0.375</v>
      </c>
      <c r="F609" s="11">
        <v>0.375</v>
      </c>
      <c r="G609">
        <v>73706</v>
      </c>
      <c r="H609" t="s">
        <v>4995</v>
      </c>
      <c r="I609">
        <v>2</v>
      </c>
      <c r="J609" t="s">
        <v>4458</v>
      </c>
      <c r="K609" t="s">
        <v>4459</v>
      </c>
      <c r="L609" t="s">
        <v>4460</v>
      </c>
      <c r="M609" t="s">
        <v>4407</v>
      </c>
      <c r="N609" t="s">
        <v>60</v>
      </c>
      <c r="O609" t="s">
        <v>34</v>
      </c>
      <c r="P609" s="3">
        <v>574664</v>
      </c>
      <c r="Q609" s="3">
        <v>574664</v>
      </c>
      <c r="R609" s="3">
        <v>290386</v>
      </c>
      <c r="S609" s="3">
        <v>284278</v>
      </c>
      <c r="T609" t="s">
        <v>4408</v>
      </c>
      <c r="U609">
        <v>7932908</v>
      </c>
    </row>
    <row r="610" spans="1:21" x14ac:dyDescent="0.25">
      <c r="A610" s="9" t="s">
        <v>4401</v>
      </c>
      <c r="B610" s="10">
        <v>44049</v>
      </c>
      <c r="C610" s="1">
        <v>44048</v>
      </c>
      <c r="D610" t="s">
        <v>4402</v>
      </c>
      <c r="E610" s="11">
        <v>0.375</v>
      </c>
      <c r="F610" s="11">
        <v>0.375</v>
      </c>
      <c r="G610">
        <v>73710</v>
      </c>
      <c r="H610" t="s">
        <v>4996</v>
      </c>
      <c r="I610" t="s">
        <v>543</v>
      </c>
      <c r="J610" t="s">
        <v>4458</v>
      </c>
      <c r="K610" t="s">
        <v>4459</v>
      </c>
      <c r="L610" t="s">
        <v>4460</v>
      </c>
      <c r="M610" t="s">
        <v>4407</v>
      </c>
      <c r="N610" t="s">
        <v>60</v>
      </c>
      <c r="O610" t="s">
        <v>34</v>
      </c>
      <c r="P610" s="3">
        <v>9774</v>
      </c>
      <c r="Q610" s="3">
        <v>9774</v>
      </c>
      <c r="R610">
        <v>500</v>
      </c>
      <c r="S610" s="3">
        <v>9274</v>
      </c>
      <c r="T610" t="s">
        <v>4408</v>
      </c>
      <c r="U610">
        <v>7932908</v>
      </c>
    </row>
    <row r="611" spans="1:21" x14ac:dyDescent="0.25">
      <c r="A611" s="9" t="s">
        <v>4401</v>
      </c>
      <c r="B611" s="10">
        <v>44049</v>
      </c>
      <c r="C611" s="1">
        <v>44048</v>
      </c>
      <c r="D611" t="s">
        <v>4402</v>
      </c>
      <c r="E611" s="11">
        <v>0.375</v>
      </c>
      <c r="F611" s="11">
        <v>0.375</v>
      </c>
      <c r="G611">
        <v>73711</v>
      </c>
      <c r="H611" t="s">
        <v>4997</v>
      </c>
      <c r="I611">
        <v>2</v>
      </c>
      <c r="J611" t="s">
        <v>4404</v>
      </c>
      <c r="K611" t="s">
        <v>4405</v>
      </c>
      <c r="L611" t="s">
        <v>4406</v>
      </c>
      <c r="M611" t="s">
        <v>4407</v>
      </c>
      <c r="N611" t="s">
        <v>60</v>
      </c>
      <c r="O611" t="s">
        <v>34</v>
      </c>
      <c r="P611" s="3">
        <v>87725</v>
      </c>
      <c r="Q611" s="3">
        <v>87725</v>
      </c>
      <c r="R611">
        <v>0</v>
      </c>
      <c r="S611" s="3">
        <v>87725</v>
      </c>
      <c r="T611" t="s">
        <v>4408</v>
      </c>
      <c r="U611">
        <v>7932908</v>
      </c>
    </row>
    <row r="612" spans="1:21" x14ac:dyDescent="0.25">
      <c r="A612" s="9" t="s">
        <v>4401</v>
      </c>
      <c r="B612" s="10">
        <v>44049</v>
      </c>
      <c r="C612" s="1">
        <v>44048</v>
      </c>
      <c r="D612" t="s">
        <v>4402</v>
      </c>
      <c r="E612" s="11">
        <v>0.375</v>
      </c>
      <c r="F612" s="11">
        <v>0.375</v>
      </c>
      <c r="G612">
        <v>73712</v>
      </c>
      <c r="H612" t="s">
        <v>4998</v>
      </c>
      <c r="I612">
        <v>2</v>
      </c>
      <c r="J612" t="s">
        <v>4458</v>
      </c>
      <c r="K612" t="s">
        <v>4459</v>
      </c>
      <c r="L612" t="s">
        <v>4460</v>
      </c>
      <c r="M612" t="s">
        <v>4407</v>
      </c>
      <c r="N612" t="s">
        <v>60</v>
      </c>
      <c r="O612" t="s">
        <v>34</v>
      </c>
      <c r="P612" s="3">
        <v>58217</v>
      </c>
      <c r="Q612" s="3">
        <v>58217</v>
      </c>
      <c r="R612">
        <v>0</v>
      </c>
      <c r="S612" s="3">
        <v>58217</v>
      </c>
      <c r="T612" t="s">
        <v>4408</v>
      </c>
      <c r="U612">
        <v>7932908</v>
      </c>
    </row>
    <row r="613" spans="1:21" x14ac:dyDescent="0.25">
      <c r="A613" s="9" t="s">
        <v>4401</v>
      </c>
      <c r="B613" s="10">
        <v>44049</v>
      </c>
      <c r="C613" s="1">
        <v>44048</v>
      </c>
      <c r="D613" t="s">
        <v>4402</v>
      </c>
      <c r="E613" s="11">
        <v>0.375</v>
      </c>
      <c r="F613" s="11">
        <v>0.375</v>
      </c>
      <c r="G613">
        <v>73713</v>
      </c>
      <c r="H613" t="s">
        <v>4999</v>
      </c>
      <c r="I613">
        <v>2</v>
      </c>
      <c r="J613" t="s">
        <v>4458</v>
      </c>
      <c r="K613" t="s">
        <v>4459</v>
      </c>
      <c r="L613" t="s">
        <v>4460</v>
      </c>
      <c r="M613" t="s">
        <v>4407</v>
      </c>
      <c r="N613" t="s">
        <v>60</v>
      </c>
      <c r="O613" t="s">
        <v>34</v>
      </c>
      <c r="P613" s="3">
        <v>966150</v>
      </c>
      <c r="Q613" s="3">
        <v>966150</v>
      </c>
      <c r="R613" s="3">
        <v>367044</v>
      </c>
      <c r="S613" s="3">
        <v>599106</v>
      </c>
      <c r="T613" t="s">
        <v>4408</v>
      </c>
      <c r="U613">
        <v>7932908</v>
      </c>
    </row>
    <row r="614" spans="1:21" x14ac:dyDescent="0.25">
      <c r="A614" s="9" t="s">
        <v>4401</v>
      </c>
      <c r="B614" s="10">
        <v>44049</v>
      </c>
      <c r="C614" s="1">
        <v>44048</v>
      </c>
      <c r="D614" t="s">
        <v>4402</v>
      </c>
      <c r="E614" s="11">
        <v>0.375</v>
      </c>
      <c r="F614" s="11">
        <v>0.375</v>
      </c>
      <c r="G614">
        <v>73714</v>
      </c>
      <c r="H614" t="s">
        <v>5000</v>
      </c>
      <c r="I614">
        <v>2</v>
      </c>
      <c r="J614" t="s">
        <v>4458</v>
      </c>
      <c r="K614" t="s">
        <v>4459</v>
      </c>
      <c r="L614" t="s">
        <v>4460</v>
      </c>
      <c r="M614" t="s">
        <v>4407</v>
      </c>
      <c r="N614" t="s">
        <v>34</v>
      </c>
      <c r="O614" t="s">
        <v>34</v>
      </c>
      <c r="P614" s="3">
        <v>475155</v>
      </c>
      <c r="Q614" s="3">
        <v>487108</v>
      </c>
      <c r="R614" s="3">
        <v>22836</v>
      </c>
      <c r="S614" s="3">
        <v>464272</v>
      </c>
      <c r="T614" t="s">
        <v>4408</v>
      </c>
      <c r="U614">
        <v>7932908</v>
      </c>
    </row>
    <row r="615" spans="1:21" x14ac:dyDescent="0.25">
      <c r="A615" s="9" t="s">
        <v>4401</v>
      </c>
      <c r="B615" s="10">
        <v>44049</v>
      </c>
      <c r="C615" s="1">
        <v>44048</v>
      </c>
      <c r="D615" t="s">
        <v>4402</v>
      </c>
      <c r="E615" s="11">
        <v>0.375</v>
      </c>
      <c r="F615" s="11">
        <v>0.375</v>
      </c>
      <c r="G615">
        <v>73715</v>
      </c>
      <c r="H615" t="s">
        <v>5001</v>
      </c>
      <c r="I615">
        <v>2</v>
      </c>
      <c r="J615" t="s">
        <v>4404</v>
      </c>
      <c r="K615" t="s">
        <v>4405</v>
      </c>
      <c r="L615" t="s">
        <v>4406</v>
      </c>
      <c r="M615" t="s">
        <v>4407</v>
      </c>
      <c r="N615" t="s">
        <v>60</v>
      </c>
      <c r="O615" t="s">
        <v>34</v>
      </c>
      <c r="P615" s="3">
        <v>6100</v>
      </c>
      <c r="Q615" s="3">
        <v>6100</v>
      </c>
      <c r="R615">
        <v>0</v>
      </c>
      <c r="S615" s="3">
        <v>6100</v>
      </c>
      <c r="T615" t="s">
        <v>4408</v>
      </c>
      <c r="U615">
        <v>7932908</v>
      </c>
    </row>
    <row r="616" spans="1:21" x14ac:dyDescent="0.25">
      <c r="A616" s="9" t="s">
        <v>4401</v>
      </c>
      <c r="B616" s="10">
        <v>44049</v>
      </c>
      <c r="C616" s="1">
        <v>44048</v>
      </c>
      <c r="D616" t="s">
        <v>4402</v>
      </c>
      <c r="E616" s="11">
        <v>0.375</v>
      </c>
      <c r="F616" s="11">
        <v>0.375</v>
      </c>
      <c r="G616">
        <v>73716</v>
      </c>
      <c r="H616" t="s">
        <v>5002</v>
      </c>
      <c r="I616">
        <v>2</v>
      </c>
      <c r="J616" t="s">
        <v>4458</v>
      </c>
      <c r="K616" t="s">
        <v>4459</v>
      </c>
      <c r="L616" t="s">
        <v>4460</v>
      </c>
      <c r="M616" t="s">
        <v>4407</v>
      </c>
      <c r="N616" t="s">
        <v>60</v>
      </c>
      <c r="O616" t="s">
        <v>34</v>
      </c>
      <c r="P616" s="3">
        <v>17065</v>
      </c>
      <c r="Q616" s="3">
        <v>17065</v>
      </c>
      <c r="R616">
        <v>991</v>
      </c>
      <c r="S616" s="3">
        <v>16074</v>
      </c>
      <c r="T616" t="s">
        <v>4408</v>
      </c>
      <c r="U616">
        <v>7932908</v>
      </c>
    </row>
    <row r="617" spans="1:21" x14ac:dyDescent="0.25">
      <c r="A617" s="9" t="s">
        <v>4401</v>
      </c>
      <c r="B617" s="10">
        <v>44049</v>
      </c>
      <c r="C617" s="1">
        <v>44048</v>
      </c>
      <c r="D617" t="s">
        <v>4402</v>
      </c>
      <c r="E617" s="11">
        <v>0.375</v>
      </c>
      <c r="F617" s="11">
        <v>0.375</v>
      </c>
      <c r="G617">
        <v>73717</v>
      </c>
      <c r="H617" t="s">
        <v>5003</v>
      </c>
      <c r="I617" t="s">
        <v>367</v>
      </c>
      <c r="J617" t="s">
        <v>4458</v>
      </c>
      <c r="K617" t="s">
        <v>4459</v>
      </c>
      <c r="L617" t="s">
        <v>4460</v>
      </c>
      <c r="M617" t="s">
        <v>4407</v>
      </c>
      <c r="N617" t="s">
        <v>60</v>
      </c>
      <c r="O617" t="s">
        <v>34</v>
      </c>
      <c r="P617" s="3">
        <v>3566</v>
      </c>
      <c r="Q617" s="3">
        <v>3566</v>
      </c>
      <c r="R617">
        <v>0</v>
      </c>
      <c r="S617" s="3">
        <v>3566</v>
      </c>
      <c r="T617" t="s">
        <v>4408</v>
      </c>
      <c r="U617">
        <v>7932908</v>
      </c>
    </row>
    <row r="618" spans="1:21" x14ac:dyDescent="0.25">
      <c r="A618" s="9" t="s">
        <v>4401</v>
      </c>
      <c r="B618" s="10">
        <v>44049</v>
      </c>
      <c r="C618" s="1">
        <v>44048</v>
      </c>
      <c r="D618" t="s">
        <v>4402</v>
      </c>
      <c r="E618" s="11">
        <v>0.375</v>
      </c>
      <c r="F618" s="11">
        <v>0.375</v>
      </c>
      <c r="G618">
        <v>73718</v>
      </c>
      <c r="H618" t="s">
        <v>5004</v>
      </c>
      <c r="I618">
        <v>3</v>
      </c>
      <c r="J618" t="s">
        <v>4404</v>
      </c>
      <c r="K618" t="s">
        <v>4405</v>
      </c>
      <c r="L618" t="s">
        <v>4406</v>
      </c>
      <c r="M618" t="s">
        <v>4407</v>
      </c>
      <c r="N618" t="s">
        <v>60</v>
      </c>
      <c r="O618" t="s">
        <v>34</v>
      </c>
      <c r="P618" s="3">
        <v>374832</v>
      </c>
      <c r="Q618" s="3">
        <v>374832</v>
      </c>
      <c r="R618">
        <v>0</v>
      </c>
      <c r="S618" s="3">
        <v>374832</v>
      </c>
      <c r="T618" t="s">
        <v>4408</v>
      </c>
      <c r="U618">
        <v>7932908</v>
      </c>
    </row>
    <row r="619" spans="1:21" x14ac:dyDescent="0.25">
      <c r="A619" s="9" t="s">
        <v>4401</v>
      </c>
      <c r="B619" s="10">
        <v>44049</v>
      </c>
      <c r="C619" s="1">
        <v>44048</v>
      </c>
      <c r="D619" t="s">
        <v>4402</v>
      </c>
      <c r="E619" s="11">
        <v>0.375</v>
      </c>
      <c r="F619" s="11">
        <v>0.375</v>
      </c>
      <c r="G619">
        <v>73719</v>
      </c>
      <c r="H619" t="s">
        <v>5005</v>
      </c>
      <c r="I619" t="s">
        <v>367</v>
      </c>
      <c r="J619" t="s">
        <v>4458</v>
      </c>
      <c r="K619" t="s">
        <v>4459</v>
      </c>
      <c r="L619" t="s">
        <v>4460</v>
      </c>
      <c r="M619" t="s">
        <v>4407</v>
      </c>
      <c r="N619" t="s">
        <v>60</v>
      </c>
      <c r="O619" t="s">
        <v>34</v>
      </c>
      <c r="P619" s="3">
        <v>215566</v>
      </c>
      <c r="Q619" s="3">
        <v>230431</v>
      </c>
      <c r="R619" s="3">
        <v>17860</v>
      </c>
      <c r="S619" s="3">
        <v>212571</v>
      </c>
      <c r="T619" t="s">
        <v>4408</v>
      </c>
      <c r="U619">
        <v>7932908</v>
      </c>
    </row>
    <row r="620" spans="1:21" x14ac:dyDescent="0.25">
      <c r="A620" s="9" t="s">
        <v>4401</v>
      </c>
      <c r="B620" s="10">
        <v>44049</v>
      </c>
      <c r="C620" s="1">
        <v>44048</v>
      </c>
      <c r="D620" t="s">
        <v>4402</v>
      </c>
      <c r="E620" s="11">
        <v>0.375</v>
      </c>
      <c r="F620" s="11">
        <v>0.375</v>
      </c>
      <c r="G620">
        <v>73721</v>
      </c>
      <c r="H620" t="s">
        <v>5006</v>
      </c>
      <c r="I620">
        <v>3</v>
      </c>
      <c r="J620" t="s">
        <v>4404</v>
      </c>
      <c r="K620" t="s">
        <v>4405</v>
      </c>
      <c r="L620" t="s">
        <v>4406</v>
      </c>
      <c r="M620" t="s">
        <v>4407</v>
      </c>
      <c r="N620" t="s">
        <v>60</v>
      </c>
      <c r="O620" t="s">
        <v>34</v>
      </c>
      <c r="P620" s="3">
        <v>7530</v>
      </c>
      <c r="Q620" s="3">
        <v>7530</v>
      </c>
      <c r="R620">
        <v>0</v>
      </c>
      <c r="S620" s="3">
        <v>7530</v>
      </c>
      <c r="T620" t="s">
        <v>4408</v>
      </c>
      <c r="U620">
        <v>7932908</v>
      </c>
    </row>
    <row r="621" spans="1:21" x14ac:dyDescent="0.25">
      <c r="A621" s="9" t="s">
        <v>4401</v>
      </c>
      <c r="B621" s="10">
        <v>44049</v>
      </c>
      <c r="C621" s="1">
        <v>44048</v>
      </c>
      <c r="D621" t="s">
        <v>4402</v>
      </c>
      <c r="E621" s="11">
        <v>0.375</v>
      </c>
      <c r="F621" s="11">
        <v>0.375</v>
      </c>
      <c r="G621">
        <v>73722</v>
      </c>
      <c r="H621" t="s">
        <v>5007</v>
      </c>
      <c r="I621">
        <v>3</v>
      </c>
      <c r="J621" t="s">
        <v>4404</v>
      </c>
      <c r="K621" t="s">
        <v>4405</v>
      </c>
      <c r="L621" t="s">
        <v>4406</v>
      </c>
      <c r="M621" t="s">
        <v>4407</v>
      </c>
      <c r="N621" t="s">
        <v>60</v>
      </c>
      <c r="O621" t="s">
        <v>34</v>
      </c>
      <c r="P621" s="3">
        <v>1189680</v>
      </c>
      <c r="Q621" s="3">
        <v>1189680</v>
      </c>
      <c r="R621" s="3">
        <v>226653</v>
      </c>
      <c r="S621" s="3">
        <v>963027</v>
      </c>
      <c r="T621" t="s">
        <v>4408</v>
      </c>
      <c r="U621">
        <v>7932908</v>
      </c>
    </row>
    <row r="622" spans="1:21" x14ac:dyDescent="0.25">
      <c r="A622" s="9" t="s">
        <v>4401</v>
      </c>
      <c r="B622" s="10">
        <v>44049</v>
      </c>
      <c r="C622" s="1">
        <v>44048</v>
      </c>
      <c r="D622" t="s">
        <v>4402</v>
      </c>
      <c r="E622" s="11">
        <v>0.375</v>
      </c>
      <c r="F622" s="11">
        <v>0.375</v>
      </c>
      <c r="G622">
        <v>73727</v>
      </c>
      <c r="H622" t="s">
        <v>5008</v>
      </c>
      <c r="I622">
        <v>3</v>
      </c>
      <c r="J622" t="s">
        <v>4458</v>
      </c>
      <c r="K622" t="s">
        <v>4459</v>
      </c>
      <c r="L622" t="s">
        <v>4460</v>
      </c>
      <c r="M622" t="s">
        <v>4407</v>
      </c>
      <c r="N622" t="s">
        <v>34</v>
      </c>
      <c r="O622" t="s">
        <v>34</v>
      </c>
      <c r="P622" s="3">
        <v>457969</v>
      </c>
      <c r="Q622" s="3">
        <v>771448</v>
      </c>
      <c r="R622" s="3">
        <v>364335</v>
      </c>
      <c r="S622" s="3">
        <v>407113</v>
      </c>
      <c r="T622" t="s">
        <v>4408</v>
      </c>
      <c r="U622">
        <v>7932908</v>
      </c>
    </row>
    <row r="623" spans="1:21" x14ac:dyDescent="0.25">
      <c r="A623" s="9" t="s">
        <v>4401</v>
      </c>
      <c r="B623" s="10">
        <v>44049</v>
      </c>
      <c r="C623" s="1">
        <v>44048</v>
      </c>
      <c r="D623" t="s">
        <v>4402</v>
      </c>
      <c r="E623" s="11">
        <v>0.375</v>
      </c>
      <c r="F623" s="11">
        <v>0.375</v>
      </c>
      <c r="G623">
        <v>73728</v>
      </c>
      <c r="H623" t="s">
        <v>5009</v>
      </c>
      <c r="I623">
        <v>2</v>
      </c>
      <c r="J623" t="s">
        <v>4458</v>
      </c>
      <c r="K623" t="s">
        <v>4459</v>
      </c>
      <c r="L623" t="s">
        <v>4460</v>
      </c>
      <c r="M623" t="s">
        <v>4407</v>
      </c>
      <c r="N623" t="s">
        <v>60</v>
      </c>
      <c r="O623" t="s">
        <v>34</v>
      </c>
      <c r="P623" s="3">
        <v>364008</v>
      </c>
      <c r="Q623" s="3">
        <v>364008</v>
      </c>
      <c r="R623">
        <v>0</v>
      </c>
      <c r="S623" s="3">
        <v>364008</v>
      </c>
      <c r="T623" t="s">
        <v>4408</v>
      </c>
      <c r="U623">
        <v>7932908</v>
      </c>
    </row>
    <row r="624" spans="1:21" x14ac:dyDescent="0.25">
      <c r="A624" s="9" t="s">
        <v>4401</v>
      </c>
      <c r="B624" s="10">
        <v>44049</v>
      </c>
      <c r="C624" s="1">
        <v>44048</v>
      </c>
      <c r="D624" t="s">
        <v>4402</v>
      </c>
      <c r="E624" s="11">
        <v>0.375</v>
      </c>
      <c r="F624" s="11">
        <v>0.375</v>
      </c>
      <c r="G624">
        <v>73729</v>
      </c>
      <c r="H624" t="s">
        <v>5010</v>
      </c>
      <c r="I624" t="s">
        <v>187</v>
      </c>
      <c r="J624" t="s">
        <v>4404</v>
      </c>
      <c r="K624" t="s">
        <v>4405</v>
      </c>
      <c r="L624" t="s">
        <v>4406</v>
      </c>
      <c r="M624" t="s">
        <v>4407</v>
      </c>
      <c r="N624" t="s">
        <v>60</v>
      </c>
      <c r="O624" t="s">
        <v>34</v>
      </c>
      <c r="P624" s="3">
        <v>17754</v>
      </c>
      <c r="Q624" s="3">
        <v>17754</v>
      </c>
      <c r="R624">
        <v>0</v>
      </c>
      <c r="S624" s="3">
        <v>17754</v>
      </c>
      <c r="T624" t="s">
        <v>4408</v>
      </c>
      <c r="U624">
        <v>7932908</v>
      </c>
    </row>
    <row r="625" spans="1:21" x14ac:dyDescent="0.25">
      <c r="A625" s="9" t="s">
        <v>4401</v>
      </c>
      <c r="B625" s="10">
        <v>44049</v>
      </c>
      <c r="C625" s="1">
        <v>44048</v>
      </c>
      <c r="D625" t="s">
        <v>4402</v>
      </c>
      <c r="E625" s="11">
        <v>0.375</v>
      </c>
      <c r="F625" s="11">
        <v>0.375</v>
      </c>
      <c r="G625">
        <v>73730</v>
      </c>
      <c r="H625" t="s">
        <v>5011</v>
      </c>
      <c r="I625">
        <v>2</v>
      </c>
      <c r="J625" t="s">
        <v>4404</v>
      </c>
      <c r="K625" t="s">
        <v>4405</v>
      </c>
      <c r="L625" t="s">
        <v>4406</v>
      </c>
      <c r="M625" t="s">
        <v>4407</v>
      </c>
      <c r="N625" t="s">
        <v>60</v>
      </c>
      <c r="O625" t="s">
        <v>34</v>
      </c>
      <c r="P625" s="3">
        <v>257391</v>
      </c>
      <c r="Q625" s="3">
        <v>257391</v>
      </c>
      <c r="R625" s="3">
        <v>12532</v>
      </c>
      <c r="S625" s="3">
        <v>244859</v>
      </c>
      <c r="T625" t="s">
        <v>4408</v>
      </c>
      <c r="U625">
        <v>7932908</v>
      </c>
    </row>
    <row r="626" spans="1:21" x14ac:dyDescent="0.25">
      <c r="A626" s="9" t="s">
        <v>4401</v>
      </c>
      <c r="B626" s="10">
        <v>44049</v>
      </c>
      <c r="C626" s="1">
        <v>44048</v>
      </c>
      <c r="D626" t="s">
        <v>4402</v>
      </c>
      <c r="E626" s="11">
        <v>0.375</v>
      </c>
      <c r="F626" s="11">
        <v>0.375</v>
      </c>
      <c r="G626">
        <v>73731</v>
      </c>
      <c r="H626" t="s">
        <v>5012</v>
      </c>
      <c r="I626">
        <v>3</v>
      </c>
      <c r="J626" t="s">
        <v>4458</v>
      </c>
      <c r="K626" t="s">
        <v>4459</v>
      </c>
      <c r="L626" t="s">
        <v>4460</v>
      </c>
      <c r="M626" t="s">
        <v>4407</v>
      </c>
      <c r="N626" t="s">
        <v>60</v>
      </c>
      <c r="O626" t="s">
        <v>34</v>
      </c>
      <c r="P626" s="3">
        <v>38469</v>
      </c>
      <c r="Q626" s="3">
        <v>38469</v>
      </c>
      <c r="R626" s="3">
        <v>1285</v>
      </c>
      <c r="S626" s="3">
        <v>37184</v>
      </c>
      <c r="T626" t="s">
        <v>4408</v>
      </c>
      <c r="U626">
        <v>7932908</v>
      </c>
    </row>
    <row r="627" spans="1:21" x14ac:dyDescent="0.25">
      <c r="A627" s="9" t="s">
        <v>4401</v>
      </c>
      <c r="B627" s="10">
        <v>44049</v>
      </c>
      <c r="C627" s="1">
        <v>44048</v>
      </c>
      <c r="D627" t="s">
        <v>4402</v>
      </c>
      <c r="E627" s="11">
        <v>0.375</v>
      </c>
      <c r="F627" s="11">
        <v>0.375</v>
      </c>
      <c r="G627">
        <v>73732</v>
      </c>
      <c r="H627" t="s">
        <v>5013</v>
      </c>
      <c r="I627">
        <v>2</v>
      </c>
      <c r="J627" t="s">
        <v>4458</v>
      </c>
      <c r="K627" t="s">
        <v>4459</v>
      </c>
      <c r="L627" t="s">
        <v>4460</v>
      </c>
      <c r="M627" t="s">
        <v>4407</v>
      </c>
      <c r="N627" t="s">
        <v>60</v>
      </c>
      <c r="O627" t="s">
        <v>34</v>
      </c>
      <c r="P627" s="3">
        <v>476124</v>
      </c>
      <c r="Q627" s="3">
        <v>501201</v>
      </c>
      <c r="R627" s="3">
        <v>3000</v>
      </c>
      <c r="S627" s="3">
        <v>498201</v>
      </c>
      <c r="T627" t="s">
        <v>4408</v>
      </c>
      <c r="U627">
        <v>7932908</v>
      </c>
    </row>
    <row r="628" spans="1:21" x14ac:dyDescent="0.25">
      <c r="A628" s="9" t="s">
        <v>4401</v>
      </c>
      <c r="B628" s="10">
        <v>44049</v>
      </c>
      <c r="C628" s="1">
        <v>44048</v>
      </c>
      <c r="D628" t="s">
        <v>4402</v>
      </c>
      <c r="E628" s="11">
        <v>0.375</v>
      </c>
      <c r="F628" s="11">
        <v>0.375</v>
      </c>
      <c r="G628">
        <v>73733</v>
      </c>
      <c r="H628" t="s">
        <v>5014</v>
      </c>
      <c r="I628">
        <v>2</v>
      </c>
      <c r="J628" t="s">
        <v>4458</v>
      </c>
      <c r="K628" t="s">
        <v>4459</v>
      </c>
      <c r="L628" t="s">
        <v>4460</v>
      </c>
      <c r="M628" t="s">
        <v>4407</v>
      </c>
      <c r="N628" t="s">
        <v>60</v>
      </c>
      <c r="O628" t="s">
        <v>34</v>
      </c>
      <c r="P628" s="3">
        <v>458854</v>
      </c>
      <c r="Q628" s="3">
        <v>608830</v>
      </c>
      <c r="R628" s="3">
        <v>494700</v>
      </c>
      <c r="S628" s="3">
        <v>114130</v>
      </c>
      <c r="T628" t="s">
        <v>4408</v>
      </c>
      <c r="U628">
        <v>7932908</v>
      </c>
    </row>
    <row r="629" spans="1:21" x14ac:dyDescent="0.25">
      <c r="A629" s="9" t="s">
        <v>4401</v>
      </c>
      <c r="B629" s="10">
        <v>44049</v>
      </c>
      <c r="C629" s="1">
        <v>44048</v>
      </c>
      <c r="D629" t="s">
        <v>4402</v>
      </c>
      <c r="E629" s="11">
        <v>0.375</v>
      </c>
      <c r="F629" s="11">
        <v>0.375</v>
      </c>
      <c r="G629">
        <v>73734</v>
      </c>
      <c r="H629" t="s">
        <v>5015</v>
      </c>
      <c r="I629">
        <v>2</v>
      </c>
      <c r="J629" t="s">
        <v>4458</v>
      </c>
      <c r="K629" t="s">
        <v>4459</v>
      </c>
      <c r="L629" t="s">
        <v>4460</v>
      </c>
      <c r="M629" t="s">
        <v>4407</v>
      </c>
      <c r="N629" t="s">
        <v>60</v>
      </c>
      <c r="O629" t="s">
        <v>34</v>
      </c>
      <c r="P629" s="3">
        <v>258854</v>
      </c>
      <c r="Q629" s="3">
        <v>423195</v>
      </c>
      <c r="R629">
        <v>0</v>
      </c>
      <c r="S629" s="3">
        <v>423195</v>
      </c>
      <c r="T629" t="s">
        <v>4408</v>
      </c>
      <c r="U629">
        <v>7932908</v>
      </c>
    </row>
    <row r="630" spans="1:21" x14ac:dyDescent="0.25">
      <c r="A630" s="9" t="s">
        <v>4401</v>
      </c>
      <c r="B630" s="10">
        <v>44049</v>
      </c>
      <c r="C630" s="1">
        <v>44048</v>
      </c>
      <c r="D630" t="s">
        <v>4402</v>
      </c>
      <c r="E630" s="11">
        <v>0.375</v>
      </c>
      <c r="F630" s="11">
        <v>0.375</v>
      </c>
      <c r="G630">
        <v>73735</v>
      </c>
      <c r="H630" t="s">
        <v>5016</v>
      </c>
      <c r="I630">
        <v>2</v>
      </c>
      <c r="J630" t="s">
        <v>4458</v>
      </c>
      <c r="K630" t="s">
        <v>4459</v>
      </c>
      <c r="L630" t="s">
        <v>4460</v>
      </c>
      <c r="M630" t="s">
        <v>4407</v>
      </c>
      <c r="N630" t="s">
        <v>60</v>
      </c>
      <c r="O630" t="s">
        <v>34</v>
      </c>
      <c r="P630" s="3">
        <v>305100</v>
      </c>
      <c r="Q630" s="3">
        <v>430500</v>
      </c>
      <c r="R630" s="3">
        <v>31000</v>
      </c>
      <c r="S630" s="3">
        <v>399500</v>
      </c>
      <c r="T630" t="s">
        <v>4408</v>
      </c>
      <c r="U630">
        <v>7932908</v>
      </c>
    </row>
    <row r="631" spans="1:21" x14ac:dyDescent="0.25">
      <c r="A631" s="9" t="s">
        <v>4401</v>
      </c>
      <c r="B631" s="10">
        <v>44049</v>
      </c>
      <c r="C631" s="1">
        <v>44048</v>
      </c>
      <c r="D631" t="s">
        <v>4402</v>
      </c>
      <c r="E631" s="11">
        <v>0.375</v>
      </c>
      <c r="F631" s="11">
        <v>0.375</v>
      </c>
      <c r="G631">
        <v>73736</v>
      </c>
      <c r="H631" t="s">
        <v>5017</v>
      </c>
      <c r="I631">
        <v>2</v>
      </c>
      <c r="J631" t="s">
        <v>4458</v>
      </c>
      <c r="K631" t="s">
        <v>4459</v>
      </c>
      <c r="L631" t="s">
        <v>4460</v>
      </c>
      <c r="M631" t="s">
        <v>4407</v>
      </c>
      <c r="N631" t="s">
        <v>60</v>
      </c>
      <c r="O631" t="s">
        <v>34</v>
      </c>
      <c r="P631" s="3">
        <v>644123</v>
      </c>
      <c r="Q631" s="3">
        <v>663029</v>
      </c>
      <c r="R631">
        <v>0</v>
      </c>
      <c r="S631" s="3">
        <v>663029</v>
      </c>
      <c r="T631" t="s">
        <v>4408</v>
      </c>
      <c r="U631">
        <v>7932908</v>
      </c>
    </row>
    <row r="632" spans="1:21" x14ac:dyDescent="0.25">
      <c r="A632" s="9" t="s">
        <v>4401</v>
      </c>
      <c r="B632" s="10">
        <v>44049</v>
      </c>
      <c r="C632" s="1">
        <v>44048</v>
      </c>
      <c r="D632" t="s">
        <v>4402</v>
      </c>
      <c r="E632" s="11">
        <v>0.375</v>
      </c>
      <c r="F632" s="11">
        <v>0.375</v>
      </c>
      <c r="G632">
        <v>73808</v>
      </c>
      <c r="H632" t="s">
        <v>5018</v>
      </c>
      <c r="I632">
        <v>2</v>
      </c>
      <c r="J632" t="s">
        <v>4458</v>
      </c>
      <c r="K632" t="s">
        <v>4459</v>
      </c>
      <c r="L632" t="s">
        <v>4460</v>
      </c>
      <c r="M632" t="s">
        <v>4407</v>
      </c>
      <c r="N632" t="s">
        <v>60</v>
      </c>
      <c r="O632" t="s">
        <v>34</v>
      </c>
      <c r="P632" s="3">
        <v>377168</v>
      </c>
      <c r="Q632" s="3">
        <v>377168</v>
      </c>
      <c r="R632">
        <v>0</v>
      </c>
      <c r="S632" s="3">
        <v>377168</v>
      </c>
      <c r="T632" t="s">
        <v>4408</v>
      </c>
      <c r="U632">
        <v>7932908</v>
      </c>
    </row>
    <row r="633" spans="1:21" x14ac:dyDescent="0.25">
      <c r="A633" s="9" t="s">
        <v>4401</v>
      </c>
      <c r="B633" s="10">
        <v>44049</v>
      </c>
      <c r="C633" s="1">
        <v>44048</v>
      </c>
      <c r="D633" t="s">
        <v>4402</v>
      </c>
      <c r="E633" s="11">
        <v>0.375</v>
      </c>
      <c r="F633" s="11">
        <v>0.375</v>
      </c>
      <c r="G633">
        <v>73809</v>
      </c>
      <c r="H633" t="s">
        <v>5019</v>
      </c>
      <c r="I633">
        <v>2</v>
      </c>
      <c r="J633" t="s">
        <v>4458</v>
      </c>
      <c r="K633" t="s">
        <v>4459</v>
      </c>
      <c r="L633" t="s">
        <v>4460</v>
      </c>
      <c r="M633" t="s">
        <v>4407</v>
      </c>
      <c r="N633" t="s">
        <v>60</v>
      </c>
      <c r="O633" t="s">
        <v>34</v>
      </c>
      <c r="P633" s="3">
        <v>86881</v>
      </c>
      <c r="Q633" s="3">
        <v>86881</v>
      </c>
      <c r="R633" s="3">
        <v>3200</v>
      </c>
      <c r="S633" s="3">
        <v>83681</v>
      </c>
      <c r="T633" t="s">
        <v>4408</v>
      </c>
      <c r="U633">
        <v>7932908</v>
      </c>
    </row>
    <row r="634" spans="1:21" x14ac:dyDescent="0.25">
      <c r="A634" s="9" t="s">
        <v>4401</v>
      </c>
      <c r="B634" s="10">
        <v>44049</v>
      </c>
      <c r="C634" s="1">
        <v>44048</v>
      </c>
      <c r="D634" t="s">
        <v>4402</v>
      </c>
      <c r="E634" s="11">
        <v>0.375</v>
      </c>
      <c r="F634" s="11">
        <v>0.375</v>
      </c>
      <c r="G634">
        <v>73810</v>
      </c>
      <c r="H634" t="s">
        <v>5020</v>
      </c>
      <c r="I634" t="s">
        <v>367</v>
      </c>
      <c r="J634" t="s">
        <v>4458</v>
      </c>
      <c r="K634" t="s">
        <v>4459</v>
      </c>
      <c r="L634" t="s">
        <v>4460</v>
      </c>
      <c r="M634" t="s">
        <v>4407</v>
      </c>
      <c r="N634" t="s">
        <v>60</v>
      </c>
      <c r="O634" t="s">
        <v>34</v>
      </c>
      <c r="P634" s="3">
        <v>3974</v>
      </c>
      <c r="Q634" s="3">
        <v>4051</v>
      </c>
      <c r="R634">
        <v>250</v>
      </c>
      <c r="S634" s="3">
        <v>3801</v>
      </c>
      <c r="T634" t="s">
        <v>4408</v>
      </c>
      <c r="U634">
        <v>7932908</v>
      </c>
    </row>
    <row r="635" spans="1:21" x14ac:dyDescent="0.25">
      <c r="A635" s="9" t="s">
        <v>4401</v>
      </c>
      <c r="B635" s="10">
        <v>44049</v>
      </c>
      <c r="C635" s="1">
        <v>44048</v>
      </c>
      <c r="D635" t="s">
        <v>4402</v>
      </c>
      <c r="E635" s="11">
        <v>0.375</v>
      </c>
      <c r="F635" s="11">
        <v>0.375</v>
      </c>
      <c r="G635">
        <v>73811</v>
      </c>
      <c r="H635" t="s">
        <v>5021</v>
      </c>
      <c r="I635" t="s">
        <v>367</v>
      </c>
      <c r="J635" t="s">
        <v>4404</v>
      </c>
      <c r="K635" t="s">
        <v>4405</v>
      </c>
      <c r="L635" t="s">
        <v>4406</v>
      </c>
      <c r="M635" t="s">
        <v>4407</v>
      </c>
      <c r="N635" t="s">
        <v>60</v>
      </c>
      <c r="O635" t="s">
        <v>34</v>
      </c>
      <c r="P635" s="3">
        <v>411032</v>
      </c>
      <c r="Q635" s="3">
        <v>389202</v>
      </c>
      <c r="R635">
        <v>0</v>
      </c>
      <c r="S635" s="3">
        <v>389202</v>
      </c>
      <c r="T635" t="s">
        <v>4408</v>
      </c>
      <c r="U635">
        <v>7932908</v>
      </c>
    </row>
    <row r="636" spans="1:21" x14ac:dyDescent="0.25">
      <c r="A636" s="9" t="s">
        <v>4401</v>
      </c>
      <c r="B636" s="10">
        <v>44049</v>
      </c>
      <c r="C636" s="1">
        <v>44048</v>
      </c>
      <c r="D636" t="s">
        <v>4402</v>
      </c>
      <c r="E636" s="11">
        <v>0.375</v>
      </c>
      <c r="F636" s="11">
        <v>0.375</v>
      </c>
      <c r="G636">
        <v>73812</v>
      </c>
      <c r="H636" t="s">
        <v>5022</v>
      </c>
      <c r="I636">
        <v>2</v>
      </c>
      <c r="J636" t="s">
        <v>4458</v>
      </c>
      <c r="K636" t="s">
        <v>4459</v>
      </c>
      <c r="L636" t="s">
        <v>4460</v>
      </c>
      <c r="M636" t="s">
        <v>4407</v>
      </c>
      <c r="N636" t="s">
        <v>60</v>
      </c>
      <c r="O636" t="s">
        <v>34</v>
      </c>
      <c r="P636" s="3">
        <v>408854</v>
      </c>
      <c r="Q636" s="3">
        <v>529884</v>
      </c>
      <c r="R636">
        <v>0</v>
      </c>
      <c r="S636" s="3">
        <v>529884</v>
      </c>
      <c r="T636" t="s">
        <v>4408</v>
      </c>
      <c r="U636">
        <v>7932908</v>
      </c>
    </row>
    <row r="637" spans="1:21" x14ac:dyDescent="0.25">
      <c r="A637" s="9" t="s">
        <v>4401</v>
      </c>
      <c r="B637" s="10">
        <v>44049</v>
      </c>
      <c r="C637" s="1">
        <v>44048</v>
      </c>
      <c r="D637" t="s">
        <v>4402</v>
      </c>
      <c r="E637" s="11">
        <v>0.375</v>
      </c>
      <c r="F637" s="11">
        <v>0.375</v>
      </c>
      <c r="G637">
        <v>73813</v>
      </c>
      <c r="H637" t="s">
        <v>5023</v>
      </c>
      <c r="I637">
        <v>2</v>
      </c>
      <c r="J637" t="s">
        <v>4458</v>
      </c>
      <c r="K637" t="s">
        <v>4459</v>
      </c>
      <c r="L637" t="s">
        <v>4460</v>
      </c>
      <c r="M637" t="s">
        <v>4407</v>
      </c>
      <c r="N637" t="s">
        <v>60</v>
      </c>
      <c r="O637" t="s">
        <v>34</v>
      </c>
      <c r="P637" s="3">
        <v>186111</v>
      </c>
      <c r="Q637" s="3">
        <v>186111</v>
      </c>
      <c r="R637" s="3">
        <v>173000</v>
      </c>
      <c r="S637" s="3">
        <v>13111</v>
      </c>
      <c r="T637" t="s">
        <v>4408</v>
      </c>
      <c r="U637">
        <v>7932908</v>
      </c>
    </row>
    <row r="638" spans="1:21" x14ac:dyDescent="0.25">
      <c r="A638" s="9" t="s">
        <v>4401</v>
      </c>
      <c r="B638" s="10">
        <v>44049</v>
      </c>
      <c r="C638" s="1">
        <v>44048</v>
      </c>
      <c r="D638" t="s">
        <v>4402</v>
      </c>
      <c r="E638" s="11">
        <v>0.375</v>
      </c>
      <c r="F638" s="11">
        <v>0.375</v>
      </c>
      <c r="G638">
        <v>73814</v>
      </c>
      <c r="H638" t="s">
        <v>5024</v>
      </c>
      <c r="I638">
        <v>3</v>
      </c>
      <c r="J638" t="s">
        <v>4404</v>
      </c>
      <c r="K638" t="s">
        <v>4405</v>
      </c>
      <c r="L638" t="s">
        <v>4406</v>
      </c>
      <c r="M638" t="s">
        <v>4407</v>
      </c>
      <c r="N638" t="s">
        <v>60</v>
      </c>
      <c r="O638" t="s">
        <v>34</v>
      </c>
      <c r="P638" s="3">
        <v>42147</v>
      </c>
      <c r="Q638" s="3">
        <v>44892</v>
      </c>
      <c r="R638" s="3">
        <v>6500</v>
      </c>
      <c r="S638" s="3">
        <v>38392</v>
      </c>
      <c r="T638" t="s">
        <v>4408</v>
      </c>
      <c r="U638">
        <v>7932908</v>
      </c>
    </row>
    <row r="639" spans="1:21" x14ac:dyDescent="0.25">
      <c r="A639" s="9" t="s">
        <v>4401</v>
      </c>
      <c r="B639" s="10">
        <v>44049</v>
      </c>
      <c r="C639" s="1">
        <v>44048</v>
      </c>
      <c r="D639" t="s">
        <v>4402</v>
      </c>
      <c r="E639" s="11">
        <v>0.375</v>
      </c>
      <c r="F639" s="11">
        <v>0.375</v>
      </c>
      <c r="G639">
        <v>73815</v>
      </c>
      <c r="H639" t="s">
        <v>5025</v>
      </c>
      <c r="I639">
        <v>2</v>
      </c>
      <c r="J639" t="s">
        <v>4458</v>
      </c>
      <c r="K639" t="s">
        <v>4459</v>
      </c>
      <c r="L639" t="s">
        <v>4460</v>
      </c>
      <c r="M639" t="s">
        <v>4407</v>
      </c>
      <c r="N639" t="s">
        <v>60</v>
      </c>
      <c r="O639" t="s">
        <v>34</v>
      </c>
      <c r="P639" s="3">
        <v>335840</v>
      </c>
      <c r="Q639" s="3">
        <v>369635</v>
      </c>
      <c r="R639" s="3">
        <v>70000</v>
      </c>
      <c r="S639" s="3">
        <v>299635</v>
      </c>
      <c r="T639" t="s">
        <v>4408</v>
      </c>
      <c r="U639">
        <v>7932908</v>
      </c>
    </row>
    <row r="640" spans="1:21" x14ac:dyDescent="0.25">
      <c r="A640" s="9" t="s">
        <v>4401</v>
      </c>
      <c r="B640" s="10">
        <v>44049</v>
      </c>
      <c r="C640" s="1">
        <v>44048</v>
      </c>
      <c r="D640" t="s">
        <v>4402</v>
      </c>
      <c r="E640" s="11">
        <v>0.375</v>
      </c>
      <c r="F640" s="11">
        <v>0.375</v>
      </c>
      <c r="G640">
        <v>73816</v>
      </c>
      <c r="H640" t="s">
        <v>5026</v>
      </c>
      <c r="I640">
        <v>2</v>
      </c>
      <c r="J640" t="s">
        <v>4458</v>
      </c>
      <c r="K640" t="s">
        <v>4459</v>
      </c>
      <c r="L640" t="s">
        <v>4460</v>
      </c>
      <c r="M640" t="s">
        <v>4407</v>
      </c>
      <c r="N640" t="s">
        <v>60</v>
      </c>
      <c r="O640" t="s">
        <v>34</v>
      </c>
      <c r="P640" s="3">
        <v>696998</v>
      </c>
      <c r="Q640" s="3">
        <v>739143</v>
      </c>
      <c r="R640">
        <v>0</v>
      </c>
      <c r="S640" s="3">
        <v>739143</v>
      </c>
      <c r="T640" t="s">
        <v>4408</v>
      </c>
      <c r="U640">
        <v>7932908</v>
      </c>
    </row>
    <row r="641" spans="1:21" x14ac:dyDescent="0.25">
      <c r="A641" s="9" t="s">
        <v>4401</v>
      </c>
      <c r="B641" s="10">
        <v>44049</v>
      </c>
      <c r="C641" s="1">
        <v>44048</v>
      </c>
      <c r="D641" t="s">
        <v>4402</v>
      </c>
      <c r="E641" s="11">
        <v>0.375</v>
      </c>
      <c r="F641" s="11">
        <v>0.375</v>
      </c>
      <c r="G641">
        <v>73817</v>
      </c>
      <c r="H641" t="s">
        <v>5027</v>
      </c>
      <c r="I641" t="s">
        <v>187</v>
      </c>
      <c r="J641" t="s">
        <v>4458</v>
      </c>
      <c r="K641" t="s">
        <v>4459</v>
      </c>
      <c r="L641" t="s">
        <v>4460</v>
      </c>
      <c r="M641" t="s">
        <v>4407</v>
      </c>
      <c r="N641" t="s">
        <v>60</v>
      </c>
      <c r="O641" t="s">
        <v>34</v>
      </c>
      <c r="P641" s="3">
        <v>7635</v>
      </c>
      <c r="Q641" s="3">
        <v>8001</v>
      </c>
      <c r="R641">
        <v>251</v>
      </c>
      <c r="S641" s="3">
        <v>7750</v>
      </c>
      <c r="T641" t="s">
        <v>4408</v>
      </c>
      <c r="U641">
        <v>7932908</v>
      </c>
    </row>
    <row r="642" spans="1:21" x14ac:dyDescent="0.25">
      <c r="A642" s="9" t="s">
        <v>4401</v>
      </c>
      <c r="B642" s="10">
        <v>44049</v>
      </c>
      <c r="C642" s="1">
        <v>44048</v>
      </c>
      <c r="D642" t="s">
        <v>4402</v>
      </c>
      <c r="E642" s="11">
        <v>0.375</v>
      </c>
      <c r="F642" s="11">
        <v>0.375</v>
      </c>
      <c r="G642">
        <v>73818</v>
      </c>
      <c r="H642" t="s">
        <v>5028</v>
      </c>
      <c r="I642" t="s">
        <v>367</v>
      </c>
      <c r="J642" t="s">
        <v>4458</v>
      </c>
      <c r="K642" t="s">
        <v>4459</v>
      </c>
      <c r="L642" t="s">
        <v>4460</v>
      </c>
      <c r="M642" t="s">
        <v>4407</v>
      </c>
      <c r="N642" t="s">
        <v>60</v>
      </c>
      <c r="O642" t="s">
        <v>34</v>
      </c>
      <c r="P642" s="3">
        <v>3986</v>
      </c>
      <c r="Q642" s="3">
        <v>4247</v>
      </c>
      <c r="R642">
        <v>90</v>
      </c>
      <c r="S642" s="3">
        <v>4157</v>
      </c>
      <c r="T642" t="s">
        <v>4408</v>
      </c>
      <c r="U642">
        <v>7932908</v>
      </c>
    </row>
    <row r="643" spans="1:21" x14ac:dyDescent="0.25">
      <c r="A643" s="9" t="s">
        <v>4401</v>
      </c>
      <c r="B643" s="10">
        <v>44049</v>
      </c>
      <c r="C643" s="1">
        <v>44048</v>
      </c>
      <c r="D643" t="s">
        <v>4402</v>
      </c>
      <c r="E643" s="11">
        <v>0.375</v>
      </c>
      <c r="F643" s="11">
        <v>0.375</v>
      </c>
      <c r="G643">
        <v>73820</v>
      </c>
      <c r="H643" t="s">
        <v>5029</v>
      </c>
      <c r="I643" t="s">
        <v>543</v>
      </c>
      <c r="J643" t="s">
        <v>4404</v>
      </c>
      <c r="K643" t="s">
        <v>4405</v>
      </c>
      <c r="L643" t="s">
        <v>4406</v>
      </c>
      <c r="M643" t="s">
        <v>4407</v>
      </c>
      <c r="N643" t="s">
        <v>60</v>
      </c>
      <c r="O643" t="s">
        <v>34</v>
      </c>
      <c r="P643" s="3">
        <v>362092</v>
      </c>
      <c r="Q643" s="3">
        <v>398012</v>
      </c>
      <c r="R643" s="3">
        <v>100000</v>
      </c>
      <c r="S643" s="3">
        <v>298012</v>
      </c>
      <c r="T643" t="s">
        <v>4408</v>
      </c>
      <c r="U643">
        <v>7932908</v>
      </c>
    </row>
    <row r="644" spans="1:21" x14ac:dyDescent="0.25">
      <c r="A644" s="9" t="s">
        <v>4401</v>
      </c>
      <c r="B644" s="10">
        <v>44049</v>
      </c>
      <c r="C644" s="1">
        <v>44048</v>
      </c>
      <c r="D644" t="s">
        <v>4402</v>
      </c>
      <c r="E644" s="11">
        <v>0.375</v>
      </c>
      <c r="F644" s="11">
        <v>0.375</v>
      </c>
      <c r="G644">
        <v>73867</v>
      </c>
      <c r="H644" t="s">
        <v>5030</v>
      </c>
      <c r="I644">
        <v>2</v>
      </c>
      <c r="J644" t="s">
        <v>4458</v>
      </c>
      <c r="K644" t="s">
        <v>4459</v>
      </c>
      <c r="L644" t="s">
        <v>4460</v>
      </c>
      <c r="M644" t="s">
        <v>4407</v>
      </c>
      <c r="N644" t="s">
        <v>60</v>
      </c>
      <c r="O644" t="s">
        <v>34</v>
      </c>
      <c r="P644" s="3">
        <v>400000</v>
      </c>
      <c r="Q644" s="3">
        <v>400000</v>
      </c>
      <c r="R644" s="3">
        <v>146800</v>
      </c>
      <c r="S644" s="3">
        <v>253200</v>
      </c>
      <c r="T644" t="s">
        <v>4408</v>
      </c>
      <c r="U644">
        <v>7932908</v>
      </c>
    </row>
    <row r="645" spans="1:21" x14ac:dyDescent="0.25">
      <c r="A645" s="9" t="s">
        <v>4401</v>
      </c>
      <c r="B645" s="10">
        <v>44049</v>
      </c>
      <c r="C645" s="1">
        <v>44048</v>
      </c>
      <c r="D645" t="s">
        <v>4402</v>
      </c>
      <c r="E645" s="11">
        <v>0.375</v>
      </c>
      <c r="F645" s="11">
        <v>0.375</v>
      </c>
      <c r="G645">
        <v>73868</v>
      </c>
      <c r="H645" t="s">
        <v>5031</v>
      </c>
      <c r="I645">
        <v>2</v>
      </c>
      <c r="J645" t="s">
        <v>4458</v>
      </c>
      <c r="K645" t="s">
        <v>4459</v>
      </c>
      <c r="L645" t="s">
        <v>4460</v>
      </c>
      <c r="M645" t="s">
        <v>4407</v>
      </c>
      <c r="N645" t="s">
        <v>60</v>
      </c>
      <c r="O645" t="s">
        <v>34</v>
      </c>
      <c r="P645" s="3">
        <v>1071250</v>
      </c>
      <c r="Q645" s="3">
        <v>1177085</v>
      </c>
      <c r="R645" s="3">
        <v>38325</v>
      </c>
      <c r="S645" s="3">
        <v>1138760</v>
      </c>
      <c r="T645" t="s">
        <v>4408</v>
      </c>
      <c r="U645">
        <v>7932908</v>
      </c>
    </row>
    <row r="646" spans="1:21" x14ac:dyDescent="0.25">
      <c r="A646" s="9" t="s">
        <v>4401</v>
      </c>
      <c r="B646" s="10">
        <v>44049</v>
      </c>
      <c r="C646" s="1">
        <v>44048</v>
      </c>
      <c r="D646" t="s">
        <v>4402</v>
      </c>
      <c r="E646" s="11">
        <v>0.375</v>
      </c>
      <c r="F646" s="11">
        <v>0.375</v>
      </c>
      <c r="G646">
        <v>73869</v>
      </c>
      <c r="H646" t="s">
        <v>5032</v>
      </c>
      <c r="I646">
        <v>2</v>
      </c>
      <c r="J646" t="s">
        <v>4458</v>
      </c>
      <c r="K646" t="s">
        <v>4459</v>
      </c>
      <c r="L646" t="s">
        <v>4460</v>
      </c>
      <c r="M646" t="s">
        <v>4407</v>
      </c>
      <c r="N646" t="s">
        <v>60</v>
      </c>
      <c r="O646" t="s">
        <v>34</v>
      </c>
      <c r="P646" s="3">
        <v>1341103</v>
      </c>
      <c r="Q646" s="3">
        <v>1366446</v>
      </c>
      <c r="R646" s="3">
        <v>513013</v>
      </c>
      <c r="S646" s="3">
        <v>853433</v>
      </c>
      <c r="T646" t="s">
        <v>4408</v>
      </c>
      <c r="U646">
        <v>7932908</v>
      </c>
    </row>
    <row r="647" spans="1:21" x14ac:dyDescent="0.25">
      <c r="A647" s="9" t="s">
        <v>4401</v>
      </c>
      <c r="B647" s="10">
        <v>44049</v>
      </c>
      <c r="C647" s="1">
        <v>44048</v>
      </c>
      <c r="D647" t="s">
        <v>4402</v>
      </c>
      <c r="E647" s="11">
        <v>0.375</v>
      </c>
      <c r="F647" s="11">
        <v>0.375</v>
      </c>
      <c r="G647">
        <v>73870</v>
      </c>
      <c r="H647" t="s">
        <v>5033</v>
      </c>
      <c r="I647">
        <v>2</v>
      </c>
      <c r="J647" t="s">
        <v>4458</v>
      </c>
      <c r="K647" t="s">
        <v>4459</v>
      </c>
      <c r="L647" t="s">
        <v>4460</v>
      </c>
      <c r="M647" t="s">
        <v>4407</v>
      </c>
      <c r="N647" t="s">
        <v>60</v>
      </c>
      <c r="O647" t="s">
        <v>34</v>
      </c>
      <c r="P647" s="3">
        <v>389020</v>
      </c>
      <c r="Q647" s="3">
        <v>389020</v>
      </c>
      <c r="R647">
        <v>0</v>
      </c>
      <c r="S647" s="3">
        <v>389020</v>
      </c>
      <c r="T647" t="s">
        <v>4408</v>
      </c>
      <c r="U647">
        <v>7932908</v>
      </c>
    </row>
    <row r="648" spans="1:21" x14ac:dyDescent="0.25">
      <c r="A648" s="9" t="s">
        <v>4401</v>
      </c>
      <c r="B648" s="10">
        <v>44049</v>
      </c>
      <c r="C648" s="1">
        <v>44048</v>
      </c>
      <c r="D648" t="s">
        <v>4402</v>
      </c>
      <c r="E648" s="11">
        <v>0.375</v>
      </c>
      <c r="F648" s="11">
        <v>0.375</v>
      </c>
      <c r="G648">
        <v>73871</v>
      </c>
      <c r="H648" t="s">
        <v>5034</v>
      </c>
      <c r="I648">
        <v>2</v>
      </c>
      <c r="J648" t="s">
        <v>4404</v>
      </c>
      <c r="K648" t="s">
        <v>4405</v>
      </c>
      <c r="L648" t="s">
        <v>4406</v>
      </c>
      <c r="M648" t="s">
        <v>4407</v>
      </c>
      <c r="N648" t="s">
        <v>60</v>
      </c>
      <c r="O648" t="s">
        <v>34</v>
      </c>
      <c r="P648" s="3">
        <v>8136</v>
      </c>
      <c r="Q648" s="3">
        <v>8136</v>
      </c>
      <c r="R648" s="3">
        <v>2000</v>
      </c>
      <c r="S648" s="3">
        <v>6136</v>
      </c>
      <c r="T648" t="s">
        <v>4408</v>
      </c>
      <c r="U648">
        <v>7932908</v>
      </c>
    </row>
    <row r="649" spans="1:21" x14ac:dyDescent="0.25">
      <c r="A649" s="9" t="s">
        <v>4401</v>
      </c>
      <c r="B649" s="10">
        <v>44049</v>
      </c>
      <c r="C649" s="1">
        <v>44048</v>
      </c>
      <c r="D649" t="s">
        <v>4402</v>
      </c>
      <c r="E649" s="11">
        <v>0.375</v>
      </c>
      <c r="F649" s="11">
        <v>0.375</v>
      </c>
      <c r="G649">
        <v>73874</v>
      </c>
      <c r="H649" t="s">
        <v>5035</v>
      </c>
      <c r="I649">
        <v>2</v>
      </c>
      <c r="J649" t="s">
        <v>4458</v>
      </c>
      <c r="K649" t="s">
        <v>4459</v>
      </c>
      <c r="L649" t="s">
        <v>4460</v>
      </c>
      <c r="M649" t="s">
        <v>4407</v>
      </c>
      <c r="N649" t="s">
        <v>60</v>
      </c>
      <c r="O649" t="s">
        <v>34</v>
      </c>
      <c r="P649" s="3">
        <v>383854</v>
      </c>
      <c r="Q649" s="3">
        <v>626032</v>
      </c>
      <c r="R649" s="3">
        <v>1015</v>
      </c>
      <c r="S649" s="3">
        <v>625017</v>
      </c>
      <c r="T649" t="s">
        <v>4408</v>
      </c>
      <c r="U649">
        <v>7932908</v>
      </c>
    </row>
    <row r="650" spans="1:21" x14ac:dyDescent="0.25">
      <c r="A650" s="9" t="s">
        <v>4401</v>
      </c>
      <c r="B650" s="10">
        <v>44049</v>
      </c>
      <c r="C650" s="1">
        <v>44048</v>
      </c>
      <c r="D650" t="s">
        <v>4402</v>
      </c>
      <c r="E650" s="11">
        <v>0.375</v>
      </c>
      <c r="F650" s="11">
        <v>0.375</v>
      </c>
      <c r="G650">
        <v>73875</v>
      </c>
      <c r="H650" t="s">
        <v>5036</v>
      </c>
      <c r="I650">
        <v>2</v>
      </c>
      <c r="J650" t="s">
        <v>4458</v>
      </c>
      <c r="K650" t="s">
        <v>4459</v>
      </c>
      <c r="L650" t="s">
        <v>4460</v>
      </c>
      <c r="M650" t="s">
        <v>4407</v>
      </c>
      <c r="N650" t="s">
        <v>34</v>
      </c>
      <c r="O650" t="s">
        <v>34</v>
      </c>
      <c r="P650" s="3">
        <v>586962</v>
      </c>
      <c r="Q650" s="3">
        <v>586962</v>
      </c>
      <c r="R650" s="3">
        <v>62302</v>
      </c>
      <c r="S650" s="3">
        <v>524660</v>
      </c>
      <c r="T650" t="s">
        <v>4408</v>
      </c>
      <c r="U650">
        <v>7932908</v>
      </c>
    </row>
    <row r="651" spans="1:21" x14ac:dyDescent="0.25">
      <c r="A651" s="9" t="s">
        <v>4401</v>
      </c>
      <c r="B651" s="10">
        <v>44049</v>
      </c>
      <c r="C651" s="1">
        <v>44048</v>
      </c>
      <c r="D651" t="s">
        <v>4402</v>
      </c>
      <c r="E651" s="11">
        <v>0.375</v>
      </c>
      <c r="F651" s="11">
        <v>0.375</v>
      </c>
      <c r="G651">
        <v>73876</v>
      </c>
      <c r="H651" t="s">
        <v>5037</v>
      </c>
      <c r="I651" t="s">
        <v>367</v>
      </c>
      <c r="J651" t="s">
        <v>4458</v>
      </c>
      <c r="K651" t="s">
        <v>4459</v>
      </c>
      <c r="L651" t="s">
        <v>4460</v>
      </c>
      <c r="M651" t="s">
        <v>4407</v>
      </c>
      <c r="N651" t="s">
        <v>60</v>
      </c>
      <c r="O651" t="s">
        <v>34</v>
      </c>
      <c r="P651" s="3">
        <v>1700</v>
      </c>
      <c r="Q651" s="3">
        <v>1700</v>
      </c>
      <c r="R651">
        <v>0</v>
      </c>
      <c r="S651" s="3">
        <v>1700</v>
      </c>
      <c r="T651" t="s">
        <v>4408</v>
      </c>
      <c r="U651">
        <v>7932908</v>
      </c>
    </row>
    <row r="652" spans="1:21" x14ac:dyDescent="0.25">
      <c r="A652" s="9" t="s">
        <v>4401</v>
      </c>
      <c r="B652" s="10">
        <v>44049</v>
      </c>
      <c r="C652" s="1">
        <v>44048</v>
      </c>
      <c r="D652" t="s">
        <v>4402</v>
      </c>
      <c r="E652" s="11">
        <v>0.375</v>
      </c>
      <c r="F652" s="11">
        <v>0.375</v>
      </c>
      <c r="G652">
        <v>73877</v>
      </c>
      <c r="H652" t="s">
        <v>5038</v>
      </c>
      <c r="I652" t="s">
        <v>543</v>
      </c>
      <c r="J652" t="s">
        <v>4458</v>
      </c>
      <c r="K652" t="s">
        <v>4459</v>
      </c>
      <c r="L652" t="s">
        <v>4460</v>
      </c>
      <c r="M652" t="s">
        <v>4407</v>
      </c>
      <c r="N652" t="s">
        <v>60</v>
      </c>
      <c r="O652" t="s">
        <v>34</v>
      </c>
      <c r="P652" s="3">
        <v>1627</v>
      </c>
      <c r="Q652" s="3">
        <v>1627</v>
      </c>
      <c r="R652" s="3">
        <v>4572</v>
      </c>
      <c r="S652">
        <v>0</v>
      </c>
      <c r="T652" t="s">
        <v>4408</v>
      </c>
      <c r="U652">
        <v>7932908</v>
      </c>
    </row>
    <row r="653" spans="1:21" x14ac:dyDescent="0.25">
      <c r="A653" s="9" t="s">
        <v>4401</v>
      </c>
      <c r="B653" s="10">
        <v>44049</v>
      </c>
      <c r="C653" s="1">
        <v>44048</v>
      </c>
      <c r="D653" t="s">
        <v>4402</v>
      </c>
      <c r="E653" s="11">
        <v>0.375</v>
      </c>
      <c r="F653" s="11">
        <v>0.375</v>
      </c>
      <c r="G653">
        <v>73878</v>
      </c>
      <c r="H653" t="s">
        <v>5039</v>
      </c>
      <c r="I653" t="s">
        <v>367</v>
      </c>
      <c r="J653" t="s">
        <v>4404</v>
      </c>
      <c r="K653" t="s">
        <v>4405</v>
      </c>
      <c r="L653" t="s">
        <v>4406</v>
      </c>
      <c r="M653" t="s">
        <v>4407</v>
      </c>
      <c r="N653" t="s">
        <v>60</v>
      </c>
      <c r="O653" t="s">
        <v>34</v>
      </c>
      <c r="P653" s="3">
        <v>6100</v>
      </c>
      <c r="Q653" s="3">
        <v>6100</v>
      </c>
      <c r="R653">
        <v>100</v>
      </c>
      <c r="S653" s="3">
        <v>6000</v>
      </c>
      <c r="T653" t="s">
        <v>4408</v>
      </c>
      <c r="U653">
        <v>7932908</v>
      </c>
    </row>
    <row r="654" spans="1:21" x14ac:dyDescent="0.25">
      <c r="A654" s="9" t="s">
        <v>4401</v>
      </c>
      <c r="B654" s="10">
        <v>44049</v>
      </c>
      <c r="C654" s="1">
        <v>44048</v>
      </c>
      <c r="D654" t="s">
        <v>4402</v>
      </c>
      <c r="E654" s="11">
        <v>0.375</v>
      </c>
      <c r="F654" s="11">
        <v>0.375</v>
      </c>
      <c r="G654">
        <v>73880</v>
      </c>
      <c r="H654" t="s">
        <v>5040</v>
      </c>
      <c r="I654">
        <v>2</v>
      </c>
      <c r="J654" t="s">
        <v>4458</v>
      </c>
      <c r="K654" t="s">
        <v>4459</v>
      </c>
      <c r="L654" t="s">
        <v>4460</v>
      </c>
      <c r="M654" t="s">
        <v>4407</v>
      </c>
      <c r="N654" t="s">
        <v>60</v>
      </c>
      <c r="O654" t="s">
        <v>34</v>
      </c>
      <c r="P654" s="3">
        <v>123200</v>
      </c>
      <c r="Q654" s="3">
        <v>134200</v>
      </c>
      <c r="R654">
        <v>0</v>
      </c>
      <c r="S654" s="3">
        <v>134200</v>
      </c>
      <c r="T654" t="s">
        <v>4408</v>
      </c>
      <c r="U654">
        <v>7932908</v>
      </c>
    </row>
    <row r="655" spans="1:21" x14ac:dyDescent="0.25">
      <c r="A655" s="9" t="s">
        <v>4401</v>
      </c>
      <c r="B655" s="10">
        <v>44049</v>
      </c>
      <c r="C655" s="1">
        <v>44048</v>
      </c>
      <c r="D655" t="s">
        <v>4402</v>
      </c>
      <c r="E655" s="11">
        <v>0.375</v>
      </c>
      <c r="F655" s="11">
        <v>0.375</v>
      </c>
      <c r="G655">
        <v>73881</v>
      </c>
      <c r="H655" t="s">
        <v>5041</v>
      </c>
      <c r="I655">
        <v>2</v>
      </c>
      <c r="J655" t="s">
        <v>4404</v>
      </c>
      <c r="K655" t="s">
        <v>4405</v>
      </c>
      <c r="L655" t="s">
        <v>4406</v>
      </c>
      <c r="M655" t="s">
        <v>4407</v>
      </c>
      <c r="N655" t="s">
        <v>60</v>
      </c>
      <c r="O655" t="s">
        <v>34</v>
      </c>
      <c r="P655" s="3">
        <v>277522</v>
      </c>
      <c r="Q655" s="3">
        <v>285821</v>
      </c>
      <c r="R655" s="3">
        <v>15467</v>
      </c>
      <c r="S655" s="3">
        <v>270354</v>
      </c>
      <c r="T655" t="s">
        <v>4408</v>
      </c>
      <c r="U655">
        <v>7932908</v>
      </c>
    </row>
    <row r="656" spans="1:21" x14ac:dyDescent="0.25">
      <c r="A656" s="9" t="s">
        <v>4401</v>
      </c>
      <c r="B656" s="10">
        <v>44049</v>
      </c>
      <c r="C656" s="1">
        <v>44048</v>
      </c>
      <c r="D656" t="s">
        <v>4402</v>
      </c>
      <c r="E656" s="11">
        <v>0.375</v>
      </c>
      <c r="F656" s="11">
        <v>0.375</v>
      </c>
      <c r="G656">
        <v>73882</v>
      </c>
      <c r="H656" t="s">
        <v>5042</v>
      </c>
      <c r="I656" t="s">
        <v>680</v>
      </c>
      <c r="J656" t="s">
        <v>4404</v>
      </c>
      <c r="K656" t="s">
        <v>4405</v>
      </c>
      <c r="L656" t="s">
        <v>4406</v>
      </c>
      <c r="M656" t="s">
        <v>4407</v>
      </c>
      <c r="N656" t="s">
        <v>60</v>
      </c>
      <c r="O656" t="s">
        <v>34</v>
      </c>
      <c r="P656" s="3">
        <v>500000</v>
      </c>
      <c r="Q656" s="3">
        <v>500000</v>
      </c>
      <c r="R656">
        <v>25</v>
      </c>
      <c r="S656" s="3">
        <v>499975</v>
      </c>
      <c r="T656" t="s">
        <v>4408</v>
      </c>
      <c r="U656">
        <v>7932908</v>
      </c>
    </row>
    <row r="657" spans="1:21" x14ac:dyDescent="0.25">
      <c r="A657" s="9" t="s">
        <v>4401</v>
      </c>
      <c r="B657" s="10">
        <v>44049</v>
      </c>
      <c r="C657" s="1">
        <v>44048</v>
      </c>
      <c r="D657" t="s">
        <v>4402</v>
      </c>
      <c r="E657" s="11">
        <v>0.375</v>
      </c>
      <c r="F657" s="11">
        <v>0.375</v>
      </c>
      <c r="G657">
        <v>73883</v>
      </c>
      <c r="H657" t="s">
        <v>5043</v>
      </c>
      <c r="I657" t="s">
        <v>680</v>
      </c>
      <c r="J657" t="s">
        <v>4404</v>
      </c>
      <c r="K657" t="s">
        <v>4405</v>
      </c>
      <c r="L657" t="s">
        <v>4406</v>
      </c>
      <c r="M657" t="s">
        <v>4407</v>
      </c>
      <c r="N657" t="s">
        <v>60</v>
      </c>
      <c r="O657" t="s">
        <v>34</v>
      </c>
      <c r="P657" s="3">
        <v>61062</v>
      </c>
      <c r="Q657" s="3">
        <v>61062</v>
      </c>
      <c r="R657" s="3">
        <v>8221</v>
      </c>
      <c r="S657" s="3">
        <v>52841</v>
      </c>
      <c r="T657" t="s">
        <v>4408</v>
      </c>
      <c r="U657">
        <v>7932908</v>
      </c>
    </row>
    <row r="658" spans="1:21" x14ac:dyDescent="0.25">
      <c r="A658" s="9" t="s">
        <v>4401</v>
      </c>
      <c r="B658" s="10">
        <v>44049</v>
      </c>
      <c r="C658" s="1">
        <v>44048</v>
      </c>
      <c r="D658" t="s">
        <v>4402</v>
      </c>
      <c r="E658" s="11">
        <v>0.375</v>
      </c>
      <c r="F658" s="11">
        <v>0.375</v>
      </c>
      <c r="G658">
        <v>73887</v>
      </c>
      <c r="H658" t="s">
        <v>5044</v>
      </c>
      <c r="I658" t="s">
        <v>367</v>
      </c>
      <c r="J658" t="s">
        <v>4404</v>
      </c>
      <c r="K658" t="s">
        <v>4405</v>
      </c>
      <c r="L658" t="s">
        <v>4406</v>
      </c>
      <c r="M658" t="s">
        <v>4407</v>
      </c>
      <c r="N658" t="s">
        <v>34</v>
      </c>
      <c r="O658" t="s">
        <v>34</v>
      </c>
      <c r="P658" s="3">
        <v>1000</v>
      </c>
      <c r="Q658" s="3">
        <v>1000</v>
      </c>
      <c r="R658">
        <v>1</v>
      </c>
      <c r="S658">
        <v>999</v>
      </c>
      <c r="T658" t="s">
        <v>4408</v>
      </c>
      <c r="U658">
        <v>7932908</v>
      </c>
    </row>
    <row r="659" spans="1:21" x14ac:dyDescent="0.25">
      <c r="A659" s="9" t="s">
        <v>4401</v>
      </c>
      <c r="B659" s="10">
        <v>44049</v>
      </c>
      <c r="C659" s="1">
        <v>44048</v>
      </c>
      <c r="D659" t="s">
        <v>4402</v>
      </c>
      <c r="E659" s="11">
        <v>0.375</v>
      </c>
      <c r="F659" s="11">
        <v>0.375</v>
      </c>
      <c r="G659">
        <v>73892</v>
      </c>
      <c r="H659" t="s">
        <v>5045</v>
      </c>
      <c r="I659" t="s">
        <v>367</v>
      </c>
      <c r="J659" t="s">
        <v>4458</v>
      </c>
      <c r="K659" t="s">
        <v>4459</v>
      </c>
      <c r="L659" t="s">
        <v>4460</v>
      </c>
      <c r="M659" t="s">
        <v>4407</v>
      </c>
      <c r="N659" t="s">
        <v>60</v>
      </c>
      <c r="O659" t="s">
        <v>34</v>
      </c>
      <c r="P659" s="3">
        <v>67000</v>
      </c>
      <c r="Q659" s="3">
        <v>67000</v>
      </c>
      <c r="R659">
        <v>0</v>
      </c>
      <c r="S659" s="3">
        <v>67000</v>
      </c>
      <c r="T659" t="s">
        <v>4408</v>
      </c>
      <c r="U659">
        <v>7932908</v>
      </c>
    </row>
    <row r="660" spans="1:21" x14ac:dyDescent="0.25">
      <c r="A660" s="9" t="s">
        <v>4401</v>
      </c>
      <c r="B660" s="10">
        <v>44049</v>
      </c>
      <c r="C660" s="1">
        <v>44048</v>
      </c>
      <c r="D660" t="s">
        <v>4402</v>
      </c>
      <c r="E660" s="11">
        <v>0.375</v>
      </c>
      <c r="F660" s="11">
        <v>0.375</v>
      </c>
      <c r="G660">
        <v>73893</v>
      </c>
      <c r="H660" t="s">
        <v>5046</v>
      </c>
      <c r="I660">
        <v>3</v>
      </c>
      <c r="J660" t="s">
        <v>4404</v>
      </c>
      <c r="K660" t="s">
        <v>4405</v>
      </c>
      <c r="L660" t="s">
        <v>4406</v>
      </c>
      <c r="M660" t="s">
        <v>4407</v>
      </c>
      <c r="N660" t="s">
        <v>60</v>
      </c>
      <c r="O660" t="s">
        <v>34</v>
      </c>
      <c r="P660" s="3">
        <v>366375</v>
      </c>
      <c r="Q660" s="3">
        <v>542836</v>
      </c>
      <c r="R660" s="3">
        <v>119328</v>
      </c>
      <c r="S660" s="3">
        <v>423508</v>
      </c>
      <c r="T660" t="s">
        <v>4408</v>
      </c>
      <c r="U660">
        <v>7932908</v>
      </c>
    </row>
    <row r="661" spans="1:21" x14ac:dyDescent="0.25">
      <c r="A661" s="9" t="s">
        <v>4401</v>
      </c>
      <c r="B661" s="10">
        <v>44049</v>
      </c>
      <c r="C661" s="1">
        <v>44048</v>
      </c>
      <c r="D661" t="s">
        <v>4402</v>
      </c>
      <c r="E661" s="11">
        <v>0.375</v>
      </c>
      <c r="F661" s="11">
        <v>0.375</v>
      </c>
      <c r="G661">
        <v>73894</v>
      </c>
      <c r="H661" t="s">
        <v>5047</v>
      </c>
      <c r="I661">
        <v>2</v>
      </c>
      <c r="J661" t="s">
        <v>4404</v>
      </c>
      <c r="K661" t="s">
        <v>4405</v>
      </c>
      <c r="L661" t="s">
        <v>4406</v>
      </c>
      <c r="M661" t="s">
        <v>4407</v>
      </c>
      <c r="N661" t="s">
        <v>60</v>
      </c>
      <c r="O661" t="s">
        <v>34</v>
      </c>
      <c r="P661" s="3">
        <v>10200</v>
      </c>
      <c r="Q661" s="3">
        <v>10400</v>
      </c>
      <c r="R661" s="3">
        <v>2000</v>
      </c>
      <c r="S661" s="3">
        <v>8400</v>
      </c>
      <c r="T661" t="s">
        <v>4408</v>
      </c>
      <c r="U661">
        <v>7932908</v>
      </c>
    </row>
    <row r="662" spans="1:21" x14ac:dyDescent="0.25">
      <c r="A662" s="9" t="s">
        <v>4401</v>
      </c>
      <c r="B662" s="10">
        <v>44049</v>
      </c>
      <c r="C662" s="1">
        <v>44048</v>
      </c>
      <c r="D662" t="s">
        <v>4402</v>
      </c>
      <c r="E662" s="11">
        <v>0.375</v>
      </c>
      <c r="F662" s="11">
        <v>0.375</v>
      </c>
      <c r="G662">
        <v>73895</v>
      </c>
      <c r="H662" t="s">
        <v>5048</v>
      </c>
      <c r="I662">
        <v>2</v>
      </c>
      <c r="J662" t="s">
        <v>4458</v>
      </c>
      <c r="K662" t="s">
        <v>4459</v>
      </c>
      <c r="L662" t="s">
        <v>4460</v>
      </c>
      <c r="M662" t="s">
        <v>4407</v>
      </c>
      <c r="N662" t="s">
        <v>60</v>
      </c>
      <c r="O662" t="s">
        <v>34</v>
      </c>
      <c r="P662" s="3">
        <v>280000</v>
      </c>
      <c r="Q662" s="3">
        <v>280000</v>
      </c>
      <c r="R662">
        <v>0</v>
      </c>
      <c r="S662" s="3">
        <v>280000</v>
      </c>
      <c r="T662" t="s">
        <v>4408</v>
      </c>
      <c r="U662">
        <v>7932908</v>
      </c>
    </row>
    <row r="663" spans="1:21" x14ac:dyDescent="0.25">
      <c r="A663" s="9" t="s">
        <v>4401</v>
      </c>
      <c r="B663" s="10">
        <v>44049</v>
      </c>
      <c r="C663" s="1">
        <v>44048</v>
      </c>
      <c r="D663" t="s">
        <v>4402</v>
      </c>
      <c r="E663" s="11">
        <v>0.375</v>
      </c>
      <c r="F663" s="11">
        <v>0.375</v>
      </c>
      <c r="G663">
        <v>73896</v>
      </c>
      <c r="H663" t="s">
        <v>5049</v>
      </c>
      <c r="I663" t="s">
        <v>187</v>
      </c>
      <c r="J663" t="s">
        <v>4404</v>
      </c>
      <c r="K663" t="s">
        <v>4405</v>
      </c>
      <c r="L663" t="s">
        <v>4406</v>
      </c>
      <c r="M663" t="s">
        <v>4407</v>
      </c>
      <c r="N663" t="s">
        <v>60</v>
      </c>
      <c r="O663" t="s">
        <v>34</v>
      </c>
      <c r="P663" s="3">
        <v>101700</v>
      </c>
      <c r="Q663" s="3">
        <v>101700</v>
      </c>
      <c r="R663" s="3">
        <v>35000</v>
      </c>
      <c r="S663" s="3">
        <v>66700</v>
      </c>
      <c r="T663" t="s">
        <v>4408</v>
      </c>
      <c r="U663">
        <v>7932908</v>
      </c>
    </row>
    <row r="664" spans="1:21" x14ac:dyDescent="0.25">
      <c r="A664" s="9" t="s">
        <v>4401</v>
      </c>
      <c r="B664" s="10">
        <v>44049</v>
      </c>
      <c r="C664" s="1">
        <v>44048</v>
      </c>
      <c r="D664" t="s">
        <v>4402</v>
      </c>
      <c r="E664" s="11">
        <v>0.375</v>
      </c>
      <c r="F664" s="11">
        <v>0.375</v>
      </c>
      <c r="G664">
        <v>73899</v>
      </c>
      <c r="H664" t="s">
        <v>5050</v>
      </c>
      <c r="I664">
        <v>3</v>
      </c>
      <c r="J664" t="s">
        <v>4404</v>
      </c>
      <c r="K664" t="s">
        <v>4405</v>
      </c>
      <c r="L664" t="s">
        <v>4406</v>
      </c>
      <c r="M664" t="s">
        <v>4407</v>
      </c>
      <c r="N664" t="s">
        <v>60</v>
      </c>
      <c r="O664" t="s">
        <v>34</v>
      </c>
      <c r="P664" s="3">
        <v>165000</v>
      </c>
      <c r="Q664" s="3">
        <v>192345</v>
      </c>
      <c r="R664">
        <v>0</v>
      </c>
      <c r="S664" s="3">
        <v>192345</v>
      </c>
      <c r="T664" t="s">
        <v>4408</v>
      </c>
      <c r="U664">
        <v>7932908</v>
      </c>
    </row>
    <row r="665" spans="1:21" x14ac:dyDescent="0.25">
      <c r="A665" s="9" t="s">
        <v>4401</v>
      </c>
      <c r="B665" s="10">
        <v>44049</v>
      </c>
      <c r="C665" s="1">
        <v>44048</v>
      </c>
      <c r="D665" t="s">
        <v>4402</v>
      </c>
      <c r="E665" s="11">
        <v>0.375</v>
      </c>
      <c r="F665" s="11">
        <v>0.375</v>
      </c>
      <c r="G665">
        <v>73900</v>
      </c>
      <c r="H665" t="s">
        <v>5051</v>
      </c>
      <c r="I665" t="s">
        <v>543</v>
      </c>
      <c r="J665" t="s">
        <v>4404</v>
      </c>
      <c r="K665" t="s">
        <v>4405</v>
      </c>
      <c r="L665" t="s">
        <v>4406</v>
      </c>
      <c r="M665" t="s">
        <v>4407</v>
      </c>
      <c r="N665" t="s">
        <v>60</v>
      </c>
      <c r="O665" t="s">
        <v>34</v>
      </c>
      <c r="P665" s="3">
        <v>1900</v>
      </c>
      <c r="Q665" s="3">
        <v>1900</v>
      </c>
      <c r="R665">
        <v>185</v>
      </c>
      <c r="S665" s="3">
        <v>1715</v>
      </c>
      <c r="T665" t="s">
        <v>4408</v>
      </c>
      <c r="U665">
        <v>7932908</v>
      </c>
    </row>
    <row r="666" spans="1:21" x14ac:dyDescent="0.25">
      <c r="A666" s="9" t="s">
        <v>4401</v>
      </c>
      <c r="B666" s="10">
        <v>44049</v>
      </c>
      <c r="C666" s="1">
        <v>44048</v>
      </c>
      <c r="D666" t="s">
        <v>4402</v>
      </c>
      <c r="E666" s="11">
        <v>0.375</v>
      </c>
      <c r="F666" s="11">
        <v>0.375</v>
      </c>
      <c r="G666">
        <v>73901</v>
      </c>
      <c r="H666" t="s">
        <v>5052</v>
      </c>
      <c r="I666" t="s">
        <v>543</v>
      </c>
      <c r="J666" t="s">
        <v>4404</v>
      </c>
      <c r="K666" t="s">
        <v>4405</v>
      </c>
      <c r="L666" t="s">
        <v>4406</v>
      </c>
      <c r="M666" t="s">
        <v>4407</v>
      </c>
      <c r="N666" t="s">
        <v>60</v>
      </c>
      <c r="O666" t="s">
        <v>34</v>
      </c>
      <c r="P666" s="3">
        <v>8000</v>
      </c>
      <c r="Q666" s="3">
        <v>8000</v>
      </c>
      <c r="R666">
        <v>790</v>
      </c>
      <c r="S666" s="3">
        <v>7210</v>
      </c>
      <c r="T666" t="s">
        <v>4408</v>
      </c>
      <c r="U666">
        <v>7932908</v>
      </c>
    </row>
    <row r="667" spans="1:21" x14ac:dyDescent="0.25">
      <c r="A667" s="9" t="s">
        <v>4401</v>
      </c>
      <c r="B667" s="10">
        <v>44049</v>
      </c>
      <c r="C667" s="1">
        <v>44048</v>
      </c>
      <c r="D667" t="s">
        <v>4402</v>
      </c>
      <c r="E667" s="11">
        <v>0.375</v>
      </c>
      <c r="F667" s="11">
        <v>0.375</v>
      </c>
      <c r="G667">
        <v>73902</v>
      </c>
      <c r="H667" t="s">
        <v>5053</v>
      </c>
      <c r="I667" t="s">
        <v>543</v>
      </c>
      <c r="J667" t="s">
        <v>4404</v>
      </c>
      <c r="K667" t="s">
        <v>4405</v>
      </c>
      <c r="L667" t="s">
        <v>4406</v>
      </c>
      <c r="M667" t="s">
        <v>4407</v>
      </c>
      <c r="N667" t="s">
        <v>60</v>
      </c>
      <c r="O667" t="s">
        <v>34</v>
      </c>
      <c r="P667">
        <v>400</v>
      </c>
      <c r="Q667">
        <v>400</v>
      </c>
      <c r="R667">
        <v>1</v>
      </c>
      <c r="S667">
        <v>399</v>
      </c>
      <c r="T667" t="s">
        <v>4408</v>
      </c>
      <c r="U667">
        <v>7932908</v>
      </c>
    </row>
    <row r="668" spans="1:21" x14ac:dyDescent="0.25">
      <c r="A668" s="9" t="s">
        <v>4401</v>
      </c>
      <c r="B668" s="10">
        <v>44049</v>
      </c>
      <c r="C668" s="1">
        <v>44048</v>
      </c>
      <c r="D668" t="s">
        <v>4402</v>
      </c>
      <c r="E668" s="11">
        <v>0.375</v>
      </c>
      <c r="F668" s="11">
        <v>0.375</v>
      </c>
      <c r="G668">
        <v>73904</v>
      </c>
      <c r="H668" t="s">
        <v>5054</v>
      </c>
      <c r="I668">
        <v>1</v>
      </c>
      <c r="J668" t="s">
        <v>4404</v>
      </c>
      <c r="K668" t="s">
        <v>4405</v>
      </c>
      <c r="L668" t="s">
        <v>4406</v>
      </c>
      <c r="M668" t="s">
        <v>4407</v>
      </c>
      <c r="N668" t="s">
        <v>60</v>
      </c>
      <c r="O668" t="s">
        <v>34</v>
      </c>
      <c r="P668" s="3">
        <v>162720</v>
      </c>
      <c r="Q668" s="3">
        <v>162720</v>
      </c>
      <c r="R668" s="3">
        <v>55900</v>
      </c>
      <c r="S668" s="3">
        <v>106820</v>
      </c>
      <c r="T668" t="s">
        <v>4408</v>
      </c>
      <c r="U668">
        <v>7932908</v>
      </c>
    </row>
    <row r="669" spans="1:21" x14ac:dyDescent="0.25">
      <c r="A669" s="9" t="s">
        <v>4401</v>
      </c>
      <c r="B669" s="10">
        <v>44049</v>
      </c>
      <c r="C669" s="1">
        <v>44048</v>
      </c>
      <c r="D669" t="s">
        <v>4402</v>
      </c>
      <c r="E669" s="11">
        <v>0.375</v>
      </c>
      <c r="F669" s="11">
        <v>0.375</v>
      </c>
      <c r="G669">
        <v>73905</v>
      </c>
      <c r="H669" t="s">
        <v>5055</v>
      </c>
      <c r="I669" t="s">
        <v>680</v>
      </c>
      <c r="J669" t="s">
        <v>4458</v>
      </c>
      <c r="K669" t="s">
        <v>4459</v>
      </c>
      <c r="L669" t="s">
        <v>4460</v>
      </c>
      <c r="M669" t="s">
        <v>4407</v>
      </c>
      <c r="N669" t="s">
        <v>60</v>
      </c>
      <c r="O669" t="s">
        <v>34</v>
      </c>
      <c r="P669" s="3">
        <v>3562</v>
      </c>
      <c r="Q669" s="3">
        <v>3562</v>
      </c>
      <c r="R669">
        <v>0</v>
      </c>
      <c r="S669" s="3">
        <v>3562</v>
      </c>
      <c r="T669" t="s">
        <v>4408</v>
      </c>
      <c r="U669">
        <v>7932908</v>
      </c>
    </row>
    <row r="670" spans="1:21" x14ac:dyDescent="0.25">
      <c r="A670" s="9" t="s">
        <v>4401</v>
      </c>
      <c r="B670" s="10">
        <v>44049</v>
      </c>
      <c r="C670" s="1">
        <v>44048</v>
      </c>
      <c r="D670" t="s">
        <v>4402</v>
      </c>
      <c r="E670" s="11">
        <v>0.375</v>
      </c>
      <c r="F670" s="11">
        <v>0.375</v>
      </c>
      <c r="G670">
        <v>73907</v>
      </c>
      <c r="H670" t="s">
        <v>5056</v>
      </c>
      <c r="I670">
        <v>2</v>
      </c>
      <c r="J670" t="s">
        <v>4458</v>
      </c>
      <c r="K670" t="s">
        <v>4459</v>
      </c>
      <c r="L670" t="s">
        <v>4460</v>
      </c>
      <c r="M670" t="s">
        <v>4407</v>
      </c>
      <c r="N670" t="s">
        <v>60</v>
      </c>
      <c r="O670" t="s">
        <v>34</v>
      </c>
      <c r="P670" s="3">
        <v>500000</v>
      </c>
      <c r="Q670" s="3">
        <v>500000</v>
      </c>
      <c r="R670" s="3">
        <v>387961</v>
      </c>
      <c r="S670" s="3">
        <v>112039</v>
      </c>
      <c r="T670" t="s">
        <v>4408</v>
      </c>
      <c r="U670">
        <v>7932908</v>
      </c>
    </row>
    <row r="671" spans="1:21" x14ac:dyDescent="0.25">
      <c r="A671" s="9" t="s">
        <v>4401</v>
      </c>
      <c r="B671" s="10">
        <v>44049</v>
      </c>
      <c r="C671" s="1">
        <v>44048</v>
      </c>
      <c r="D671" t="s">
        <v>4402</v>
      </c>
      <c r="E671" s="11">
        <v>0.375</v>
      </c>
      <c r="F671" s="11">
        <v>0.375</v>
      </c>
      <c r="G671">
        <v>73908</v>
      </c>
      <c r="H671" t="s">
        <v>5057</v>
      </c>
      <c r="I671" t="s">
        <v>543</v>
      </c>
      <c r="J671" t="s">
        <v>4458</v>
      </c>
      <c r="K671" t="s">
        <v>4459</v>
      </c>
      <c r="L671" t="s">
        <v>4460</v>
      </c>
      <c r="M671" t="s">
        <v>4407</v>
      </c>
      <c r="N671" t="s">
        <v>60</v>
      </c>
      <c r="O671" t="s">
        <v>34</v>
      </c>
      <c r="P671" s="3">
        <v>10170</v>
      </c>
      <c r="Q671" s="3">
        <v>10170</v>
      </c>
      <c r="R671">
        <v>0</v>
      </c>
      <c r="S671" s="3">
        <v>10170</v>
      </c>
      <c r="T671" t="s">
        <v>4408</v>
      </c>
      <c r="U671">
        <v>7932908</v>
      </c>
    </row>
    <row r="672" spans="1:21" x14ac:dyDescent="0.25">
      <c r="A672" s="9" t="s">
        <v>4401</v>
      </c>
      <c r="B672" s="10">
        <v>44049</v>
      </c>
      <c r="C672" s="1">
        <v>44048</v>
      </c>
      <c r="D672" t="s">
        <v>4402</v>
      </c>
      <c r="E672" s="11">
        <v>0.375</v>
      </c>
      <c r="F672" s="11">
        <v>0.375</v>
      </c>
      <c r="G672">
        <v>73909</v>
      </c>
      <c r="H672" t="s">
        <v>5058</v>
      </c>
      <c r="I672">
        <v>3</v>
      </c>
      <c r="J672" t="s">
        <v>4404</v>
      </c>
      <c r="K672" t="s">
        <v>4405</v>
      </c>
      <c r="L672" t="s">
        <v>4406</v>
      </c>
      <c r="M672" t="s">
        <v>4407</v>
      </c>
      <c r="N672" t="s">
        <v>60</v>
      </c>
      <c r="O672" t="s">
        <v>34</v>
      </c>
      <c r="P672" s="3">
        <v>234000</v>
      </c>
      <c r="Q672" s="3">
        <v>234000</v>
      </c>
      <c r="R672" s="3">
        <v>110122</v>
      </c>
      <c r="S672" s="3">
        <v>123878</v>
      </c>
      <c r="T672" t="s">
        <v>4408</v>
      </c>
      <c r="U672">
        <v>7932908</v>
      </c>
    </row>
    <row r="673" spans="1:21" x14ac:dyDescent="0.25">
      <c r="A673" s="9" t="s">
        <v>4401</v>
      </c>
      <c r="B673" s="10">
        <v>44049</v>
      </c>
      <c r="C673" s="1">
        <v>44048</v>
      </c>
      <c r="D673" t="s">
        <v>4402</v>
      </c>
      <c r="E673" s="11">
        <v>0.375</v>
      </c>
      <c r="F673" s="11">
        <v>0.375</v>
      </c>
      <c r="G673">
        <v>73910</v>
      </c>
      <c r="H673" t="s">
        <v>5059</v>
      </c>
      <c r="I673">
        <v>3</v>
      </c>
      <c r="J673" t="s">
        <v>4404</v>
      </c>
      <c r="K673" t="s">
        <v>4405</v>
      </c>
      <c r="L673" t="s">
        <v>4406</v>
      </c>
      <c r="M673" t="s">
        <v>4407</v>
      </c>
      <c r="N673" t="s">
        <v>60</v>
      </c>
      <c r="O673" t="s">
        <v>34</v>
      </c>
      <c r="P673" s="3">
        <v>66000</v>
      </c>
      <c r="Q673" s="3">
        <v>75000</v>
      </c>
      <c r="R673" s="3">
        <v>45500</v>
      </c>
      <c r="S673" s="3">
        <v>29500</v>
      </c>
      <c r="T673" t="s">
        <v>4408</v>
      </c>
      <c r="U673">
        <v>7932908</v>
      </c>
    </row>
    <row r="674" spans="1:21" x14ac:dyDescent="0.25">
      <c r="A674" s="9" t="s">
        <v>4401</v>
      </c>
      <c r="B674" s="10">
        <v>44049</v>
      </c>
      <c r="C674" s="1">
        <v>44048</v>
      </c>
      <c r="D674" t="s">
        <v>4402</v>
      </c>
      <c r="E674" s="11">
        <v>0.375</v>
      </c>
      <c r="F674" s="11">
        <v>0.375</v>
      </c>
      <c r="G674">
        <v>73911</v>
      </c>
      <c r="H674" t="s">
        <v>5060</v>
      </c>
      <c r="I674">
        <v>3</v>
      </c>
      <c r="J674" t="s">
        <v>4404</v>
      </c>
      <c r="K674" t="s">
        <v>4405</v>
      </c>
      <c r="L674" t="s">
        <v>4406</v>
      </c>
      <c r="M674" t="s">
        <v>4407</v>
      </c>
      <c r="N674" t="s">
        <v>60</v>
      </c>
      <c r="O674" t="s">
        <v>34</v>
      </c>
      <c r="P674" s="3">
        <v>183060</v>
      </c>
      <c r="Q674" s="3">
        <v>183060</v>
      </c>
      <c r="R674" s="3">
        <v>145000</v>
      </c>
      <c r="S674" s="3">
        <v>38060</v>
      </c>
      <c r="T674" t="s">
        <v>4408</v>
      </c>
      <c r="U674">
        <v>7932908</v>
      </c>
    </row>
    <row r="675" spans="1:21" x14ac:dyDescent="0.25">
      <c r="A675" s="9" t="s">
        <v>4401</v>
      </c>
      <c r="B675" s="10">
        <v>44049</v>
      </c>
      <c r="C675" s="1">
        <v>44048</v>
      </c>
      <c r="D675" t="s">
        <v>4402</v>
      </c>
      <c r="E675" s="11">
        <v>0.375</v>
      </c>
      <c r="F675" s="11">
        <v>0.375</v>
      </c>
      <c r="G675">
        <v>73912</v>
      </c>
      <c r="H675" t="s">
        <v>5061</v>
      </c>
      <c r="I675" t="s">
        <v>367</v>
      </c>
      <c r="J675" t="s">
        <v>4404</v>
      </c>
      <c r="K675" t="s">
        <v>4405</v>
      </c>
      <c r="L675" t="s">
        <v>4406</v>
      </c>
      <c r="M675" t="s">
        <v>4407</v>
      </c>
      <c r="N675" t="s">
        <v>60</v>
      </c>
      <c r="O675" t="s">
        <v>34</v>
      </c>
      <c r="P675" s="3">
        <v>509485</v>
      </c>
      <c r="Q675" s="3">
        <v>509485</v>
      </c>
      <c r="R675">
        <v>0</v>
      </c>
      <c r="S675" s="3">
        <v>509485</v>
      </c>
      <c r="T675" t="s">
        <v>4408</v>
      </c>
      <c r="U675">
        <v>7932908</v>
      </c>
    </row>
    <row r="676" spans="1:21" x14ac:dyDescent="0.25">
      <c r="A676" s="9" t="s">
        <v>4401</v>
      </c>
      <c r="B676" s="10">
        <v>44049</v>
      </c>
      <c r="C676" s="1">
        <v>44048</v>
      </c>
      <c r="D676" t="s">
        <v>4402</v>
      </c>
      <c r="E676" s="11">
        <v>0.375</v>
      </c>
      <c r="F676" s="11">
        <v>0.375</v>
      </c>
      <c r="G676">
        <v>73913</v>
      </c>
      <c r="H676" t="s">
        <v>5062</v>
      </c>
      <c r="I676">
        <v>2</v>
      </c>
      <c r="J676" t="s">
        <v>4404</v>
      </c>
      <c r="K676" t="s">
        <v>4405</v>
      </c>
      <c r="L676" t="s">
        <v>4406</v>
      </c>
      <c r="M676" t="s">
        <v>4407</v>
      </c>
      <c r="N676" t="s">
        <v>60</v>
      </c>
      <c r="O676" t="s">
        <v>34</v>
      </c>
      <c r="P676" s="3">
        <v>163850</v>
      </c>
      <c r="Q676" s="3">
        <v>163850</v>
      </c>
      <c r="R676">
        <v>100</v>
      </c>
      <c r="S676" s="3">
        <v>163750</v>
      </c>
      <c r="T676" t="s">
        <v>4408</v>
      </c>
      <c r="U676">
        <v>7932908</v>
      </c>
    </row>
    <row r="677" spans="1:21" x14ac:dyDescent="0.25">
      <c r="A677" s="9" t="s">
        <v>4401</v>
      </c>
      <c r="B677" s="10">
        <v>44049</v>
      </c>
      <c r="C677" s="1">
        <v>44048</v>
      </c>
      <c r="D677" t="s">
        <v>4402</v>
      </c>
      <c r="E677" s="11">
        <v>0.375</v>
      </c>
      <c r="F677" s="11">
        <v>0.375</v>
      </c>
      <c r="G677">
        <v>73914</v>
      </c>
      <c r="H677" t="s">
        <v>5063</v>
      </c>
      <c r="I677">
        <v>3</v>
      </c>
      <c r="J677" t="s">
        <v>4404</v>
      </c>
      <c r="K677" t="s">
        <v>4405</v>
      </c>
      <c r="L677" t="s">
        <v>4406</v>
      </c>
      <c r="M677" t="s">
        <v>4407</v>
      </c>
      <c r="N677" t="s">
        <v>60</v>
      </c>
      <c r="O677" t="s">
        <v>34</v>
      </c>
      <c r="P677" s="3">
        <v>81400</v>
      </c>
      <c r="Q677" s="3">
        <v>81400</v>
      </c>
      <c r="R677" s="3">
        <v>70000</v>
      </c>
      <c r="S677" s="3">
        <v>11400</v>
      </c>
      <c r="T677" t="s">
        <v>4408</v>
      </c>
      <c r="U677">
        <v>7932908</v>
      </c>
    </row>
    <row r="678" spans="1:21" x14ac:dyDescent="0.25">
      <c r="A678" s="9" t="s">
        <v>4401</v>
      </c>
      <c r="B678" s="10">
        <v>44049</v>
      </c>
      <c r="C678" s="1">
        <v>44048</v>
      </c>
      <c r="D678" t="s">
        <v>4402</v>
      </c>
      <c r="E678" s="11">
        <v>0.375</v>
      </c>
      <c r="F678" s="11">
        <v>0.375</v>
      </c>
      <c r="G678">
        <v>73915</v>
      </c>
      <c r="H678" t="s">
        <v>5064</v>
      </c>
      <c r="I678">
        <v>2</v>
      </c>
      <c r="J678" t="s">
        <v>4458</v>
      </c>
      <c r="K678" t="s">
        <v>4459</v>
      </c>
      <c r="L678" t="s">
        <v>4460</v>
      </c>
      <c r="M678" t="s">
        <v>4407</v>
      </c>
      <c r="N678" t="s">
        <v>60</v>
      </c>
      <c r="O678" t="s">
        <v>34</v>
      </c>
      <c r="P678" s="3">
        <v>485625</v>
      </c>
      <c r="Q678" s="3">
        <v>529328</v>
      </c>
      <c r="R678" s="3">
        <v>187000</v>
      </c>
      <c r="S678" s="3">
        <v>342328</v>
      </c>
      <c r="T678" t="s">
        <v>4408</v>
      </c>
      <c r="U678">
        <v>7932908</v>
      </c>
    </row>
    <row r="679" spans="1:21" x14ac:dyDescent="0.25">
      <c r="A679" s="9" t="s">
        <v>4401</v>
      </c>
      <c r="B679" s="10">
        <v>44049</v>
      </c>
      <c r="C679" s="1">
        <v>44048</v>
      </c>
      <c r="D679" t="s">
        <v>4402</v>
      </c>
      <c r="E679" s="11">
        <v>0.375</v>
      </c>
      <c r="F679" s="11">
        <v>0.375</v>
      </c>
      <c r="G679">
        <v>73918</v>
      </c>
      <c r="H679" t="s">
        <v>5065</v>
      </c>
      <c r="I679">
        <v>3</v>
      </c>
      <c r="J679" t="s">
        <v>4404</v>
      </c>
      <c r="K679" t="s">
        <v>4405</v>
      </c>
      <c r="L679" t="s">
        <v>4406</v>
      </c>
      <c r="M679" t="s">
        <v>4407</v>
      </c>
      <c r="N679" t="s">
        <v>60</v>
      </c>
      <c r="O679" t="s">
        <v>34</v>
      </c>
      <c r="P679" s="3">
        <v>97700</v>
      </c>
      <c r="Q679" s="3">
        <v>97700</v>
      </c>
      <c r="R679">
        <v>0</v>
      </c>
      <c r="S679" s="3">
        <v>97700</v>
      </c>
      <c r="T679" t="s">
        <v>4408</v>
      </c>
      <c r="U679">
        <v>7932908</v>
      </c>
    </row>
    <row r="680" spans="1:21" x14ac:dyDescent="0.25">
      <c r="A680" s="9" t="s">
        <v>4401</v>
      </c>
      <c r="B680" s="10">
        <v>44049</v>
      </c>
      <c r="C680" s="1">
        <v>44048</v>
      </c>
      <c r="D680" t="s">
        <v>4402</v>
      </c>
      <c r="E680" s="11">
        <v>0.375</v>
      </c>
      <c r="F680" s="11">
        <v>0.375</v>
      </c>
      <c r="G680">
        <v>73919</v>
      </c>
      <c r="H680" t="s">
        <v>5066</v>
      </c>
      <c r="I680">
        <v>2</v>
      </c>
      <c r="J680" t="s">
        <v>4458</v>
      </c>
      <c r="K680" t="s">
        <v>4459</v>
      </c>
      <c r="L680" t="s">
        <v>4460</v>
      </c>
      <c r="M680" t="s">
        <v>4407</v>
      </c>
      <c r="N680" t="s">
        <v>60</v>
      </c>
      <c r="O680" t="s">
        <v>34</v>
      </c>
      <c r="P680" s="3">
        <v>305100</v>
      </c>
      <c r="Q680" s="3">
        <v>305100</v>
      </c>
      <c r="R680" s="3">
        <v>290000</v>
      </c>
      <c r="S680" s="3">
        <v>15100</v>
      </c>
      <c r="T680" t="s">
        <v>4408</v>
      </c>
      <c r="U680">
        <v>7932908</v>
      </c>
    </row>
    <row r="681" spans="1:21" x14ac:dyDescent="0.25">
      <c r="A681" s="9" t="s">
        <v>4401</v>
      </c>
      <c r="B681" s="10">
        <v>44049</v>
      </c>
      <c r="C681" s="1">
        <v>44048</v>
      </c>
      <c r="D681" t="s">
        <v>4402</v>
      </c>
      <c r="E681" s="11">
        <v>0.375</v>
      </c>
      <c r="F681" s="11">
        <v>0.375</v>
      </c>
      <c r="G681">
        <v>73920</v>
      </c>
      <c r="H681" t="s">
        <v>5067</v>
      </c>
      <c r="I681" t="s">
        <v>543</v>
      </c>
      <c r="J681" t="s">
        <v>4404</v>
      </c>
      <c r="K681" t="s">
        <v>4405</v>
      </c>
      <c r="L681" t="s">
        <v>4406</v>
      </c>
      <c r="M681" t="s">
        <v>4407</v>
      </c>
      <c r="N681" t="s">
        <v>60</v>
      </c>
      <c r="O681" t="s">
        <v>34</v>
      </c>
      <c r="P681" s="3">
        <v>508500</v>
      </c>
      <c r="Q681" s="3">
        <v>508500</v>
      </c>
      <c r="R681" s="3">
        <v>38743</v>
      </c>
      <c r="S681" s="3">
        <v>469757</v>
      </c>
      <c r="T681" t="s">
        <v>4408</v>
      </c>
      <c r="U681">
        <v>7932908</v>
      </c>
    </row>
    <row r="682" spans="1:21" x14ac:dyDescent="0.25">
      <c r="A682" s="9" t="s">
        <v>4401</v>
      </c>
      <c r="B682" s="10">
        <v>44049</v>
      </c>
      <c r="C682" s="1">
        <v>44048</v>
      </c>
      <c r="D682" t="s">
        <v>4402</v>
      </c>
      <c r="E682" s="11">
        <v>0.375</v>
      </c>
      <c r="F682" s="11">
        <v>0.375</v>
      </c>
      <c r="G682">
        <v>73921</v>
      </c>
      <c r="H682" t="s">
        <v>5068</v>
      </c>
      <c r="I682" t="s">
        <v>367</v>
      </c>
      <c r="J682" t="s">
        <v>4458</v>
      </c>
      <c r="K682" t="s">
        <v>4459</v>
      </c>
      <c r="L682" t="s">
        <v>4460</v>
      </c>
      <c r="M682" t="s">
        <v>4407</v>
      </c>
      <c r="N682" t="s">
        <v>60</v>
      </c>
      <c r="O682" t="s">
        <v>34</v>
      </c>
      <c r="P682" s="3">
        <v>254427</v>
      </c>
      <c r="Q682" s="3">
        <v>254427</v>
      </c>
      <c r="R682" s="3">
        <v>127500</v>
      </c>
      <c r="S682" s="3">
        <v>126927</v>
      </c>
      <c r="T682" t="s">
        <v>4408</v>
      </c>
      <c r="U682">
        <v>7932908</v>
      </c>
    </row>
    <row r="683" spans="1:21" x14ac:dyDescent="0.25">
      <c r="A683" s="9" t="s">
        <v>4401</v>
      </c>
      <c r="B683" s="10">
        <v>44049</v>
      </c>
      <c r="C683" s="1">
        <v>44048</v>
      </c>
      <c r="D683" t="s">
        <v>4402</v>
      </c>
      <c r="E683" s="11">
        <v>0.375</v>
      </c>
      <c r="F683" s="11">
        <v>0.375</v>
      </c>
      <c r="G683">
        <v>73923</v>
      </c>
      <c r="H683" t="s">
        <v>5069</v>
      </c>
      <c r="I683" t="s">
        <v>543</v>
      </c>
      <c r="J683" t="s">
        <v>4404</v>
      </c>
      <c r="K683" t="s">
        <v>4405</v>
      </c>
      <c r="L683" t="s">
        <v>4406</v>
      </c>
      <c r="M683" t="s">
        <v>4407</v>
      </c>
      <c r="N683" t="s">
        <v>60</v>
      </c>
      <c r="O683" t="s">
        <v>34</v>
      </c>
      <c r="P683" s="3">
        <v>10177</v>
      </c>
      <c r="Q683" s="3">
        <v>10177</v>
      </c>
      <c r="R683">
        <v>0</v>
      </c>
      <c r="S683" s="3">
        <v>10177</v>
      </c>
      <c r="T683" t="s">
        <v>4408</v>
      </c>
      <c r="U683">
        <v>7932908</v>
      </c>
    </row>
    <row r="684" spans="1:21" x14ac:dyDescent="0.25">
      <c r="A684" s="9" t="s">
        <v>4401</v>
      </c>
      <c r="B684" s="10">
        <v>44049</v>
      </c>
      <c r="C684" s="1">
        <v>44048</v>
      </c>
      <c r="D684" t="s">
        <v>4402</v>
      </c>
      <c r="E684" s="11">
        <v>0.375</v>
      </c>
      <c r="F684" s="11">
        <v>0.375</v>
      </c>
      <c r="G684">
        <v>73924</v>
      </c>
      <c r="H684" t="s">
        <v>5070</v>
      </c>
      <c r="I684">
        <v>2</v>
      </c>
      <c r="J684" t="s">
        <v>4458</v>
      </c>
      <c r="K684" t="s">
        <v>4459</v>
      </c>
      <c r="L684" t="s">
        <v>4460</v>
      </c>
      <c r="M684" t="s">
        <v>4407</v>
      </c>
      <c r="N684" t="s">
        <v>34</v>
      </c>
      <c r="O684" t="s">
        <v>34</v>
      </c>
      <c r="P684" s="3">
        <v>508500</v>
      </c>
      <c r="Q684" s="3">
        <v>508500</v>
      </c>
      <c r="R684" s="3">
        <v>63803</v>
      </c>
      <c r="S684" s="3">
        <v>444697</v>
      </c>
      <c r="T684" t="s">
        <v>4408</v>
      </c>
      <c r="U684">
        <v>7932908</v>
      </c>
    </row>
    <row r="685" spans="1:21" x14ac:dyDescent="0.25">
      <c r="A685" s="9" t="s">
        <v>4401</v>
      </c>
      <c r="B685" s="10">
        <v>44049</v>
      </c>
      <c r="C685" s="1">
        <v>44048</v>
      </c>
      <c r="D685" t="s">
        <v>4402</v>
      </c>
      <c r="E685" s="11">
        <v>0.375</v>
      </c>
      <c r="F685" s="11">
        <v>0.375</v>
      </c>
      <c r="G685">
        <v>73925</v>
      </c>
      <c r="H685" t="s">
        <v>5071</v>
      </c>
      <c r="I685">
        <v>2</v>
      </c>
      <c r="J685" t="s">
        <v>4458</v>
      </c>
      <c r="K685" t="s">
        <v>4459</v>
      </c>
      <c r="L685" t="s">
        <v>4460</v>
      </c>
      <c r="M685" t="s">
        <v>4407</v>
      </c>
      <c r="N685" t="s">
        <v>60</v>
      </c>
      <c r="O685" t="s">
        <v>34</v>
      </c>
      <c r="P685" s="3">
        <v>610625</v>
      </c>
      <c r="Q685" s="3">
        <v>610625</v>
      </c>
      <c r="R685">
        <v>0</v>
      </c>
      <c r="S685" s="3">
        <v>610625</v>
      </c>
      <c r="T685" t="s">
        <v>4408</v>
      </c>
      <c r="U685">
        <v>7932908</v>
      </c>
    </row>
    <row r="686" spans="1:21" x14ac:dyDescent="0.25">
      <c r="A686" s="9" t="s">
        <v>4401</v>
      </c>
      <c r="B686" s="10">
        <v>44049</v>
      </c>
      <c r="C686" s="1">
        <v>44048</v>
      </c>
      <c r="D686" t="s">
        <v>4402</v>
      </c>
      <c r="E686" s="11">
        <v>0.375</v>
      </c>
      <c r="F686" s="11">
        <v>0.375</v>
      </c>
      <c r="G686">
        <v>73927</v>
      </c>
      <c r="H686" t="s">
        <v>5072</v>
      </c>
      <c r="I686" t="s">
        <v>187</v>
      </c>
      <c r="J686" t="s">
        <v>4458</v>
      </c>
      <c r="K686" t="s">
        <v>4459</v>
      </c>
      <c r="L686" t="s">
        <v>4460</v>
      </c>
      <c r="M686" t="s">
        <v>4407</v>
      </c>
      <c r="N686" t="s">
        <v>60</v>
      </c>
      <c r="O686" t="s">
        <v>34</v>
      </c>
      <c r="P686" s="3">
        <v>152550</v>
      </c>
      <c r="Q686" s="3">
        <v>152550</v>
      </c>
      <c r="R686" s="3">
        <v>135752</v>
      </c>
      <c r="S686" s="3">
        <v>16798</v>
      </c>
      <c r="T686" t="s">
        <v>4408</v>
      </c>
      <c r="U686">
        <v>7932908</v>
      </c>
    </row>
    <row r="687" spans="1:21" x14ac:dyDescent="0.25">
      <c r="A687" s="9" t="s">
        <v>4401</v>
      </c>
      <c r="B687" s="10">
        <v>44049</v>
      </c>
      <c r="C687" s="1">
        <v>44048</v>
      </c>
      <c r="D687" t="s">
        <v>4402</v>
      </c>
      <c r="E687" s="11">
        <v>0.375</v>
      </c>
      <c r="F687" s="11">
        <v>0.375</v>
      </c>
      <c r="G687">
        <v>73930</v>
      </c>
      <c r="H687" t="s">
        <v>5073</v>
      </c>
      <c r="I687" t="s">
        <v>680</v>
      </c>
      <c r="J687" t="s">
        <v>4458</v>
      </c>
      <c r="K687" t="s">
        <v>4459</v>
      </c>
      <c r="L687" t="s">
        <v>4460</v>
      </c>
      <c r="M687" t="s">
        <v>4407</v>
      </c>
      <c r="N687" t="s">
        <v>60</v>
      </c>
      <c r="O687" t="s">
        <v>34</v>
      </c>
      <c r="P687" s="3">
        <v>2035</v>
      </c>
      <c r="Q687" s="3">
        <v>2035</v>
      </c>
      <c r="R687">
        <v>600</v>
      </c>
      <c r="S687" s="3">
        <v>1435</v>
      </c>
      <c r="T687" t="s">
        <v>4408</v>
      </c>
      <c r="U687">
        <v>7932908</v>
      </c>
    </row>
    <row r="688" spans="1:21" x14ac:dyDescent="0.25">
      <c r="A688" s="9" t="s">
        <v>4401</v>
      </c>
      <c r="B688" s="10">
        <v>44049</v>
      </c>
      <c r="C688" s="1">
        <v>44048</v>
      </c>
      <c r="D688" t="s">
        <v>4402</v>
      </c>
      <c r="E688" s="11">
        <v>0.375</v>
      </c>
      <c r="F688" s="11">
        <v>0.375</v>
      </c>
      <c r="G688">
        <v>74040</v>
      </c>
      <c r="H688" t="s">
        <v>5074</v>
      </c>
      <c r="I688">
        <v>2</v>
      </c>
      <c r="J688" t="s">
        <v>4404</v>
      </c>
      <c r="K688" t="s">
        <v>4405</v>
      </c>
      <c r="L688" t="s">
        <v>4406</v>
      </c>
      <c r="M688" t="s">
        <v>4407</v>
      </c>
      <c r="N688" t="s">
        <v>60</v>
      </c>
      <c r="O688" t="s">
        <v>34</v>
      </c>
      <c r="P688" s="3">
        <v>277877</v>
      </c>
      <c r="Q688" s="3">
        <v>277877</v>
      </c>
      <c r="R688">
        <v>0</v>
      </c>
      <c r="S688" s="3">
        <v>277877</v>
      </c>
      <c r="T688" t="s">
        <v>4408</v>
      </c>
      <c r="U688">
        <v>7932908</v>
      </c>
    </row>
    <row r="689" spans="1:21" x14ac:dyDescent="0.25">
      <c r="A689" s="9" t="s">
        <v>4401</v>
      </c>
      <c r="B689" s="10">
        <v>44049</v>
      </c>
      <c r="C689" s="1">
        <v>44048</v>
      </c>
      <c r="D689" t="s">
        <v>4402</v>
      </c>
      <c r="E689" s="11">
        <v>0.375</v>
      </c>
      <c r="F689" s="11">
        <v>0.375</v>
      </c>
      <c r="G689">
        <v>74058</v>
      </c>
      <c r="H689" t="s">
        <v>4426</v>
      </c>
      <c r="I689">
        <v>3</v>
      </c>
      <c r="J689" t="s">
        <v>4404</v>
      </c>
      <c r="K689" t="s">
        <v>4405</v>
      </c>
      <c r="L689" t="s">
        <v>4406</v>
      </c>
      <c r="M689" t="s">
        <v>4407</v>
      </c>
      <c r="N689" t="s">
        <v>60</v>
      </c>
      <c r="O689" t="s">
        <v>34</v>
      </c>
      <c r="P689" s="3">
        <v>660131</v>
      </c>
      <c r="Q689" s="3">
        <v>660131</v>
      </c>
      <c r="R689" s="3">
        <v>138560</v>
      </c>
      <c r="S689" s="3">
        <v>521571</v>
      </c>
      <c r="T689" t="s">
        <v>4408</v>
      </c>
      <c r="U689">
        <v>7932908</v>
      </c>
    </row>
    <row r="690" spans="1:21" x14ac:dyDescent="0.25">
      <c r="A690" s="9" t="s">
        <v>4401</v>
      </c>
      <c r="B690" s="10">
        <v>44049</v>
      </c>
      <c r="C690" s="1">
        <v>44048</v>
      </c>
      <c r="D690" t="s">
        <v>4402</v>
      </c>
      <c r="E690" s="11">
        <v>0.375</v>
      </c>
      <c r="F690" s="11">
        <v>0.375</v>
      </c>
      <c r="G690">
        <v>74059</v>
      </c>
      <c r="H690" t="s">
        <v>5075</v>
      </c>
      <c r="I690">
        <v>3</v>
      </c>
      <c r="J690" t="s">
        <v>4404</v>
      </c>
      <c r="K690" t="s">
        <v>4405</v>
      </c>
      <c r="L690" t="s">
        <v>4406</v>
      </c>
      <c r="M690" t="s">
        <v>4407</v>
      </c>
      <c r="N690" t="s">
        <v>60</v>
      </c>
      <c r="O690" t="s">
        <v>34</v>
      </c>
      <c r="P690" s="3">
        <v>183860</v>
      </c>
      <c r="Q690" s="3">
        <v>183860</v>
      </c>
      <c r="R690">
        <v>0</v>
      </c>
      <c r="S690" s="3">
        <v>183860</v>
      </c>
      <c r="T690" t="s">
        <v>4408</v>
      </c>
      <c r="U690">
        <v>7932908</v>
      </c>
    </row>
    <row r="691" spans="1:21" x14ac:dyDescent="0.25">
      <c r="A691" s="9" t="s">
        <v>4401</v>
      </c>
      <c r="B691" s="10">
        <v>44049</v>
      </c>
      <c r="C691" s="1">
        <v>44048</v>
      </c>
      <c r="D691" t="s">
        <v>4402</v>
      </c>
      <c r="E691" s="11">
        <v>0.375</v>
      </c>
      <c r="F691" s="11">
        <v>0.375</v>
      </c>
      <c r="G691">
        <v>74128</v>
      </c>
      <c r="H691" t="s">
        <v>3503</v>
      </c>
      <c r="I691">
        <v>3</v>
      </c>
      <c r="J691" t="s">
        <v>4404</v>
      </c>
      <c r="K691" t="s">
        <v>4405</v>
      </c>
      <c r="L691" t="s">
        <v>4406</v>
      </c>
      <c r="M691" t="s">
        <v>4407</v>
      </c>
      <c r="N691" t="s">
        <v>60</v>
      </c>
      <c r="O691" t="s">
        <v>34</v>
      </c>
      <c r="P691" s="3">
        <v>574801</v>
      </c>
      <c r="Q691" s="3">
        <v>574801</v>
      </c>
      <c r="R691">
        <v>0</v>
      </c>
      <c r="S691" s="3">
        <v>574801</v>
      </c>
      <c r="T691" t="s">
        <v>4408</v>
      </c>
      <c r="U691">
        <v>7932908</v>
      </c>
    </row>
    <row r="692" spans="1:21" x14ac:dyDescent="0.25">
      <c r="A692" s="9" t="s">
        <v>4401</v>
      </c>
      <c r="B692" s="10">
        <v>44049</v>
      </c>
      <c r="C692" s="1">
        <v>44048</v>
      </c>
      <c r="D692" t="s">
        <v>4402</v>
      </c>
      <c r="E692" s="11">
        <v>0.375</v>
      </c>
      <c r="F692" s="11">
        <v>0.375</v>
      </c>
      <c r="G692">
        <v>74186</v>
      </c>
      <c r="H692" t="s">
        <v>5076</v>
      </c>
      <c r="I692" t="s">
        <v>367</v>
      </c>
      <c r="J692" t="s">
        <v>4458</v>
      </c>
      <c r="K692" t="s">
        <v>4459</v>
      </c>
      <c r="L692" t="s">
        <v>4460</v>
      </c>
      <c r="M692" t="s">
        <v>4407</v>
      </c>
      <c r="N692" t="s">
        <v>60</v>
      </c>
      <c r="O692" t="s">
        <v>34</v>
      </c>
      <c r="P692" s="3">
        <v>136041</v>
      </c>
      <c r="Q692" s="3">
        <v>136041</v>
      </c>
      <c r="R692">
        <v>0</v>
      </c>
      <c r="S692" s="3">
        <v>136041</v>
      </c>
      <c r="T692" t="s">
        <v>4408</v>
      </c>
      <c r="U692">
        <v>7932908</v>
      </c>
    </row>
    <row r="693" spans="1:21" x14ac:dyDescent="0.25">
      <c r="A693" s="9" t="s">
        <v>4401</v>
      </c>
      <c r="B693" s="10">
        <v>44049</v>
      </c>
      <c r="C693" s="1">
        <v>44048</v>
      </c>
      <c r="D693" t="s">
        <v>4402</v>
      </c>
      <c r="E693" s="11">
        <v>0.375</v>
      </c>
      <c r="F693" s="11">
        <v>0.375</v>
      </c>
      <c r="G693">
        <v>74187</v>
      </c>
      <c r="H693" t="s">
        <v>5077</v>
      </c>
      <c r="I693" t="s">
        <v>367</v>
      </c>
      <c r="J693" t="s">
        <v>4404</v>
      </c>
      <c r="K693" t="s">
        <v>4405</v>
      </c>
      <c r="L693" t="s">
        <v>4406</v>
      </c>
      <c r="M693" t="s">
        <v>4407</v>
      </c>
      <c r="N693" t="s">
        <v>60</v>
      </c>
      <c r="O693" t="s">
        <v>34</v>
      </c>
      <c r="P693" s="3">
        <v>366393</v>
      </c>
      <c r="Q693" s="3">
        <v>366393</v>
      </c>
      <c r="R693">
        <v>0</v>
      </c>
      <c r="S693" s="3">
        <v>366393</v>
      </c>
      <c r="T693" t="s">
        <v>4408</v>
      </c>
      <c r="U693">
        <v>7932908</v>
      </c>
    </row>
    <row r="694" spans="1:21" x14ac:dyDescent="0.25">
      <c r="A694" s="9" t="s">
        <v>4401</v>
      </c>
      <c r="B694" s="10">
        <v>44049</v>
      </c>
      <c r="C694" s="1">
        <v>44048</v>
      </c>
      <c r="D694" t="s">
        <v>4402</v>
      </c>
      <c r="E694" s="11">
        <v>0.375</v>
      </c>
      <c r="F694" s="11">
        <v>0.375</v>
      </c>
      <c r="G694">
        <v>74200</v>
      </c>
      <c r="H694" t="s">
        <v>5078</v>
      </c>
      <c r="I694">
        <v>2</v>
      </c>
      <c r="J694" t="s">
        <v>4458</v>
      </c>
      <c r="K694" t="s">
        <v>4459</v>
      </c>
      <c r="L694" t="s">
        <v>4460</v>
      </c>
      <c r="M694" t="s">
        <v>4407</v>
      </c>
      <c r="N694" t="s">
        <v>60</v>
      </c>
      <c r="O694" t="s">
        <v>34</v>
      </c>
      <c r="P694" s="3">
        <v>661700</v>
      </c>
      <c r="Q694" s="3">
        <v>661700</v>
      </c>
      <c r="R694">
        <v>0</v>
      </c>
      <c r="S694" s="3">
        <v>661700</v>
      </c>
      <c r="T694" t="s">
        <v>4408</v>
      </c>
      <c r="U694">
        <v>7932908</v>
      </c>
    </row>
    <row r="695" spans="1:21" x14ac:dyDescent="0.25">
      <c r="A695" s="9" t="s">
        <v>4401</v>
      </c>
      <c r="B695" s="10">
        <v>44049</v>
      </c>
      <c r="C695" s="1">
        <v>44048</v>
      </c>
      <c r="D695" t="s">
        <v>4402</v>
      </c>
      <c r="E695" s="11">
        <v>0.375</v>
      </c>
      <c r="F695" s="11">
        <v>0.375</v>
      </c>
      <c r="G695">
        <v>74201</v>
      </c>
      <c r="H695" t="s">
        <v>5079</v>
      </c>
      <c r="I695">
        <v>2</v>
      </c>
      <c r="J695" t="s">
        <v>4458</v>
      </c>
      <c r="K695" t="s">
        <v>4459</v>
      </c>
      <c r="L695" t="s">
        <v>4460</v>
      </c>
      <c r="M695" t="s">
        <v>4407</v>
      </c>
      <c r="N695" t="s">
        <v>60</v>
      </c>
      <c r="O695" t="s">
        <v>34</v>
      </c>
      <c r="P695" s="3">
        <v>357969</v>
      </c>
      <c r="Q695" s="3">
        <v>470789</v>
      </c>
      <c r="R695">
        <v>0</v>
      </c>
      <c r="S695" s="3">
        <v>470789</v>
      </c>
      <c r="T695" t="s">
        <v>4408</v>
      </c>
      <c r="U695">
        <v>7932908</v>
      </c>
    </row>
    <row r="696" spans="1:21" x14ac:dyDescent="0.25">
      <c r="A696" s="9" t="s">
        <v>4401</v>
      </c>
      <c r="B696" s="10">
        <v>44049</v>
      </c>
      <c r="C696" s="1">
        <v>44048</v>
      </c>
      <c r="D696" t="s">
        <v>4402</v>
      </c>
      <c r="E696" s="11">
        <v>0.375</v>
      </c>
      <c r="F696" s="11">
        <v>0.375</v>
      </c>
      <c r="G696">
        <v>74202</v>
      </c>
      <c r="H696" t="s">
        <v>5080</v>
      </c>
      <c r="I696">
        <v>2</v>
      </c>
      <c r="J696" t="s">
        <v>4458</v>
      </c>
      <c r="K696" t="s">
        <v>4459</v>
      </c>
      <c r="L696" t="s">
        <v>4460</v>
      </c>
      <c r="M696" t="s">
        <v>4407</v>
      </c>
      <c r="N696" t="s">
        <v>60</v>
      </c>
      <c r="O696" t="s">
        <v>34</v>
      </c>
      <c r="P696" s="3">
        <v>400000</v>
      </c>
      <c r="Q696" s="3">
        <v>440000</v>
      </c>
      <c r="R696" s="3">
        <v>469991</v>
      </c>
      <c r="S696">
        <v>0</v>
      </c>
      <c r="T696" t="s">
        <v>4408</v>
      </c>
      <c r="U696">
        <v>7932908</v>
      </c>
    </row>
    <row r="697" spans="1:21" x14ac:dyDescent="0.25">
      <c r="A697" s="9" t="s">
        <v>4401</v>
      </c>
      <c r="B697" s="10">
        <v>44049</v>
      </c>
      <c r="C697" s="1">
        <v>44048</v>
      </c>
      <c r="D697" t="s">
        <v>4402</v>
      </c>
      <c r="E697" s="11">
        <v>0.375</v>
      </c>
      <c r="F697" s="11">
        <v>0.375</v>
      </c>
      <c r="G697">
        <v>74203</v>
      </c>
      <c r="H697" t="s">
        <v>5081</v>
      </c>
      <c r="I697">
        <v>2</v>
      </c>
      <c r="J697" t="s">
        <v>4404</v>
      </c>
      <c r="K697" t="s">
        <v>4405</v>
      </c>
      <c r="L697" t="s">
        <v>4406</v>
      </c>
      <c r="M697" t="s">
        <v>4407</v>
      </c>
      <c r="N697" t="s">
        <v>60</v>
      </c>
      <c r="O697" t="s">
        <v>34</v>
      </c>
      <c r="P697" s="3">
        <v>169867</v>
      </c>
      <c r="Q697" s="3">
        <v>173687</v>
      </c>
      <c r="R697" s="3">
        <v>100000</v>
      </c>
      <c r="S697" s="3">
        <v>73687</v>
      </c>
      <c r="T697" t="s">
        <v>4408</v>
      </c>
      <c r="U697">
        <v>7932908</v>
      </c>
    </row>
    <row r="698" spans="1:21" x14ac:dyDescent="0.25">
      <c r="A698" s="9" t="s">
        <v>4401</v>
      </c>
      <c r="B698" s="10">
        <v>44049</v>
      </c>
      <c r="C698" s="1">
        <v>44048</v>
      </c>
      <c r="D698" t="s">
        <v>4402</v>
      </c>
      <c r="E698" s="11">
        <v>0.375</v>
      </c>
      <c r="F698" s="11">
        <v>0.375</v>
      </c>
      <c r="G698">
        <v>74215</v>
      </c>
      <c r="H698" t="s">
        <v>4464</v>
      </c>
      <c r="I698">
        <v>2</v>
      </c>
      <c r="J698" t="s">
        <v>4404</v>
      </c>
      <c r="K698" t="s">
        <v>4405</v>
      </c>
      <c r="L698" t="s">
        <v>4406</v>
      </c>
      <c r="M698" t="s">
        <v>4407</v>
      </c>
      <c r="N698" t="s">
        <v>60</v>
      </c>
      <c r="O698" t="s">
        <v>34</v>
      </c>
      <c r="P698" s="3">
        <v>232000</v>
      </c>
      <c r="Q698" s="3">
        <v>232000</v>
      </c>
      <c r="R698" s="3">
        <v>160533</v>
      </c>
      <c r="S698" s="3">
        <v>71467</v>
      </c>
      <c r="T698" t="s">
        <v>4408</v>
      </c>
      <c r="U698">
        <v>7932908</v>
      </c>
    </row>
    <row r="699" spans="1:21" x14ac:dyDescent="0.25">
      <c r="A699" s="9" t="s">
        <v>4401</v>
      </c>
      <c r="B699" s="10">
        <v>44049</v>
      </c>
      <c r="C699" s="1">
        <v>44048</v>
      </c>
      <c r="D699" t="s">
        <v>4402</v>
      </c>
      <c r="E699" s="11">
        <v>0.375</v>
      </c>
      <c r="F699" s="11">
        <v>0.375</v>
      </c>
      <c r="G699">
        <v>74217</v>
      </c>
      <c r="H699" t="s">
        <v>5082</v>
      </c>
      <c r="I699">
        <v>1</v>
      </c>
      <c r="J699" t="s">
        <v>4404</v>
      </c>
      <c r="K699" t="s">
        <v>4405</v>
      </c>
      <c r="L699" t="s">
        <v>4406</v>
      </c>
      <c r="M699" t="s">
        <v>4407</v>
      </c>
      <c r="N699" t="s">
        <v>60</v>
      </c>
      <c r="O699" t="s">
        <v>34</v>
      </c>
      <c r="P699" s="3">
        <v>162720</v>
      </c>
      <c r="Q699" s="3">
        <v>162720</v>
      </c>
      <c r="R699">
        <v>0</v>
      </c>
      <c r="S699" s="3">
        <v>162720</v>
      </c>
      <c r="T699" t="s">
        <v>4408</v>
      </c>
      <c r="U699">
        <v>7932908</v>
      </c>
    </row>
    <row r="700" spans="1:21" x14ac:dyDescent="0.25">
      <c r="A700" s="9" t="s">
        <v>4401</v>
      </c>
      <c r="B700" s="10">
        <v>44049</v>
      </c>
      <c r="C700" s="1">
        <v>44048</v>
      </c>
      <c r="D700" t="s">
        <v>4402</v>
      </c>
      <c r="E700" s="11">
        <v>0.375</v>
      </c>
      <c r="F700" s="11">
        <v>0.375</v>
      </c>
      <c r="G700">
        <v>74825</v>
      </c>
      <c r="H700" t="s">
        <v>5083</v>
      </c>
      <c r="I700" t="s">
        <v>367</v>
      </c>
      <c r="J700" t="s">
        <v>4458</v>
      </c>
      <c r="K700" t="s">
        <v>4459</v>
      </c>
      <c r="L700" t="s">
        <v>4460</v>
      </c>
      <c r="M700" t="s">
        <v>4407</v>
      </c>
      <c r="N700" t="s">
        <v>60</v>
      </c>
      <c r="O700" t="s">
        <v>34</v>
      </c>
      <c r="P700" s="3">
        <v>141484</v>
      </c>
      <c r="Q700" s="3">
        <v>141484</v>
      </c>
      <c r="R700">
        <v>0</v>
      </c>
      <c r="S700" s="3">
        <v>141484</v>
      </c>
      <c r="T700" t="s">
        <v>4408</v>
      </c>
      <c r="U700">
        <v>7932908</v>
      </c>
    </row>
    <row r="701" spans="1:21" x14ac:dyDescent="0.25">
      <c r="A701" s="9" t="s">
        <v>4401</v>
      </c>
      <c r="B701" s="10">
        <v>44049</v>
      </c>
      <c r="C701" s="1">
        <v>44048</v>
      </c>
      <c r="D701" t="s">
        <v>4402</v>
      </c>
      <c r="E701" s="11">
        <v>0.375</v>
      </c>
      <c r="F701" s="11">
        <v>0.375</v>
      </c>
      <c r="G701">
        <v>74902</v>
      </c>
      <c r="H701" t="s">
        <v>5084</v>
      </c>
      <c r="I701">
        <v>2</v>
      </c>
      <c r="J701" t="s">
        <v>4458</v>
      </c>
      <c r="K701" t="s">
        <v>4459</v>
      </c>
      <c r="L701" t="s">
        <v>4460</v>
      </c>
      <c r="M701" t="s">
        <v>4407</v>
      </c>
      <c r="N701" t="s">
        <v>34</v>
      </c>
      <c r="O701" t="s">
        <v>34</v>
      </c>
      <c r="P701" s="3">
        <v>864501</v>
      </c>
      <c r="Q701" s="3">
        <v>864501</v>
      </c>
      <c r="R701">
        <v>0</v>
      </c>
      <c r="S701" s="3">
        <v>864501</v>
      </c>
      <c r="T701" t="s">
        <v>4408</v>
      </c>
      <c r="U701">
        <v>7932908</v>
      </c>
    </row>
    <row r="702" spans="1:21" x14ac:dyDescent="0.25">
      <c r="A702" s="9" t="s">
        <v>4401</v>
      </c>
      <c r="B702" s="10">
        <v>44049</v>
      </c>
      <c r="C702" s="1">
        <v>44048</v>
      </c>
      <c r="D702" t="s">
        <v>4402</v>
      </c>
      <c r="E702" s="11">
        <v>0.375</v>
      </c>
      <c r="F702" s="11">
        <v>0.375</v>
      </c>
      <c r="G702">
        <v>74903</v>
      </c>
      <c r="H702" t="s">
        <v>5085</v>
      </c>
      <c r="I702">
        <v>2</v>
      </c>
      <c r="J702" t="s">
        <v>4404</v>
      </c>
      <c r="K702" t="s">
        <v>4405</v>
      </c>
      <c r="L702" t="s">
        <v>4406</v>
      </c>
      <c r="M702" t="s">
        <v>4407</v>
      </c>
      <c r="N702" t="s">
        <v>60</v>
      </c>
      <c r="O702" t="s">
        <v>34</v>
      </c>
      <c r="P702" s="3">
        <v>432650</v>
      </c>
      <c r="Q702" s="3">
        <v>432650</v>
      </c>
      <c r="R702" s="3">
        <v>276470</v>
      </c>
      <c r="S702" s="3">
        <v>156180</v>
      </c>
      <c r="T702" t="s">
        <v>4408</v>
      </c>
      <c r="U702">
        <v>7932908</v>
      </c>
    </row>
    <row r="703" spans="1:21" x14ac:dyDescent="0.25">
      <c r="A703" s="9" t="s">
        <v>4401</v>
      </c>
      <c r="B703" s="10">
        <v>44049</v>
      </c>
      <c r="C703" s="1">
        <v>44048</v>
      </c>
      <c r="D703" t="s">
        <v>4402</v>
      </c>
      <c r="E703" s="11">
        <v>0.375</v>
      </c>
      <c r="F703" s="11">
        <v>0.375</v>
      </c>
      <c r="G703">
        <v>75007</v>
      </c>
      <c r="H703" t="s">
        <v>3563</v>
      </c>
      <c r="I703">
        <v>2</v>
      </c>
      <c r="J703" t="s">
        <v>4458</v>
      </c>
      <c r="K703" t="s">
        <v>4459</v>
      </c>
      <c r="L703" t="s">
        <v>4460</v>
      </c>
      <c r="M703" t="s">
        <v>4407</v>
      </c>
      <c r="N703" t="s">
        <v>60</v>
      </c>
      <c r="O703" t="s">
        <v>34</v>
      </c>
      <c r="P703" s="3">
        <v>140749</v>
      </c>
      <c r="Q703" s="3">
        <v>140749</v>
      </c>
      <c r="R703" s="3">
        <v>5064</v>
      </c>
      <c r="S703" s="3">
        <v>135685</v>
      </c>
      <c r="T703" t="s">
        <v>4408</v>
      </c>
      <c r="U703">
        <v>7932908</v>
      </c>
    </row>
    <row r="704" spans="1:21" x14ac:dyDescent="0.25">
      <c r="A704" s="9" t="s">
        <v>4401</v>
      </c>
      <c r="B704" s="10">
        <v>44049</v>
      </c>
      <c r="C704" s="1">
        <v>44048</v>
      </c>
      <c r="D704" t="s">
        <v>4402</v>
      </c>
      <c r="E704" s="11">
        <v>0.375</v>
      </c>
      <c r="F704" s="11">
        <v>0.375</v>
      </c>
      <c r="G704">
        <v>75007</v>
      </c>
      <c r="H704" t="s">
        <v>3563</v>
      </c>
      <c r="I704">
        <v>2</v>
      </c>
      <c r="J704" t="s">
        <v>4404</v>
      </c>
      <c r="K704" t="s">
        <v>4405</v>
      </c>
      <c r="L704" t="s">
        <v>4406</v>
      </c>
      <c r="M704" t="s">
        <v>4407</v>
      </c>
      <c r="N704" t="s">
        <v>60</v>
      </c>
      <c r="O704" t="s">
        <v>34</v>
      </c>
      <c r="P704" s="3">
        <v>140749</v>
      </c>
      <c r="Q704" s="3">
        <v>140749</v>
      </c>
      <c r="R704">
        <v>0</v>
      </c>
      <c r="S704" s="3">
        <v>140749</v>
      </c>
      <c r="T704" t="s">
        <v>4408</v>
      </c>
      <c r="U704">
        <v>7932908</v>
      </c>
    </row>
    <row r="705" spans="1:21" x14ac:dyDescent="0.25">
      <c r="A705" s="9" t="s">
        <v>4401</v>
      </c>
      <c r="B705" s="10">
        <v>44049</v>
      </c>
      <c r="C705" s="1">
        <v>44048</v>
      </c>
      <c r="D705" t="s">
        <v>4402</v>
      </c>
      <c r="E705" s="11">
        <v>0.375</v>
      </c>
      <c r="F705" s="11">
        <v>0.375</v>
      </c>
      <c r="G705">
        <v>75009</v>
      </c>
      <c r="H705" t="s">
        <v>3569</v>
      </c>
      <c r="I705">
        <v>2</v>
      </c>
      <c r="J705" t="s">
        <v>4404</v>
      </c>
      <c r="K705" t="s">
        <v>4405</v>
      </c>
      <c r="L705" t="s">
        <v>4406</v>
      </c>
      <c r="M705" t="s">
        <v>4407</v>
      </c>
      <c r="N705" t="s">
        <v>60</v>
      </c>
      <c r="O705" t="s">
        <v>34</v>
      </c>
      <c r="P705" s="3">
        <v>189553</v>
      </c>
      <c r="Q705" s="3">
        <v>189553</v>
      </c>
      <c r="R705" s="3">
        <v>39607</v>
      </c>
      <c r="S705" s="3">
        <v>149946</v>
      </c>
      <c r="T705" t="s">
        <v>4408</v>
      </c>
      <c r="U705">
        <v>7932908</v>
      </c>
    </row>
    <row r="706" spans="1:21" x14ac:dyDescent="0.25">
      <c r="A706" s="9" t="s">
        <v>4401</v>
      </c>
      <c r="B706" s="10">
        <v>44049</v>
      </c>
      <c r="C706" s="1">
        <v>44048</v>
      </c>
      <c r="D706" t="s">
        <v>4402</v>
      </c>
      <c r="E706" s="11">
        <v>0.375</v>
      </c>
      <c r="F706" s="11">
        <v>0.375</v>
      </c>
      <c r="G706">
        <v>75009</v>
      </c>
      <c r="H706" t="s">
        <v>3569</v>
      </c>
      <c r="I706">
        <v>2</v>
      </c>
      <c r="J706" t="s">
        <v>4458</v>
      </c>
      <c r="K706" t="s">
        <v>4459</v>
      </c>
      <c r="L706" t="s">
        <v>4460</v>
      </c>
      <c r="M706" t="s">
        <v>4407</v>
      </c>
      <c r="N706" t="s">
        <v>60</v>
      </c>
      <c r="O706" t="s">
        <v>34</v>
      </c>
      <c r="P706" s="3">
        <v>189553</v>
      </c>
      <c r="Q706" s="3">
        <v>189553</v>
      </c>
      <c r="R706" s="3">
        <v>36339</v>
      </c>
      <c r="S706" s="3">
        <v>153214</v>
      </c>
      <c r="T706" t="s">
        <v>4408</v>
      </c>
      <c r="U706">
        <v>7932908</v>
      </c>
    </row>
    <row r="707" spans="1:21" x14ac:dyDescent="0.25">
      <c r="A707" s="9" t="s">
        <v>4401</v>
      </c>
      <c r="B707" s="10">
        <v>44049</v>
      </c>
      <c r="C707" s="1">
        <v>44048</v>
      </c>
      <c r="D707" t="s">
        <v>4402</v>
      </c>
      <c r="E707" s="11">
        <v>0.375</v>
      </c>
      <c r="F707" s="11">
        <v>0.375</v>
      </c>
      <c r="G707">
        <v>75037</v>
      </c>
      <c r="H707" t="s">
        <v>3573</v>
      </c>
      <c r="I707">
        <v>2</v>
      </c>
      <c r="J707" t="s">
        <v>4458</v>
      </c>
      <c r="K707" t="s">
        <v>4459</v>
      </c>
      <c r="L707" t="s">
        <v>4460</v>
      </c>
      <c r="M707" t="s">
        <v>4407</v>
      </c>
      <c r="N707" t="s">
        <v>60</v>
      </c>
      <c r="O707" t="s">
        <v>34</v>
      </c>
      <c r="P707" s="3">
        <v>144101</v>
      </c>
      <c r="Q707" s="3">
        <v>144101</v>
      </c>
      <c r="R707">
        <v>0</v>
      </c>
      <c r="S707" s="3">
        <v>144101</v>
      </c>
      <c r="T707" t="s">
        <v>4408</v>
      </c>
      <c r="U707">
        <v>7932908</v>
      </c>
    </row>
    <row r="708" spans="1:21" x14ac:dyDescent="0.25">
      <c r="A708" s="9" t="s">
        <v>4401</v>
      </c>
      <c r="B708" s="10">
        <v>44049</v>
      </c>
      <c r="C708" s="1">
        <v>44048</v>
      </c>
      <c r="D708" t="s">
        <v>4402</v>
      </c>
      <c r="E708" s="11">
        <v>0.375</v>
      </c>
      <c r="F708" s="11">
        <v>0.375</v>
      </c>
      <c r="G708">
        <v>75037</v>
      </c>
      <c r="H708" t="s">
        <v>3573</v>
      </c>
      <c r="I708">
        <v>2</v>
      </c>
      <c r="J708" t="s">
        <v>4404</v>
      </c>
      <c r="K708" t="s">
        <v>4405</v>
      </c>
      <c r="L708" t="s">
        <v>4406</v>
      </c>
      <c r="M708" t="s">
        <v>4407</v>
      </c>
      <c r="N708" t="s">
        <v>60</v>
      </c>
      <c r="O708" t="s">
        <v>34</v>
      </c>
      <c r="P708" s="3">
        <v>144101</v>
      </c>
      <c r="Q708" s="3">
        <v>144101</v>
      </c>
      <c r="R708" s="3">
        <v>6200</v>
      </c>
      <c r="S708" s="3">
        <v>137901</v>
      </c>
      <c r="T708" t="s">
        <v>4408</v>
      </c>
      <c r="U708">
        <v>7932908</v>
      </c>
    </row>
    <row r="709" spans="1:21" x14ac:dyDescent="0.25">
      <c r="A709" s="9" t="s">
        <v>4401</v>
      </c>
      <c r="B709" s="10">
        <v>44049</v>
      </c>
      <c r="C709" s="1">
        <v>44048</v>
      </c>
      <c r="D709" t="s">
        <v>4402</v>
      </c>
      <c r="E709" s="11">
        <v>0.375</v>
      </c>
      <c r="F709" s="11">
        <v>0.375</v>
      </c>
      <c r="G709">
        <v>75043</v>
      </c>
      <c r="H709" t="s">
        <v>3578</v>
      </c>
      <c r="I709" t="s">
        <v>680</v>
      </c>
      <c r="J709" t="s">
        <v>4404</v>
      </c>
      <c r="K709" t="s">
        <v>4405</v>
      </c>
      <c r="L709" t="s">
        <v>4406</v>
      </c>
      <c r="M709" t="s">
        <v>4407</v>
      </c>
      <c r="N709" t="s">
        <v>60</v>
      </c>
      <c r="O709" t="s">
        <v>34</v>
      </c>
      <c r="P709" s="3">
        <v>191773</v>
      </c>
      <c r="Q709" s="3">
        <v>191773</v>
      </c>
      <c r="R709">
        <v>0</v>
      </c>
      <c r="S709" s="3">
        <v>191773</v>
      </c>
      <c r="T709" t="s">
        <v>4408</v>
      </c>
      <c r="U709">
        <v>7932908</v>
      </c>
    </row>
    <row r="710" spans="1:21" x14ac:dyDescent="0.25">
      <c r="A710" s="9" t="s">
        <v>4401</v>
      </c>
      <c r="B710" s="10">
        <v>44049</v>
      </c>
      <c r="C710" s="1">
        <v>44048</v>
      </c>
      <c r="D710" t="s">
        <v>4402</v>
      </c>
      <c r="E710" s="11">
        <v>0.375</v>
      </c>
      <c r="F710" s="11">
        <v>0.375</v>
      </c>
      <c r="G710">
        <v>75043</v>
      </c>
      <c r="H710" t="s">
        <v>3578</v>
      </c>
      <c r="I710" t="s">
        <v>680</v>
      </c>
      <c r="J710" t="s">
        <v>4458</v>
      </c>
      <c r="K710" t="s">
        <v>4459</v>
      </c>
      <c r="L710" t="s">
        <v>4460</v>
      </c>
      <c r="M710" t="s">
        <v>4407</v>
      </c>
      <c r="N710" t="s">
        <v>60</v>
      </c>
      <c r="O710" t="s">
        <v>34</v>
      </c>
      <c r="P710" s="3">
        <v>191773</v>
      </c>
      <c r="Q710" s="3">
        <v>191773</v>
      </c>
      <c r="R710">
        <v>0</v>
      </c>
      <c r="S710" s="3">
        <v>191773</v>
      </c>
      <c r="T710" t="s">
        <v>4408</v>
      </c>
      <c r="U710">
        <v>7932908</v>
      </c>
    </row>
    <row r="711" spans="1:21" x14ac:dyDescent="0.25">
      <c r="A711" s="9" t="s">
        <v>4401</v>
      </c>
      <c r="B711" s="10">
        <v>44049</v>
      </c>
      <c r="C711" s="1">
        <v>44048</v>
      </c>
      <c r="D711" t="s">
        <v>4402</v>
      </c>
      <c r="E711" s="11">
        <v>0.375</v>
      </c>
      <c r="F711" s="11">
        <v>0.375</v>
      </c>
      <c r="G711">
        <v>75051</v>
      </c>
      <c r="H711" t="s">
        <v>3583</v>
      </c>
      <c r="I711">
        <v>3</v>
      </c>
      <c r="J711" t="s">
        <v>4458</v>
      </c>
      <c r="K711" t="s">
        <v>4459</v>
      </c>
      <c r="L711" t="s">
        <v>4460</v>
      </c>
      <c r="M711" t="s">
        <v>4407</v>
      </c>
      <c r="N711" t="s">
        <v>60</v>
      </c>
      <c r="O711" t="s">
        <v>34</v>
      </c>
      <c r="P711" s="3">
        <v>692041</v>
      </c>
      <c r="Q711" s="3">
        <v>692041</v>
      </c>
      <c r="R711" s="3">
        <v>1745</v>
      </c>
      <c r="S711" s="3">
        <v>690296</v>
      </c>
      <c r="T711" t="s">
        <v>4408</v>
      </c>
      <c r="U711">
        <v>7932908</v>
      </c>
    </row>
    <row r="712" spans="1:21" x14ac:dyDescent="0.25">
      <c r="A712" s="9" t="s">
        <v>4401</v>
      </c>
      <c r="B712" s="10">
        <v>44049</v>
      </c>
      <c r="C712" s="1">
        <v>44048</v>
      </c>
      <c r="D712" t="s">
        <v>4402</v>
      </c>
      <c r="E712" s="11">
        <v>0.375</v>
      </c>
      <c r="F712" s="11">
        <v>0.375</v>
      </c>
      <c r="G712">
        <v>75051</v>
      </c>
      <c r="H712" t="s">
        <v>3583</v>
      </c>
      <c r="I712">
        <v>3</v>
      </c>
      <c r="J712" t="s">
        <v>4404</v>
      </c>
      <c r="K712" t="s">
        <v>4405</v>
      </c>
      <c r="L712" t="s">
        <v>4406</v>
      </c>
      <c r="M712" t="s">
        <v>4407</v>
      </c>
      <c r="N712" t="s">
        <v>60</v>
      </c>
      <c r="O712" t="s">
        <v>34</v>
      </c>
      <c r="P712" s="3">
        <v>692041</v>
      </c>
      <c r="Q712" s="3">
        <v>692041</v>
      </c>
      <c r="R712" s="3">
        <v>328746</v>
      </c>
      <c r="S712" s="3">
        <v>363295</v>
      </c>
      <c r="T712" t="s">
        <v>4408</v>
      </c>
      <c r="U712">
        <v>7932908</v>
      </c>
    </row>
    <row r="713" spans="1:21" x14ac:dyDescent="0.25">
      <c r="A713" s="9" t="s">
        <v>4401</v>
      </c>
      <c r="B713" s="10">
        <v>44049</v>
      </c>
      <c r="C713" s="1">
        <v>44048</v>
      </c>
      <c r="D713" t="s">
        <v>4402</v>
      </c>
      <c r="E713" s="11">
        <v>0.375</v>
      </c>
      <c r="F713" s="11">
        <v>0.375</v>
      </c>
      <c r="G713">
        <v>75055</v>
      </c>
      <c r="H713" t="s">
        <v>3586</v>
      </c>
      <c r="I713">
        <v>2</v>
      </c>
      <c r="J713" t="s">
        <v>4458</v>
      </c>
      <c r="K713" t="s">
        <v>4459</v>
      </c>
      <c r="L713" t="s">
        <v>4460</v>
      </c>
      <c r="M713" t="s">
        <v>4407</v>
      </c>
      <c r="N713" t="s">
        <v>60</v>
      </c>
      <c r="O713" t="s">
        <v>34</v>
      </c>
      <c r="P713" s="3">
        <v>109430</v>
      </c>
      <c r="Q713" s="3">
        <v>109430</v>
      </c>
      <c r="R713" s="3">
        <v>5300</v>
      </c>
      <c r="S713" s="3">
        <v>104130</v>
      </c>
      <c r="T713" t="s">
        <v>4408</v>
      </c>
      <c r="U713">
        <v>7932908</v>
      </c>
    </row>
    <row r="714" spans="1:21" x14ac:dyDescent="0.25">
      <c r="A714" s="9" t="s">
        <v>4401</v>
      </c>
      <c r="B714" s="10">
        <v>44049</v>
      </c>
      <c r="C714" s="1">
        <v>44048</v>
      </c>
      <c r="D714" t="s">
        <v>4402</v>
      </c>
      <c r="E714" s="11">
        <v>0.375</v>
      </c>
      <c r="F714" s="11">
        <v>0.375</v>
      </c>
      <c r="G714">
        <v>75055</v>
      </c>
      <c r="H714" t="s">
        <v>3586</v>
      </c>
      <c r="I714">
        <v>2</v>
      </c>
      <c r="J714" t="s">
        <v>4404</v>
      </c>
      <c r="K714" t="s">
        <v>4405</v>
      </c>
      <c r="L714" t="s">
        <v>4406</v>
      </c>
      <c r="M714" t="s">
        <v>4407</v>
      </c>
      <c r="N714" t="s">
        <v>60</v>
      </c>
      <c r="O714" t="s">
        <v>34</v>
      </c>
      <c r="P714" s="3">
        <v>109430</v>
      </c>
      <c r="Q714" s="3">
        <v>109430</v>
      </c>
      <c r="R714" s="3">
        <v>10000</v>
      </c>
      <c r="S714" s="3">
        <v>99430</v>
      </c>
      <c r="T714" t="s">
        <v>4408</v>
      </c>
      <c r="U714">
        <v>7932908</v>
      </c>
    </row>
    <row r="715" spans="1:21" x14ac:dyDescent="0.25">
      <c r="A715" s="9" t="s">
        <v>4401</v>
      </c>
      <c r="B715" s="10">
        <v>44049</v>
      </c>
      <c r="C715" s="1">
        <v>44048</v>
      </c>
      <c r="D715" t="s">
        <v>4402</v>
      </c>
      <c r="E715" s="11">
        <v>0.375</v>
      </c>
      <c r="F715" s="11">
        <v>0.375</v>
      </c>
      <c r="G715">
        <v>75061</v>
      </c>
      <c r="H715" t="s">
        <v>3590</v>
      </c>
      <c r="I715">
        <v>3</v>
      </c>
      <c r="J715" t="s">
        <v>4404</v>
      </c>
      <c r="K715" t="s">
        <v>4405</v>
      </c>
      <c r="L715" t="s">
        <v>4406</v>
      </c>
      <c r="M715" t="s">
        <v>4407</v>
      </c>
      <c r="N715" t="s">
        <v>60</v>
      </c>
      <c r="O715" t="s">
        <v>34</v>
      </c>
      <c r="P715" s="3">
        <v>374802</v>
      </c>
      <c r="Q715" s="3">
        <v>374802</v>
      </c>
      <c r="R715">
        <v>0</v>
      </c>
      <c r="S715" s="3">
        <v>374802</v>
      </c>
      <c r="T715" t="s">
        <v>4408</v>
      </c>
      <c r="U715">
        <v>7932908</v>
      </c>
    </row>
    <row r="716" spans="1:21" x14ac:dyDescent="0.25">
      <c r="A716" s="9" t="s">
        <v>4401</v>
      </c>
      <c r="B716" s="10">
        <v>44049</v>
      </c>
      <c r="C716" s="1">
        <v>44048</v>
      </c>
      <c r="D716" t="s">
        <v>4402</v>
      </c>
      <c r="E716" s="11">
        <v>0.375</v>
      </c>
      <c r="F716" s="11">
        <v>0.375</v>
      </c>
      <c r="G716">
        <v>75061</v>
      </c>
      <c r="H716" t="s">
        <v>3590</v>
      </c>
      <c r="I716">
        <v>3</v>
      </c>
      <c r="J716" t="s">
        <v>4458</v>
      </c>
      <c r="K716" t="s">
        <v>4459</v>
      </c>
      <c r="L716" t="s">
        <v>4460</v>
      </c>
      <c r="M716" t="s">
        <v>4407</v>
      </c>
      <c r="N716" t="s">
        <v>60</v>
      </c>
      <c r="O716" t="s">
        <v>34</v>
      </c>
      <c r="P716" s="3">
        <v>374802</v>
      </c>
      <c r="Q716" s="3">
        <v>374802</v>
      </c>
      <c r="R716">
        <v>0</v>
      </c>
      <c r="S716" s="3">
        <v>374802</v>
      </c>
      <c r="T716" t="s">
        <v>4408</v>
      </c>
      <c r="U716">
        <v>7932908</v>
      </c>
    </row>
    <row r="717" spans="1:21" x14ac:dyDescent="0.25">
      <c r="A717" s="9" t="s">
        <v>4401</v>
      </c>
      <c r="B717" s="10">
        <v>44049</v>
      </c>
      <c r="C717" s="1">
        <v>44048</v>
      </c>
      <c r="D717" t="s">
        <v>4402</v>
      </c>
      <c r="E717" s="11">
        <v>0.375</v>
      </c>
      <c r="F717" s="11">
        <v>0.375</v>
      </c>
      <c r="G717">
        <v>75078</v>
      </c>
      <c r="H717" t="s">
        <v>3592</v>
      </c>
      <c r="I717" t="s">
        <v>187</v>
      </c>
      <c r="J717" t="s">
        <v>4404</v>
      </c>
      <c r="K717" t="s">
        <v>4405</v>
      </c>
      <c r="L717" t="s">
        <v>4406</v>
      </c>
      <c r="M717" t="s">
        <v>4407</v>
      </c>
      <c r="N717" t="s">
        <v>60</v>
      </c>
      <c r="O717" t="s">
        <v>34</v>
      </c>
      <c r="P717" s="3">
        <v>235000</v>
      </c>
      <c r="Q717" s="3">
        <v>240000</v>
      </c>
      <c r="R717" s="3">
        <v>39941</v>
      </c>
      <c r="S717" s="3">
        <v>200059</v>
      </c>
      <c r="T717" t="s">
        <v>4408</v>
      </c>
      <c r="U717">
        <v>7932908</v>
      </c>
    </row>
    <row r="718" spans="1:21" x14ac:dyDescent="0.25">
      <c r="A718" s="9" t="s">
        <v>4401</v>
      </c>
      <c r="B718" s="10">
        <v>44049</v>
      </c>
      <c r="C718" s="1">
        <v>44048</v>
      </c>
      <c r="D718" t="s">
        <v>4402</v>
      </c>
      <c r="E718" s="11">
        <v>0.375</v>
      </c>
      <c r="F718" s="11">
        <v>0.375</v>
      </c>
      <c r="G718">
        <v>75082</v>
      </c>
      <c r="H718" t="s">
        <v>3597</v>
      </c>
      <c r="I718">
        <v>2</v>
      </c>
      <c r="J718" t="s">
        <v>5086</v>
      </c>
      <c r="K718" t="s">
        <v>5087</v>
      </c>
      <c r="L718" t="s">
        <v>5088</v>
      </c>
      <c r="M718" t="s">
        <v>4407</v>
      </c>
      <c r="N718" t="s">
        <v>60</v>
      </c>
      <c r="O718" t="s">
        <v>34</v>
      </c>
      <c r="P718" s="3">
        <v>1428292</v>
      </c>
      <c r="Q718" s="3">
        <v>1428292</v>
      </c>
      <c r="R718" s="3">
        <v>53376</v>
      </c>
      <c r="S718" s="3">
        <v>1374916</v>
      </c>
      <c r="T718" t="s">
        <v>4408</v>
      </c>
      <c r="U718">
        <v>7932908</v>
      </c>
    </row>
    <row r="719" spans="1:21" x14ac:dyDescent="0.25">
      <c r="A719" s="9" t="s">
        <v>4401</v>
      </c>
      <c r="B719" s="10">
        <v>44049</v>
      </c>
      <c r="C719" s="1">
        <v>44048</v>
      </c>
      <c r="D719" t="s">
        <v>4402</v>
      </c>
      <c r="E719" s="11">
        <v>0.375</v>
      </c>
      <c r="F719" s="11">
        <v>0.375</v>
      </c>
      <c r="G719">
        <v>75082</v>
      </c>
      <c r="H719" t="s">
        <v>3597</v>
      </c>
      <c r="I719">
        <v>2</v>
      </c>
      <c r="J719" t="s">
        <v>4605</v>
      </c>
      <c r="K719" t="s">
        <v>4606</v>
      </c>
      <c r="L719" t="s">
        <v>4607</v>
      </c>
      <c r="M719" t="s">
        <v>4407</v>
      </c>
      <c r="N719" t="s">
        <v>60</v>
      </c>
      <c r="O719" t="s">
        <v>34</v>
      </c>
      <c r="P719" s="3">
        <v>1428292</v>
      </c>
      <c r="Q719" s="3">
        <v>1428292</v>
      </c>
      <c r="R719" s="3">
        <v>330489</v>
      </c>
      <c r="S719" s="3">
        <v>1097803</v>
      </c>
      <c r="T719" t="s">
        <v>4408</v>
      </c>
      <c r="U719">
        <v>7932908</v>
      </c>
    </row>
    <row r="720" spans="1:21" x14ac:dyDescent="0.25">
      <c r="A720" s="9" t="s">
        <v>4401</v>
      </c>
      <c r="B720" s="10">
        <v>44049</v>
      </c>
      <c r="C720" s="1">
        <v>44048</v>
      </c>
      <c r="D720" t="s">
        <v>4402</v>
      </c>
      <c r="E720" s="11">
        <v>0.375</v>
      </c>
      <c r="F720" s="11">
        <v>0.375</v>
      </c>
      <c r="G720">
        <v>75111</v>
      </c>
      <c r="H720" t="s">
        <v>3600</v>
      </c>
      <c r="I720">
        <v>2</v>
      </c>
      <c r="J720" t="s">
        <v>4458</v>
      </c>
      <c r="K720" t="s">
        <v>4459</v>
      </c>
      <c r="L720" t="s">
        <v>4460</v>
      </c>
      <c r="M720" t="s">
        <v>4407</v>
      </c>
      <c r="N720" t="s">
        <v>60</v>
      </c>
      <c r="O720" t="s">
        <v>34</v>
      </c>
      <c r="P720" s="3">
        <v>915937</v>
      </c>
      <c r="Q720" s="3">
        <v>915937</v>
      </c>
      <c r="R720">
        <v>0</v>
      </c>
      <c r="S720" s="3">
        <v>915937</v>
      </c>
      <c r="T720" t="s">
        <v>4408</v>
      </c>
      <c r="U720">
        <v>7932908</v>
      </c>
    </row>
    <row r="721" spans="1:21" x14ac:dyDescent="0.25">
      <c r="A721" s="9" t="s">
        <v>4401</v>
      </c>
      <c r="B721" s="10">
        <v>44049</v>
      </c>
      <c r="C721" s="1">
        <v>44048</v>
      </c>
      <c r="D721" t="s">
        <v>4402</v>
      </c>
      <c r="E721" s="11">
        <v>0.375</v>
      </c>
      <c r="F721" s="11">
        <v>0.375</v>
      </c>
      <c r="G721">
        <v>75131</v>
      </c>
      <c r="H721" t="s">
        <v>5089</v>
      </c>
      <c r="I721">
        <v>2</v>
      </c>
      <c r="J721" t="s">
        <v>4605</v>
      </c>
      <c r="K721" t="s">
        <v>4606</v>
      </c>
      <c r="L721" t="s">
        <v>4607</v>
      </c>
      <c r="M721" t="s">
        <v>4407</v>
      </c>
      <c r="N721" t="s">
        <v>60</v>
      </c>
      <c r="O721" t="s">
        <v>34</v>
      </c>
      <c r="P721" s="3">
        <v>580822</v>
      </c>
      <c r="Q721" s="3">
        <v>580822</v>
      </c>
      <c r="R721">
        <v>0</v>
      </c>
      <c r="S721" s="3">
        <v>580822</v>
      </c>
      <c r="T721" t="s">
        <v>4408</v>
      </c>
      <c r="U721">
        <v>7932908</v>
      </c>
    </row>
    <row r="722" spans="1:21" x14ac:dyDescent="0.25">
      <c r="A722" s="9" t="s">
        <v>4401</v>
      </c>
      <c r="B722" s="10">
        <v>44049</v>
      </c>
      <c r="C722" s="1">
        <v>44048</v>
      </c>
      <c r="D722" t="s">
        <v>4402</v>
      </c>
      <c r="E722" s="11">
        <v>0.375</v>
      </c>
      <c r="F722" s="11">
        <v>0.375</v>
      </c>
      <c r="G722">
        <v>75131</v>
      </c>
      <c r="H722" t="s">
        <v>5089</v>
      </c>
      <c r="I722">
        <v>2</v>
      </c>
      <c r="J722" t="s">
        <v>5086</v>
      </c>
      <c r="K722" t="s">
        <v>5087</v>
      </c>
      <c r="L722" t="s">
        <v>5088</v>
      </c>
      <c r="M722" t="s">
        <v>4407</v>
      </c>
      <c r="N722" t="s">
        <v>60</v>
      </c>
      <c r="O722" t="s">
        <v>34</v>
      </c>
      <c r="P722" s="3">
        <v>580822</v>
      </c>
      <c r="Q722" s="3">
        <v>580822</v>
      </c>
      <c r="R722" s="3">
        <v>22876</v>
      </c>
      <c r="S722" s="3">
        <v>557946</v>
      </c>
      <c r="T722" t="s">
        <v>4408</v>
      </c>
      <c r="U722">
        <v>7932908</v>
      </c>
    </row>
    <row r="723" spans="1:21" x14ac:dyDescent="0.25">
      <c r="A723" s="9" t="s">
        <v>4401</v>
      </c>
      <c r="B723" s="10">
        <v>44049</v>
      </c>
      <c r="C723" s="1">
        <v>44048</v>
      </c>
      <c r="D723" t="s">
        <v>4402</v>
      </c>
      <c r="E723" s="11">
        <v>0.375</v>
      </c>
      <c r="F723" s="11">
        <v>0.375</v>
      </c>
      <c r="G723">
        <v>75188</v>
      </c>
      <c r="H723" t="s">
        <v>3603</v>
      </c>
      <c r="I723">
        <v>3</v>
      </c>
      <c r="J723" t="s">
        <v>5086</v>
      </c>
      <c r="K723" t="s">
        <v>5087</v>
      </c>
      <c r="L723" t="s">
        <v>5088</v>
      </c>
      <c r="M723" t="s">
        <v>4407</v>
      </c>
      <c r="N723" t="s">
        <v>60</v>
      </c>
      <c r="O723" t="s">
        <v>34</v>
      </c>
      <c r="P723" s="3">
        <v>434209</v>
      </c>
      <c r="Q723" s="3">
        <v>434209</v>
      </c>
      <c r="R723">
        <v>0</v>
      </c>
      <c r="S723" s="3">
        <v>434209</v>
      </c>
      <c r="T723" t="s">
        <v>4408</v>
      </c>
      <c r="U723">
        <v>7932908</v>
      </c>
    </row>
    <row r="724" spans="1:21" x14ac:dyDescent="0.25">
      <c r="A724" s="9" t="s">
        <v>4401</v>
      </c>
      <c r="B724" s="10">
        <v>44049</v>
      </c>
      <c r="C724" s="1">
        <v>44048</v>
      </c>
      <c r="D724" t="s">
        <v>4402</v>
      </c>
      <c r="E724" s="11">
        <v>0.375</v>
      </c>
      <c r="F724" s="11">
        <v>0.375</v>
      </c>
      <c r="G724">
        <v>75188</v>
      </c>
      <c r="H724" t="s">
        <v>3603</v>
      </c>
      <c r="I724">
        <v>3</v>
      </c>
      <c r="J724" t="s">
        <v>4605</v>
      </c>
      <c r="K724" t="s">
        <v>4606</v>
      </c>
      <c r="L724" t="s">
        <v>4607</v>
      </c>
      <c r="M724" t="s">
        <v>4407</v>
      </c>
      <c r="N724" t="s">
        <v>60</v>
      </c>
      <c r="O724" t="s">
        <v>34</v>
      </c>
      <c r="P724" s="3">
        <v>434209</v>
      </c>
      <c r="Q724" s="3">
        <v>434209</v>
      </c>
      <c r="R724">
        <v>0</v>
      </c>
      <c r="S724" s="3">
        <v>434209</v>
      </c>
      <c r="T724" t="s">
        <v>4408</v>
      </c>
      <c r="U724">
        <v>7932908</v>
      </c>
    </row>
    <row r="725" spans="1:21" x14ac:dyDescent="0.25">
      <c r="A725" s="9" t="s">
        <v>4401</v>
      </c>
      <c r="B725" s="10">
        <v>44049</v>
      </c>
      <c r="C725" s="1">
        <v>44048</v>
      </c>
      <c r="D725" t="s">
        <v>4402</v>
      </c>
      <c r="E725" s="11">
        <v>0.375</v>
      </c>
      <c r="F725" s="11">
        <v>0.375</v>
      </c>
      <c r="G725">
        <v>75258</v>
      </c>
      <c r="H725" t="s">
        <v>3608</v>
      </c>
      <c r="I725" t="s">
        <v>367</v>
      </c>
      <c r="J725" t="s">
        <v>4404</v>
      </c>
      <c r="K725" t="s">
        <v>4405</v>
      </c>
      <c r="L725" t="s">
        <v>4406</v>
      </c>
      <c r="M725" t="s">
        <v>4407</v>
      </c>
      <c r="N725" t="s">
        <v>60</v>
      </c>
      <c r="O725" t="s">
        <v>34</v>
      </c>
      <c r="P725" s="3">
        <v>229178</v>
      </c>
      <c r="Q725" s="3">
        <v>229178</v>
      </c>
      <c r="R725" s="3">
        <v>34794</v>
      </c>
      <c r="S725" s="3">
        <v>194384</v>
      </c>
      <c r="T725" t="s">
        <v>4408</v>
      </c>
      <c r="U725">
        <v>7932908</v>
      </c>
    </row>
    <row r="726" spans="1:21" x14ac:dyDescent="0.25">
      <c r="A726" s="9" t="s">
        <v>4401</v>
      </c>
      <c r="B726" s="10">
        <v>44049</v>
      </c>
      <c r="C726" s="1">
        <v>44048</v>
      </c>
      <c r="D726" t="s">
        <v>4402</v>
      </c>
      <c r="E726" s="11">
        <v>0.375</v>
      </c>
      <c r="F726" s="11">
        <v>0.375</v>
      </c>
      <c r="G726">
        <v>75258</v>
      </c>
      <c r="H726" t="s">
        <v>3608</v>
      </c>
      <c r="I726" t="s">
        <v>367</v>
      </c>
      <c r="J726" t="s">
        <v>4458</v>
      </c>
      <c r="K726" t="s">
        <v>4459</v>
      </c>
      <c r="L726" t="s">
        <v>4460</v>
      </c>
      <c r="M726" t="s">
        <v>4407</v>
      </c>
      <c r="N726" t="s">
        <v>60</v>
      </c>
      <c r="O726" t="s">
        <v>34</v>
      </c>
      <c r="P726" s="3">
        <v>229178</v>
      </c>
      <c r="Q726" s="3">
        <v>229178</v>
      </c>
      <c r="R726">
        <v>0</v>
      </c>
      <c r="S726" s="3">
        <v>229178</v>
      </c>
      <c r="T726" t="s">
        <v>4408</v>
      </c>
      <c r="U726">
        <v>7932908</v>
      </c>
    </row>
    <row r="727" spans="1:21" x14ac:dyDescent="0.25">
      <c r="A727" s="9" t="s">
        <v>4401</v>
      </c>
      <c r="B727" s="10">
        <v>44049</v>
      </c>
      <c r="C727" s="1">
        <v>44048</v>
      </c>
      <c r="D727" t="s">
        <v>4402</v>
      </c>
      <c r="E727" s="11">
        <v>0.375</v>
      </c>
      <c r="F727" s="11">
        <v>0.375</v>
      </c>
      <c r="G727">
        <v>75275</v>
      </c>
      <c r="H727" t="s">
        <v>3615</v>
      </c>
      <c r="I727">
        <v>2</v>
      </c>
      <c r="J727" t="s">
        <v>4404</v>
      </c>
      <c r="K727" t="s">
        <v>4405</v>
      </c>
      <c r="L727" t="s">
        <v>4406</v>
      </c>
      <c r="M727" t="s">
        <v>4407</v>
      </c>
      <c r="N727" t="s">
        <v>60</v>
      </c>
      <c r="O727" t="s">
        <v>34</v>
      </c>
      <c r="P727" s="3">
        <v>102383</v>
      </c>
      <c r="Q727" s="3">
        <v>102383</v>
      </c>
      <c r="R727">
        <v>0</v>
      </c>
      <c r="S727" s="3">
        <v>102383</v>
      </c>
      <c r="T727" t="s">
        <v>4408</v>
      </c>
      <c r="U727">
        <v>7932908</v>
      </c>
    </row>
    <row r="728" spans="1:21" x14ac:dyDescent="0.25">
      <c r="A728" s="9" t="s">
        <v>4401</v>
      </c>
      <c r="B728" s="10">
        <v>44049</v>
      </c>
      <c r="C728" s="1">
        <v>44048</v>
      </c>
      <c r="D728" t="s">
        <v>4402</v>
      </c>
      <c r="E728" s="11">
        <v>0.375</v>
      </c>
      <c r="F728" s="11">
        <v>0.375</v>
      </c>
      <c r="G728">
        <v>75275</v>
      </c>
      <c r="H728" t="s">
        <v>3615</v>
      </c>
      <c r="I728">
        <v>2</v>
      </c>
      <c r="J728" t="s">
        <v>4458</v>
      </c>
      <c r="K728" t="s">
        <v>4459</v>
      </c>
      <c r="L728" t="s">
        <v>4460</v>
      </c>
      <c r="M728" t="s">
        <v>4407</v>
      </c>
      <c r="N728" t="s">
        <v>60</v>
      </c>
      <c r="O728" t="s">
        <v>34</v>
      </c>
      <c r="P728" s="3">
        <v>102383</v>
      </c>
      <c r="Q728" s="3">
        <v>102383</v>
      </c>
      <c r="R728" s="3">
        <v>27000</v>
      </c>
      <c r="S728" s="3">
        <v>75383</v>
      </c>
      <c r="T728" t="s">
        <v>4408</v>
      </c>
      <c r="U728">
        <v>7932908</v>
      </c>
    </row>
    <row r="729" spans="1:21" x14ac:dyDescent="0.25">
      <c r="A729" s="9" t="s">
        <v>4401</v>
      </c>
      <c r="B729" s="10">
        <v>44049</v>
      </c>
      <c r="C729" s="1">
        <v>44048</v>
      </c>
      <c r="D729" t="s">
        <v>4402</v>
      </c>
      <c r="E729" s="11">
        <v>0.375</v>
      </c>
      <c r="F729" s="11">
        <v>0.375</v>
      </c>
      <c r="G729">
        <v>75300</v>
      </c>
      <c r="H729" t="s">
        <v>3621</v>
      </c>
      <c r="I729" t="s">
        <v>367</v>
      </c>
      <c r="J729" t="s">
        <v>4404</v>
      </c>
      <c r="K729" t="s">
        <v>4405</v>
      </c>
      <c r="L729" t="s">
        <v>4406</v>
      </c>
      <c r="M729" t="s">
        <v>4407</v>
      </c>
      <c r="N729" t="s">
        <v>60</v>
      </c>
      <c r="O729" t="s">
        <v>34</v>
      </c>
      <c r="P729" s="3">
        <v>167545</v>
      </c>
      <c r="Q729" s="3">
        <v>167545</v>
      </c>
      <c r="R729">
        <v>0</v>
      </c>
      <c r="S729" s="3">
        <v>167545</v>
      </c>
      <c r="T729" t="s">
        <v>4408</v>
      </c>
      <c r="U729">
        <v>7932908</v>
      </c>
    </row>
    <row r="730" spans="1:21" x14ac:dyDescent="0.25">
      <c r="A730" s="9" t="s">
        <v>4401</v>
      </c>
      <c r="B730" s="10">
        <v>44049</v>
      </c>
      <c r="C730" s="1">
        <v>44048</v>
      </c>
      <c r="D730" t="s">
        <v>4402</v>
      </c>
      <c r="E730" s="11">
        <v>0.375</v>
      </c>
      <c r="F730" s="11">
        <v>0.375</v>
      </c>
      <c r="G730">
        <v>75300</v>
      </c>
      <c r="H730" t="s">
        <v>3621</v>
      </c>
      <c r="I730" t="s">
        <v>367</v>
      </c>
      <c r="J730" t="s">
        <v>4458</v>
      </c>
      <c r="K730" t="s">
        <v>4459</v>
      </c>
      <c r="L730" t="s">
        <v>4460</v>
      </c>
      <c r="M730" t="s">
        <v>4407</v>
      </c>
      <c r="N730" t="s">
        <v>60</v>
      </c>
      <c r="O730" t="s">
        <v>34</v>
      </c>
      <c r="P730" s="3">
        <v>167545</v>
      </c>
      <c r="Q730" s="3">
        <v>167545</v>
      </c>
      <c r="R730">
        <v>0</v>
      </c>
      <c r="S730" s="3">
        <v>167545</v>
      </c>
      <c r="T730" t="s">
        <v>4408</v>
      </c>
      <c r="U730">
        <v>7932908</v>
      </c>
    </row>
    <row r="731" spans="1:21" x14ac:dyDescent="0.25">
      <c r="A731" s="9" t="s">
        <v>4401</v>
      </c>
      <c r="B731" s="10">
        <v>44049</v>
      </c>
      <c r="C731" s="1">
        <v>44048</v>
      </c>
      <c r="D731" t="s">
        <v>4402</v>
      </c>
      <c r="E731" s="11">
        <v>0.375</v>
      </c>
      <c r="F731" s="11">
        <v>0.375</v>
      </c>
      <c r="G731">
        <v>75301</v>
      </c>
      <c r="H731" t="s">
        <v>3625</v>
      </c>
      <c r="I731" t="s">
        <v>367</v>
      </c>
      <c r="J731" t="s">
        <v>4404</v>
      </c>
      <c r="K731" t="s">
        <v>4405</v>
      </c>
      <c r="L731" t="s">
        <v>4406</v>
      </c>
      <c r="M731" t="s">
        <v>4407</v>
      </c>
      <c r="N731" t="s">
        <v>60</v>
      </c>
      <c r="O731" t="s">
        <v>34</v>
      </c>
      <c r="P731" s="3">
        <v>221860</v>
      </c>
      <c r="Q731" s="3">
        <v>221860</v>
      </c>
      <c r="R731" s="3">
        <v>50000</v>
      </c>
      <c r="S731" s="3">
        <v>171860</v>
      </c>
      <c r="T731" t="s">
        <v>4408</v>
      </c>
      <c r="U731">
        <v>7932908</v>
      </c>
    </row>
    <row r="732" spans="1:21" x14ac:dyDescent="0.25">
      <c r="A732" s="9" t="s">
        <v>4401</v>
      </c>
      <c r="B732" s="10">
        <v>44049</v>
      </c>
      <c r="C732" s="1">
        <v>44048</v>
      </c>
      <c r="D732" t="s">
        <v>4402</v>
      </c>
      <c r="E732" s="11">
        <v>0.375</v>
      </c>
      <c r="F732" s="11">
        <v>0.375</v>
      </c>
      <c r="G732">
        <v>75301</v>
      </c>
      <c r="H732" t="s">
        <v>3625</v>
      </c>
      <c r="I732" t="s">
        <v>367</v>
      </c>
      <c r="J732" t="s">
        <v>4458</v>
      </c>
      <c r="K732" t="s">
        <v>4459</v>
      </c>
      <c r="L732" t="s">
        <v>4460</v>
      </c>
      <c r="M732" t="s">
        <v>4407</v>
      </c>
      <c r="N732" t="s">
        <v>60</v>
      </c>
      <c r="O732" t="s">
        <v>34</v>
      </c>
      <c r="P732" s="3">
        <v>221860</v>
      </c>
      <c r="Q732" s="3">
        <v>221860</v>
      </c>
      <c r="R732">
        <v>0</v>
      </c>
      <c r="S732" s="3">
        <v>221860</v>
      </c>
      <c r="T732" t="s">
        <v>4408</v>
      </c>
      <c r="U732">
        <v>7932908</v>
      </c>
    </row>
    <row r="733" spans="1:21" x14ac:dyDescent="0.25">
      <c r="A733" s="9" t="s">
        <v>4401</v>
      </c>
      <c r="B733" s="10">
        <v>44049</v>
      </c>
      <c r="C733" s="1">
        <v>44048</v>
      </c>
      <c r="D733" t="s">
        <v>4402</v>
      </c>
      <c r="E733" s="11">
        <v>0.375</v>
      </c>
      <c r="F733" s="11">
        <v>0.375</v>
      </c>
      <c r="G733">
        <v>75332</v>
      </c>
      <c r="H733" t="s">
        <v>3629</v>
      </c>
      <c r="I733" t="s">
        <v>680</v>
      </c>
      <c r="J733" t="s">
        <v>4404</v>
      </c>
      <c r="K733" t="s">
        <v>4405</v>
      </c>
      <c r="L733" t="s">
        <v>4406</v>
      </c>
      <c r="M733" t="s">
        <v>4407</v>
      </c>
      <c r="N733" t="s">
        <v>60</v>
      </c>
      <c r="O733" t="s">
        <v>34</v>
      </c>
      <c r="P733" s="3">
        <v>755800</v>
      </c>
      <c r="Q733" s="3">
        <v>755800</v>
      </c>
      <c r="R733" s="3">
        <v>77168</v>
      </c>
      <c r="S733" s="3">
        <v>678632</v>
      </c>
      <c r="T733" t="s">
        <v>4408</v>
      </c>
      <c r="U733">
        <v>7932908</v>
      </c>
    </row>
    <row r="734" spans="1:21" x14ac:dyDescent="0.25">
      <c r="A734" s="9" t="s">
        <v>4401</v>
      </c>
      <c r="B734" s="10">
        <v>44049</v>
      </c>
      <c r="C734" s="1">
        <v>44048</v>
      </c>
      <c r="D734" t="s">
        <v>4402</v>
      </c>
      <c r="E734" s="11">
        <v>0.375</v>
      </c>
      <c r="F734" s="11">
        <v>0.375</v>
      </c>
      <c r="G734">
        <v>75332</v>
      </c>
      <c r="H734" t="s">
        <v>3629</v>
      </c>
      <c r="I734" t="s">
        <v>680</v>
      </c>
      <c r="J734" t="s">
        <v>4458</v>
      </c>
      <c r="K734" t="s">
        <v>4459</v>
      </c>
      <c r="L734" t="s">
        <v>4460</v>
      </c>
      <c r="M734" t="s">
        <v>4407</v>
      </c>
      <c r="N734" t="s">
        <v>60</v>
      </c>
      <c r="O734" t="s">
        <v>34</v>
      </c>
      <c r="P734" s="3">
        <v>755800</v>
      </c>
      <c r="Q734" s="3">
        <v>755800</v>
      </c>
      <c r="R734" s="3">
        <v>102928</v>
      </c>
      <c r="S734" s="3">
        <v>652872</v>
      </c>
      <c r="T734" t="s">
        <v>4408</v>
      </c>
      <c r="U734">
        <v>7932908</v>
      </c>
    </row>
    <row r="735" spans="1:21" x14ac:dyDescent="0.25">
      <c r="A735" s="9" t="s">
        <v>4401</v>
      </c>
      <c r="B735" s="10">
        <v>44049</v>
      </c>
      <c r="C735" s="1">
        <v>44048</v>
      </c>
      <c r="D735" t="s">
        <v>4402</v>
      </c>
      <c r="E735" s="11">
        <v>0.375</v>
      </c>
      <c r="F735" s="11">
        <v>0.375</v>
      </c>
      <c r="G735">
        <v>75333</v>
      </c>
      <c r="H735" t="s">
        <v>5090</v>
      </c>
      <c r="I735" t="s">
        <v>367</v>
      </c>
      <c r="J735" t="s">
        <v>4404</v>
      </c>
      <c r="K735" t="s">
        <v>4405</v>
      </c>
      <c r="L735" t="s">
        <v>4406</v>
      </c>
      <c r="M735" t="s">
        <v>4407</v>
      </c>
      <c r="N735" t="s">
        <v>60</v>
      </c>
      <c r="O735" t="s">
        <v>34</v>
      </c>
      <c r="P735" s="3">
        <v>443872</v>
      </c>
      <c r="Q735" s="3">
        <v>443872</v>
      </c>
      <c r="R735">
        <v>0</v>
      </c>
      <c r="S735" s="3">
        <v>443872</v>
      </c>
      <c r="T735" t="s">
        <v>4408</v>
      </c>
      <c r="U735">
        <v>7932908</v>
      </c>
    </row>
    <row r="736" spans="1:21" x14ac:dyDescent="0.25">
      <c r="A736" s="9" t="s">
        <v>4401</v>
      </c>
      <c r="B736" s="10">
        <v>44049</v>
      </c>
      <c r="C736" s="1">
        <v>44048</v>
      </c>
      <c r="D736" t="s">
        <v>4402</v>
      </c>
      <c r="E736" s="11">
        <v>0.375</v>
      </c>
      <c r="F736" s="11">
        <v>0.375</v>
      </c>
      <c r="G736">
        <v>75333</v>
      </c>
      <c r="H736" t="s">
        <v>5090</v>
      </c>
      <c r="I736" t="s">
        <v>367</v>
      </c>
      <c r="J736" t="s">
        <v>4458</v>
      </c>
      <c r="K736" t="s">
        <v>4459</v>
      </c>
      <c r="L736" t="s">
        <v>4460</v>
      </c>
      <c r="M736" t="s">
        <v>4407</v>
      </c>
      <c r="N736" t="s">
        <v>60</v>
      </c>
      <c r="O736" t="s">
        <v>34</v>
      </c>
      <c r="P736" s="3">
        <v>443872</v>
      </c>
      <c r="Q736" s="3">
        <v>443872</v>
      </c>
      <c r="R736">
        <v>0</v>
      </c>
      <c r="S736" s="3">
        <v>443872</v>
      </c>
      <c r="T736" t="s">
        <v>4408</v>
      </c>
      <c r="U736">
        <v>7932908</v>
      </c>
    </row>
    <row r="737" spans="1:21" x14ac:dyDescent="0.25">
      <c r="A737" s="9" t="s">
        <v>4401</v>
      </c>
      <c r="B737" s="10">
        <v>44049</v>
      </c>
      <c r="C737" s="1">
        <v>44048</v>
      </c>
      <c r="D737" t="s">
        <v>4402</v>
      </c>
      <c r="E737" s="11">
        <v>0.375</v>
      </c>
      <c r="F737" s="11">
        <v>0.375</v>
      </c>
      <c r="G737">
        <v>75475</v>
      </c>
      <c r="H737" t="s">
        <v>3643</v>
      </c>
      <c r="I737" t="s">
        <v>367</v>
      </c>
      <c r="J737" t="s">
        <v>4404</v>
      </c>
      <c r="K737" t="s">
        <v>4405</v>
      </c>
      <c r="L737" t="s">
        <v>4406</v>
      </c>
      <c r="M737" t="s">
        <v>4407</v>
      </c>
      <c r="N737" t="s">
        <v>60</v>
      </c>
      <c r="O737" t="s">
        <v>34</v>
      </c>
      <c r="P737" s="3">
        <v>16756</v>
      </c>
      <c r="Q737" s="3">
        <v>16756</v>
      </c>
      <c r="R737">
        <v>0</v>
      </c>
      <c r="S737" s="3">
        <v>16756</v>
      </c>
      <c r="T737" t="s">
        <v>4408</v>
      </c>
      <c r="U737">
        <v>7932908</v>
      </c>
    </row>
    <row r="738" spans="1:21" x14ac:dyDescent="0.25">
      <c r="A738" s="9" t="s">
        <v>4401</v>
      </c>
      <c r="B738" s="10">
        <v>44049</v>
      </c>
      <c r="C738" s="1">
        <v>44048</v>
      </c>
      <c r="D738" t="s">
        <v>4402</v>
      </c>
      <c r="E738" s="11">
        <v>0.375</v>
      </c>
      <c r="F738" s="11">
        <v>0.375</v>
      </c>
      <c r="G738">
        <v>75506</v>
      </c>
      <c r="H738" t="s">
        <v>5091</v>
      </c>
      <c r="I738">
        <v>2</v>
      </c>
      <c r="J738" t="s">
        <v>4404</v>
      </c>
      <c r="K738" t="s">
        <v>4405</v>
      </c>
      <c r="L738" t="s">
        <v>4406</v>
      </c>
      <c r="M738" t="s">
        <v>4407</v>
      </c>
      <c r="N738" t="s">
        <v>60</v>
      </c>
      <c r="O738" t="s">
        <v>34</v>
      </c>
      <c r="P738" s="3">
        <v>203542</v>
      </c>
      <c r="Q738" s="3">
        <v>203542</v>
      </c>
      <c r="R738" s="3">
        <v>144000</v>
      </c>
      <c r="S738" s="3">
        <v>59542</v>
      </c>
      <c r="T738" t="s">
        <v>4408</v>
      </c>
      <c r="U738">
        <v>7932908</v>
      </c>
    </row>
    <row r="739" spans="1:21" x14ac:dyDescent="0.25">
      <c r="A739" s="9" t="s">
        <v>4401</v>
      </c>
      <c r="B739" s="10">
        <v>44049</v>
      </c>
      <c r="C739" s="1">
        <v>44048</v>
      </c>
      <c r="D739" t="s">
        <v>4402</v>
      </c>
      <c r="E739" s="11">
        <v>0.375</v>
      </c>
      <c r="F739" s="11">
        <v>0.375</v>
      </c>
      <c r="G739">
        <v>75506</v>
      </c>
      <c r="H739" t="s">
        <v>5091</v>
      </c>
      <c r="I739">
        <v>2</v>
      </c>
      <c r="J739" t="s">
        <v>4458</v>
      </c>
      <c r="K739" t="s">
        <v>4459</v>
      </c>
      <c r="L739" t="s">
        <v>4460</v>
      </c>
      <c r="M739" t="s">
        <v>4407</v>
      </c>
      <c r="N739" t="s">
        <v>60</v>
      </c>
      <c r="O739" t="s">
        <v>34</v>
      </c>
      <c r="P739" s="3">
        <v>203542</v>
      </c>
      <c r="Q739" s="3">
        <v>203542</v>
      </c>
      <c r="R739">
        <v>30</v>
      </c>
      <c r="S739" s="3">
        <v>203512</v>
      </c>
      <c r="T739" t="s">
        <v>4408</v>
      </c>
      <c r="U739">
        <v>7932908</v>
      </c>
    </row>
    <row r="740" spans="1:21" x14ac:dyDescent="0.25">
      <c r="A740" s="9" t="s">
        <v>4401</v>
      </c>
      <c r="B740" s="10">
        <v>44049</v>
      </c>
      <c r="C740" s="1">
        <v>44048</v>
      </c>
      <c r="D740" t="s">
        <v>4402</v>
      </c>
      <c r="E740" s="11">
        <v>0.375</v>
      </c>
      <c r="F740" s="11">
        <v>0.375</v>
      </c>
      <c r="G740">
        <v>75524</v>
      </c>
      <c r="H740" t="s">
        <v>3656</v>
      </c>
      <c r="I740" t="s">
        <v>680</v>
      </c>
      <c r="J740" t="s">
        <v>4404</v>
      </c>
      <c r="K740" t="s">
        <v>4405</v>
      </c>
      <c r="L740" t="s">
        <v>4406</v>
      </c>
      <c r="M740" t="s">
        <v>4407</v>
      </c>
      <c r="N740" t="s">
        <v>60</v>
      </c>
      <c r="O740" t="s">
        <v>34</v>
      </c>
      <c r="P740" s="3">
        <v>610625</v>
      </c>
      <c r="Q740" s="3">
        <v>735678</v>
      </c>
      <c r="R740">
        <v>50</v>
      </c>
      <c r="S740" s="3">
        <v>735628</v>
      </c>
      <c r="T740" t="s">
        <v>4408</v>
      </c>
      <c r="U740">
        <v>7932908</v>
      </c>
    </row>
    <row r="741" spans="1:21" x14ac:dyDescent="0.25">
      <c r="A741" s="9" t="s">
        <v>4401</v>
      </c>
      <c r="B741" s="10">
        <v>44049</v>
      </c>
      <c r="C741" s="1">
        <v>44048</v>
      </c>
      <c r="D741" t="s">
        <v>4402</v>
      </c>
      <c r="E741" s="11">
        <v>0.375</v>
      </c>
      <c r="F741" s="11">
        <v>0.375</v>
      </c>
      <c r="G741">
        <v>75524</v>
      </c>
      <c r="H741" t="s">
        <v>3656</v>
      </c>
      <c r="I741" t="s">
        <v>680</v>
      </c>
      <c r="J741" t="s">
        <v>4458</v>
      </c>
      <c r="K741" t="s">
        <v>4459</v>
      </c>
      <c r="L741" t="s">
        <v>4460</v>
      </c>
      <c r="M741" t="s">
        <v>4407</v>
      </c>
      <c r="N741" t="s">
        <v>60</v>
      </c>
      <c r="O741" t="s">
        <v>34</v>
      </c>
      <c r="P741" s="3">
        <v>610625</v>
      </c>
      <c r="Q741" s="3">
        <v>738827</v>
      </c>
      <c r="R741" s="3">
        <v>126355</v>
      </c>
      <c r="S741" s="3">
        <v>612472</v>
      </c>
      <c r="T741" t="s">
        <v>4408</v>
      </c>
      <c r="U741">
        <v>7932908</v>
      </c>
    </row>
    <row r="742" spans="1:21" x14ac:dyDescent="0.25">
      <c r="A742" s="9" t="s">
        <v>4401</v>
      </c>
      <c r="B742" s="10">
        <v>44049</v>
      </c>
      <c r="C742" s="1">
        <v>44048</v>
      </c>
      <c r="D742" t="s">
        <v>4402</v>
      </c>
      <c r="E742" s="11">
        <v>0.375</v>
      </c>
      <c r="F742" s="11">
        <v>0.375</v>
      </c>
      <c r="G742">
        <v>75525</v>
      </c>
      <c r="H742" t="s">
        <v>3664</v>
      </c>
      <c r="I742" t="s">
        <v>680</v>
      </c>
      <c r="J742" t="s">
        <v>4404</v>
      </c>
      <c r="K742" t="s">
        <v>4405</v>
      </c>
      <c r="L742" t="s">
        <v>4406</v>
      </c>
      <c r="M742" t="s">
        <v>4407</v>
      </c>
      <c r="N742" t="s">
        <v>60</v>
      </c>
      <c r="O742" t="s">
        <v>34</v>
      </c>
      <c r="P742" s="3">
        <v>129184</v>
      </c>
      <c r="Q742" s="3">
        <v>129184</v>
      </c>
      <c r="R742">
        <v>0</v>
      </c>
      <c r="S742" s="3">
        <v>129184</v>
      </c>
      <c r="T742" t="s">
        <v>4408</v>
      </c>
      <c r="U742">
        <v>7932908</v>
      </c>
    </row>
    <row r="743" spans="1:21" x14ac:dyDescent="0.25">
      <c r="A743" s="9" t="s">
        <v>4401</v>
      </c>
      <c r="B743" s="10">
        <v>44049</v>
      </c>
      <c r="C743" s="1">
        <v>44048</v>
      </c>
      <c r="D743" t="s">
        <v>4402</v>
      </c>
      <c r="E743" s="11">
        <v>0.375</v>
      </c>
      <c r="F743" s="11">
        <v>0.375</v>
      </c>
      <c r="G743">
        <v>75525</v>
      </c>
      <c r="H743" t="s">
        <v>3664</v>
      </c>
      <c r="I743" t="s">
        <v>680</v>
      </c>
      <c r="J743" t="s">
        <v>4458</v>
      </c>
      <c r="K743" t="s">
        <v>4459</v>
      </c>
      <c r="L743" t="s">
        <v>4460</v>
      </c>
      <c r="M743" t="s">
        <v>4407</v>
      </c>
      <c r="N743" t="s">
        <v>60</v>
      </c>
      <c r="O743" t="s">
        <v>34</v>
      </c>
      <c r="P743" s="3">
        <v>129184</v>
      </c>
      <c r="Q743" s="3">
        <v>129184</v>
      </c>
      <c r="R743">
        <v>0</v>
      </c>
      <c r="S743" s="3">
        <v>129184</v>
      </c>
      <c r="T743" t="s">
        <v>4408</v>
      </c>
      <c r="U743">
        <v>7932908</v>
      </c>
    </row>
    <row r="744" spans="1:21" x14ac:dyDescent="0.25">
      <c r="A744" s="9" t="s">
        <v>4401</v>
      </c>
      <c r="B744" s="10">
        <v>44049</v>
      </c>
      <c r="C744" s="1">
        <v>44048</v>
      </c>
      <c r="D744" t="s">
        <v>4402</v>
      </c>
      <c r="E744" s="11">
        <v>0.375</v>
      </c>
      <c r="F744" s="11">
        <v>0.375</v>
      </c>
      <c r="G744">
        <v>75533</v>
      </c>
      <c r="H744" t="s">
        <v>3669</v>
      </c>
      <c r="I744" t="s">
        <v>680</v>
      </c>
      <c r="J744" t="s">
        <v>4404</v>
      </c>
      <c r="K744" t="s">
        <v>4405</v>
      </c>
      <c r="L744" t="s">
        <v>4406</v>
      </c>
      <c r="M744" t="s">
        <v>4407</v>
      </c>
      <c r="N744" t="s">
        <v>60</v>
      </c>
      <c r="O744" t="s">
        <v>34</v>
      </c>
      <c r="P744" s="3">
        <v>508500</v>
      </c>
      <c r="Q744" s="3">
        <v>508500</v>
      </c>
      <c r="R744" s="3">
        <v>37062</v>
      </c>
      <c r="S744" s="3">
        <v>471438</v>
      </c>
      <c r="T744" t="s">
        <v>4408</v>
      </c>
      <c r="U744">
        <v>7932908</v>
      </c>
    </row>
    <row r="745" spans="1:21" x14ac:dyDescent="0.25">
      <c r="A745" s="9" t="s">
        <v>4401</v>
      </c>
      <c r="B745" s="10">
        <v>44049</v>
      </c>
      <c r="C745" s="1">
        <v>44048</v>
      </c>
      <c r="D745" t="s">
        <v>4402</v>
      </c>
      <c r="E745" s="11">
        <v>0.375</v>
      </c>
      <c r="F745" s="11">
        <v>0.375</v>
      </c>
      <c r="G745">
        <v>75533</v>
      </c>
      <c r="H745" t="s">
        <v>3669</v>
      </c>
      <c r="I745" t="s">
        <v>680</v>
      </c>
      <c r="J745" t="s">
        <v>4458</v>
      </c>
      <c r="K745" t="s">
        <v>4459</v>
      </c>
      <c r="L745" t="s">
        <v>4460</v>
      </c>
      <c r="M745" t="s">
        <v>4407</v>
      </c>
      <c r="N745" t="s">
        <v>60</v>
      </c>
      <c r="O745" t="s">
        <v>34</v>
      </c>
      <c r="P745" s="3">
        <v>508500</v>
      </c>
      <c r="Q745" s="3">
        <v>508500</v>
      </c>
      <c r="R745" s="3">
        <v>38583</v>
      </c>
      <c r="S745" s="3">
        <v>469917</v>
      </c>
      <c r="T745" t="s">
        <v>4408</v>
      </c>
      <c r="U745">
        <v>7932908</v>
      </c>
    </row>
    <row r="746" spans="1:21" x14ac:dyDescent="0.25">
      <c r="A746" s="9" t="s">
        <v>4401</v>
      </c>
      <c r="B746" s="10">
        <v>44049</v>
      </c>
      <c r="C746" s="1">
        <v>44048</v>
      </c>
      <c r="D746" t="s">
        <v>4402</v>
      </c>
      <c r="E746" s="11">
        <v>0.375</v>
      </c>
      <c r="F746" s="11">
        <v>0.375</v>
      </c>
      <c r="G746">
        <v>75553</v>
      </c>
      <c r="H746" t="s">
        <v>3674</v>
      </c>
      <c r="I746" t="s">
        <v>543</v>
      </c>
      <c r="J746" t="s">
        <v>4404</v>
      </c>
      <c r="K746" t="s">
        <v>4405</v>
      </c>
      <c r="L746" t="s">
        <v>4406</v>
      </c>
      <c r="M746" t="s">
        <v>4407</v>
      </c>
      <c r="N746" t="s">
        <v>34</v>
      </c>
      <c r="O746" t="s">
        <v>34</v>
      </c>
      <c r="P746" s="3">
        <v>634000</v>
      </c>
      <c r="Q746" s="3">
        <v>634000</v>
      </c>
      <c r="R746" s="3">
        <v>48614</v>
      </c>
      <c r="S746" s="3">
        <v>585386</v>
      </c>
      <c r="T746" t="s">
        <v>4408</v>
      </c>
      <c r="U746">
        <v>7932908</v>
      </c>
    </row>
    <row r="747" spans="1:21" x14ac:dyDescent="0.25">
      <c r="A747" s="9" t="s">
        <v>4401</v>
      </c>
      <c r="B747" s="10">
        <v>44049</v>
      </c>
      <c r="C747" s="1">
        <v>44048</v>
      </c>
      <c r="D747" t="s">
        <v>4402</v>
      </c>
      <c r="E747" s="11">
        <v>0.375</v>
      </c>
      <c r="F747" s="11">
        <v>0.375</v>
      </c>
      <c r="G747">
        <v>75553</v>
      </c>
      <c r="H747" t="s">
        <v>3674</v>
      </c>
      <c r="I747" t="s">
        <v>543</v>
      </c>
      <c r="J747" t="s">
        <v>4458</v>
      </c>
      <c r="K747" t="s">
        <v>4459</v>
      </c>
      <c r="L747" t="s">
        <v>4460</v>
      </c>
      <c r="M747" t="s">
        <v>4407</v>
      </c>
      <c r="N747" t="s">
        <v>34</v>
      </c>
      <c r="O747" t="s">
        <v>34</v>
      </c>
      <c r="P747" s="3">
        <v>634000</v>
      </c>
      <c r="Q747" s="3">
        <v>634000</v>
      </c>
      <c r="R747" s="3">
        <v>77504</v>
      </c>
      <c r="S747" s="3">
        <v>556496</v>
      </c>
      <c r="T747" t="s">
        <v>4408</v>
      </c>
      <c r="U747">
        <v>7932908</v>
      </c>
    </row>
    <row r="748" spans="1:21" x14ac:dyDescent="0.25">
      <c r="A748" s="9" t="s">
        <v>4401</v>
      </c>
      <c r="B748" s="10">
        <v>44049</v>
      </c>
      <c r="C748" s="1">
        <v>44048</v>
      </c>
      <c r="D748" t="s">
        <v>4402</v>
      </c>
      <c r="E748" s="11">
        <v>0.375</v>
      </c>
      <c r="F748" s="11">
        <v>0.375</v>
      </c>
      <c r="G748">
        <v>75558</v>
      </c>
      <c r="H748" t="s">
        <v>3682</v>
      </c>
      <c r="I748" t="s">
        <v>367</v>
      </c>
      <c r="J748" t="s">
        <v>4404</v>
      </c>
      <c r="K748" t="s">
        <v>4405</v>
      </c>
      <c r="L748" t="s">
        <v>4406</v>
      </c>
      <c r="M748" t="s">
        <v>4407</v>
      </c>
      <c r="N748" t="s">
        <v>60</v>
      </c>
      <c r="O748" t="s">
        <v>34</v>
      </c>
      <c r="P748" s="3">
        <v>500000</v>
      </c>
      <c r="Q748" s="3">
        <v>500000</v>
      </c>
      <c r="R748">
        <v>0</v>
      </c>
      <c r="S748" s="3">
        <v>500000</v>
      </c>
      <c r="T748" t="s">
        <v>4408</v>
      </c>
      <c r="U748">
        <v>7932908</v>
      </c>
    </row>
    <row r="749" spans="1:21" x14ac:dyDescent="0.25">
      <c r="A749" s="9" t="s">
        <v>4401</v>
      </c>
      <c r="B749" s="10">
        <v>44049</v>
      </c>
      <c r="C749" s="1">
        <v>44048</v>
      </c>
      <c r="D749" t="s">
        <v>4402</v>
      </c>
      <c r="E749" s="11">
        <v>0.375</v>
      </c>
      <c r="F749" s="11">
        <v>0.375</v>
      </c>
      <c r="G749">
        <v>75558</v>
      </c>
      <c r="H749" t="s">
        <v>3682</v>
      </c>
      <c r="I749" t="s">
        <v>367</v>
      </c>
      <c r="J749" t="s">
        <v>4458</v>
      </c>
      <c r="K749" t="s">
        <v>4459</v>
      </c>
      <c r="L749" t="s">
        <v>4460</v>
      </c>
      <c r="M749" t="s">
        <v>4407</v>
      </c>
      <c r="N749" t="s">
        <v>60</v>
      </c>
      <c r="O749" t="s">
        <v>34</v>
      </c>
      <c r="P749" s="3">
        <v>500000</v>
      </c>
      <c r="Q749" s="3">
        <v>500000</v>
      </c>
      <c r="R749" s="3">
        <v>24663</v>
      </c>
      <c r="S749" s="3">
        <v>475337</v>
      </c>
      <c r="T749" t="s">
        <v>4408</v>
      </c>
      <c r="U749">
        <v>7932908</v>
      </c>
    </row>
    <row r="750" spans="1:21" x14ac:dyDescent="0.25">
      <c r="A750" s="9" t="s">
        <v>4401</v>
      </c>
      <c r="B750" s="10">
        <v>44049</v>
      </c>
      <c r="C750" s="1">
        <v>44048</v>
      </c>
      <c r="D750" t="s">
        <v>4402</v>
      </c>
      <c r="E750" s="11">
        <v>0.375</v>
      </c>
      <c r="F750" s="11">
        <v>0.375</v>
      </c>
      <c r="G750">
        <v>75570</v>
      </c>
      <c r="H750" t="s">
        <v>3689</v>
      </c>
      <c r="I750" t="s">
        <v>187</v>
      </c>
      <c r="J750" t="s">
        <v>4404</v>
      </c>
      <c r="K750" t="s">
        <v>4405</v>
      </c>
      <c r="L750" t="s">
        <v>4406</v>
      </c>
      <c r="M750" t="s">
        <v>4407</v>
      </c>
      <c r="N750" t="s">
        <v>60</v>
      </c>
      <c r="O750" t="s">
        <v>34</v>
      </c>
      <c r="P750" s="3">
        <v>17124</v>
      </c>
      <c r="Q750" s="3">
        <v>17124</v>
      </c>
      <c r="R750">
        <v>0</v>
      </c>
      <c r="S750" s="3">
        <v>17124</v>
      </c>
      <c r="T750" t="s">
        <v>4408</v>
      </c>
      <c r="U750">
        <v>7932908</v>
      </c>
    </row>
    <row r="751" spans="1:21" x14ac:dyDescent="0.25">
      <c r="A751" s="9" t="s">
        <v>4401</v>
      </c>
      <c r="B751" s="10">
        <v>44049</v>
      </c>
      <c r="C751" s="1">
        <v>44048</v>
      </c>
      <c r="D751" t="s">
        <v>4402</v>
      </c>
      <c r="E751" s="11">
        <v>0.375</v>
      </c>
      <c r="F751" s="11">
        <v>0.375</v>
      </c>
      <c r="G751">
        <v>75570</v>
      </c>
      <c r="H751" t="s">
        <v>3689</v>
      </c>
      <c r="I751" t="s">
        <v>187</v>
      </c>
      <c r="J751" t="s">
        <v>4458</v>
      </c>
      <c r="K751" t="s">
        <v>4459</v>
      </c>
      <c r="L751" t="s">
        <v>4460</v>
      </c>
      <c r="M751" t="s">
        <v>4407</v>
      </c>
      <c r="N751" t="s">
        <v>60</v>
      </c>
      <c r="O751" t="s">
        <v>34</v>
      </c>
      <c r="P751" s="3">
        <v>17124</v>
      </c>
      <c r="Q751" s="3">
        <v>17124</v>
      </c>
      <c r="R751">
        <v>0</v>
      </c>
      <c r="S751" s="3">
        <v>17124</v>
      </c>
      <c r="T751" t="s">
        <v>4408</v>
      </c>
      <c r="U751">
        <v>7932908</v>
      </c>
    </row>
    <row r="752" spans="1:21" x14ac:dyDescent="0.25">
      <c r="A752" s="9" t="s">
        <v>4401</v>
      </c>
      <c r="B752" s="10">
        <v>44049</v>
      </c>
      <c r="C752" s="1">
        <v>44048</v>
      </c>
      <c r="D752" t="s">
        <v>4402</v>
      </c>
      <c r="E752" s="11">
        <v>0.375</v>
      </c>
      <c r="F752" s="11">
        <v>0.375</v>
      </c>
      <c r="G752">
        <v>75577</v>
      </c>
      <c r="H752" t="s">
        <v>3691</v>
      </c>
      <c r="I752">
        <v>3</v>
      </c>
      <c r="J752" t="s">
        <v>4404</v>
      </c>
      <c r="K752" t="s">
        <v>4405</v>
      </c>
      <c r="L752" t="s">
        <v>4406</v>
      </c>
      <c r="M752" t="s">
        <v>4407</v>
      </c>
      <c r="N752" t="s">
        <v>60</v>
      </c>
      <c r="O752" t="s">
        <v>34</v>
      </c>
      <c r="P752" s="3">
        <v>230141</v>
      </c>
      <c r="Q752" s="3">
        <v>230141</v>
      </c>
      <c r="R752" s="3">
        <v>55895</v>
      </c>
      <c r="S752" s="3">
        <v>174246</v>
      </c>
      <c r="T752" t="s">
        <v>4408</v>
      </c>
      <c r="U752">
        <v>7932908</v>
      </c>
    </row>
    <row r="753" spans="1:21" x14ac:dyDescent="0.25">
      <c r="A753" s="9" t="s">
        <v>4401</v>
      </c>
      <c r="B753" s="10">
        <v>44049</v>
      </c>
      <c r="C753" s="1">
        <v>44048</v>
      </c>
      <c r="D753" t="s">
        <v>4402</v>
      </c>
      <c r="E753" s="11">
        <v>0.375</v>
      </c>
      <c r="F753" s="11">
        <v>0.375</v>
      </c>
      <c r="G753">
        <v>75577</v>
      </c>
      <c r="H753" t="s">
        <v>3691</v>
      </c>
      <c r="I753">
        <v>3</v>
      </c>
      <c r="J753" t="s">
        <v>4458</v>
      </c>
      <c r="K753" t="s">
        <v>4459</v>
      </c>
      <c r="L753" t="s">
        <v>4460</v>
      </c>
      <c r="M753" t="s">
        <v>4407</v>
      </c>
      <c r="N753" t="s">
        <v>60</v>
      </c>
      <c r="O753" t="s">
        <v>34</v>
      </c>
      <c r="P753" s="3">
        <v>90979</v>
      </c>
      <c r="Q753" s="3">
        <v>90979</v>
      </c>
      <c r="R753">
        <v>0</v>
      </c>
      <c r="S753" s="3">
        <v>90979</v>
      </c>
      <c r="T753" t="s">
        <v>4408</v>
      </c>
      <c r="U753">
        <v>7932908</v>
      </c>
    </row>
    <row r="754" spans="1:21" x14ac:dyDescent="0.25">
      <c r="A754" s="9" t="s">
        <v>4401</v>
      </c>
      <c r="B754" s="10">
        <v>44049</v>
      </c>
      <c r="C754" s="1">
        <v>44048</v>
      </c>
      <c r="D754" t="s">
        <v>4402</v>
      </c>
      <c r="E754" s="11">
        <v>0.375</v>
      </c>
      <c r="F754" s="11">
        <v>0.375</v>
      </c>
      <c r="G754">
        <v>75578</v>
      </c>
      <c r="H754" t="s">
        <v>3696</v>
      </c>
      <c r="I754">
        <v>1</v>
      </c>
      <c r="J754" t="s">
        <v>4404</v>
      </c>
      <c r="K754" t="s">
        <v>4405</v>
      </c>
      <c r="L754" t="s">
        <v>4406</v>
      </c>
      <c r="M754" t="s">
        <v>4407</v>
      </c>
      <c r="N754" t="s">
        <v>60</v>
      </c>
      <c r="O754" t="s">
        <v>34</v>
      </c>
      <c r="P754" s="3">
        <v>682597</v>
      </c>
      <c r="Q754" s="3">
        <v>682597</v>
      </c>
      <c r="R754" s="3">
        <v>23627</v>
      </c>
      <c r="S754" s="3">
        <v>658970</v>
      </c>
      <c r="T754" t="s">
        <v>4408</v>
      </c>
      <c r="U754">
        <v>7932908</v>
      </c>
    </row>
    <row r="755" spans="1:21" x14ac:dyDescent="0.25">
      <c r="A755" s="9" t="s">
        <v>4401</v>
      </c>
      <c r="B755" s="10">
        <v>44049</v>
      </c>
      <c r="C755" s="1">
        <v>44048</v>
      </c>
      <c r="D755" t="s">
        <v>4402</v>
      </c>
      <c r="E755" s="11">
        <v>0.375</v>
      </c>
      <c r="F755" s="11">
        <v>0.375</v>
      </c>
      <c r="G755">
        <v>75578</v>
      </c>
      <c r="H755" t="s">
        <v>3696</v>
      </c>
      <c r="I755">
        <v>1</v>
      </c>
      <c r="J755" t="s">
        <v>4458</v>
      </c>
      <c r="K755" t="s">
        <v>4459</v>
      </c>
      <c r="L755" t="s">
        <v>4460</v>
      </c>
      <c r="M755" t="s">
        <v>4407</v>
      </c>
      <c r="N755" t="s">
        <v>60</v>
      </c>
      <c r="O755" t="s">
        <v>34</v>
      </c>
      <c r="P755" s="3">
        <v>682597</v>
      </c>
      <c r="Q755" s="3">
        <v>682597</v>
      </c>
      <c r="R755" s="3">
        <v>42072</v>
      </c>
      <c r="S755" s="3">
        <v>640525</v>
      </c>
      <c r="T755" t="s">
        <v>4408</v>
      </c>
      <c r="U755">
        <v>7932908</v>
      </c>
    </row>
    <row r="756" spans="1:21" x14ac:dyDescent="0.25">
      <c r="A756" s="9" t="s">
        <v>4401</v>
      </c>
      <c r="B756" s="10">
        <v>44049</v>
      </c>
      <c r="C756" s="1">
        <v>44048</v>
      </c>
      <c r="D756" t="s">
        <v>4402</v>
      </c>
      <c r="E756" s="11">
        <v>0.375</v>
      </c>
      <c r="F756" s="11">
        <v>0.375</v>
      </c>
      <c r="G756">
        <v>75583</v>
      </c>
      <c r="H756" t="s">
        <v>3703</v>
      </c>
      <c r="I756" t="s">
        <v>543</v>
      </c>
      <c r="J756" t="s">
        <v>4404</v>
      </c>
      <c r="K756" t="s">
        <v>4405</v>
      </c>
      <c r="L756" t="s">
        <v>4406</v>
      </c>
      <c r="M756" t="s">
        <v>4407</v>
      </c>
      <c r="N756" t="s">
        <v>60</v>
      </c>
      <c r="O756" t="s">
        <v>34</v>
      </c>
      <c r="P756" s="3">
        <v>759000</v>
      </c>
      <c r="Q756" s="3">
        <v>759000</v>
      </c>
      <c r="R756" s="3">
        <v>3706</v>
      </c>
      <c r="S756" s="3">
        <v>755294</v>
      </c>
      <c r="T756" t="s">
        <v>4408</v>
      </c>
      <c r="U756">
        <v>7932908</v>
      </c>
    </row>
    <row r="757" spans="1:21" x14ac:dyDescent="0.25">
      <c r="A757" s="9" t="s">
        <v>4401</v>
      </c>
      <c r="B757" s="10">
        <v>44049</v>
      </c>
      <c r="C757" s="1">
        <v>44048</v>
      </c>
      <c r="D757" t="s">
        <v>4402</v>
      </c>
      <c r="E757" s="11">
        <v>0.375</v>
      </c>
      <c r="F757" s="11">
        <v>0.375</v>
      </c>
      <c r="G757">
        <v>75583</v>
      </c>
      <c r="H757" t="s">
        <v>3703</v>
      </c>
      <c r="I757" t="s">
        <v>543</v>
      </c>
      <c r="J757" t="s">
        <v>4458</v>
      </c>
      <c r="K757" t="s">
        <v>4459</v>
      </c>
      <c r="L757" t="s">
        <v>4460</v>
      </c>
      <c r="M757" t="s">
        <v>4407</v>
      </c>
      <c r="N757" t="s">
        <v>60</v>
      </c>
      <c r="O757" t="s">
        <v>34</v>
      </c>
      <c r="P757" s="3">
        <v>759000</v>
      </c>
      <c r="Q757" s="3">
        <v>759000</v>
      </c>
      <c r="R757" s="3">
        <v>33706</v>
      </c>
      <c r="S757" s="3">
        <v>725294</v>
      </c>
      <c r="T757" t="s">
        <v>4408</v>
      </c>
      <c r="U757">
        <v>7932908</v>
      </c>
    </row>
    <row r="758" spans="1:21" x14ac:dyDescent="0.25">
      <c r="A758" s="9" t="s">
        <v>4401</v>
      </c>
      <c r="B758" s="10">
        <v>44049</v>
      </c>
      <c r="C758" s="1">
        <v>44048</v>
      </c>
      <c r="D758" t="s">
        <v>4402</v>
      </c>
      <c r="E758" s="11">
        <v>0.375</v>
      </c>
      <c r="F758" s="11">
        <v>0.375</v>
      </c>
      <c r="G758">
        <v>75605</v>
      </c>
      <c r="H758" t="s">
        <v>3711</v>
      </c>
      <c r="I758">
        <v>3</v>
      </c>
      <c r="J758" t="s">
        <v>4404</v>
      </c>
      <c r="K758" t="s">
        <v>4405</v>
      </c>
      <c r="L758" t="s">
        <v>4406</v>
      </c>
      <c r="M758" t="s">
        <v>4407</v>
      </c>
      <c r="N758" t="s">
        <v>60</v>
      </c>
      <c r="O758" t="s">
        <v>34</v>
      </c>
      <c r="P758" s="3">
        <v>300000</v>
      </c>
      <c r="Q758" s="3">
        <v>300000</v>
      </c>
      <c r="R758" s="3">
        <v>39241</v>
      </c>
      <c r="S758" s="3">
        <v>260759</v>
      </c>
      <c r="T758" t="s">
        <v>4408</v>
      </c>
      <c r="U758">
        <v>7932908</v>
      </c>
    </row>
    <row r="759" spans="1:21" x14ac:dyDescent="0.25">
      <c r="A759" s="9" t="s">
        <v>4401</v>
      </c>
      <c r="B759" s="10">
        <v>44049</v>
      </c>
      <c r="C759" s="1">
        <v>44048</v>
      </c>
      <c r="D759" t="s">
        <v>4402</v>
      </c>
      <c r="E759" s="11">
        <v>0.375</v>
      </c>
      <c r="F759" s="11">
        <v>0.375</v>
      </c>
      <c r="G759">
        <v>75605</v>
      </c>
      <c r="H759" t="s">
        <v>3711</v>
      </c>
      <c r="I759">
        <v>3</v>
      </c>
      <c r="J759" t="s">
        <v>4458</v>
      </c>
      <c r="K759" t="s">
        <v>4459</v>
      </c>
      <c r="L759" t="s">
        <v>4460</v>
      </c>
      <c r="M759" t="s">
        <v>4407</v>
      </c>
      <c r="N759" t="s">
        <v>60</v>
      </c>
      <c r="O759" t="s">
        <v>34</v>
      </c>
      <c r="P759" s="3">
        <v>300000</v>
      </c>
      <c r="Q759" s="3">
        <v>300000</v>
      </c>
      <c r="R759" s="3">
        <v>1386</v>
      </c>
      <c r="S759" s="3">
        <v>298614</v>
      </c>
      <c r="T759" t="s">
        <v>4408</v>
      </c>
      <c r="U759">
        <v>7932908</v>
      </c>
    </row>
    <row r="760" spans="1:21" x14ac:dyDescent="0.25">
      <c r="A760" s="9" t="s">
        <v>4401</v>
      </c>
      <c r="B760" s="10">
        <v>44049</v>
      </c>
      <c r="C760" s="1">
        <v>44048</v>
      </c>
      <c r="D760" t="s">
        <v>4402</v>
      </c>
      <c r="E760" s="11">
        <v>0.375</v>
      </c>
      <c r="F760" s="11">
        <v>0.375</v>
      </c>
      <c r="G760">
        <v>75614</v>
      </c>
      <c r="H760" t="s">
        <v>3719</v>
      </c>
      <c r="I760" t="s">
        <v>543</v>
      </c>
      <c r="J760" t="s">
        <v>4404</v>
      </c>
      <c r="K760" t="s">
        <v>4405</v>
      </c>
      <c r="L760" t="s">
        <v>4406</v>
      </c>
      <c r="M760" t="s">
        <v>4407</v>
      </c>
      <c r="N760" t="s">
        <v>34</v>
      </c>
      <c r="O760" t="s">
        <v>34</v>
      </c>
      <c r="P760" s="3">
        <v>282304</v>
      </c>
      <c r="Q760" s="3">
        <v>326123</v>
      </c>
      <c r="R760" s="3">
        <v>8511</v>
      </c>
      <c r="S760" s="3">
        <v>317612</v>
      </c>
      <c r="T760" t="s">
        <v>4408</v>
      </c>
      <c r="U760">
        <v>7932908</v>
      </c>
    </row>
    <row r="761" spans="1:21" x14ac:dyDescent="0.25">
      <c r="A761" s="9" t="s">
        <v>4401</v>
      </c>
      <c r="B761" s="10">
        <v>44049</v>
      </c>
      <c r="C761" s="1">
        <v>44048</v>
      </c>
      <c r="D761" t="s">
        <v>4402</v>
      </c>
      <c r="E761" s="11">
        <v>0.375</v>
      </c>
      <c r="F761" s="11">
        <v>0.375</v>
      </c>
      <c r="G761">
        <v>75614</v>
      </c>
      <c r="H761" t="s">
        <v>3719</v>
      </c>
      <c r="I761" t="s">
        <v>543</v>
      </c>
      <c r="J761" t="s">
        <v>4458</v>
      </c>
      <c r="K761" t="s">
        <v>4459</v>
      </c>
      <c r="L761" t="s">
        <v>4460</v>
      </c>
      <c r="M761" t="s">
        <v>4407</v>
      </c>
      <c r="N761" t="s">
        <v>60</v>
      </c>
      <c r="O761" t="s">
        <v>34</v>
      </c>
      <c r="P761" s="3">
        <v>282304</v>
      </c>
      <c r="Q761" s="3">
        <v>326123</v>
      </c>
      <c r="R761">
        <v>8</v>
      </c>
      <c r="S761" s="3">
        <v>326115</v>
      </c>
      <c r="T761" t="s">
        <v>4408</v>
      </c>
      <c r="U761">
        <v>7932908</v>
      </c>
    </row>
    <row r="762" spans="1:21" x14ac:dyDescent="0.25">
      <c r="A762" s="9" t="s">
        <v>4401</v>
      </c>
      <c r="B762" s="10">
        <v>44049</v>
      </c>
      <c r="C762" s="1">
        <v>44048</v>
      </c>
      <c r="D762" t="s">
        <v>4402</v>
      </c>
      <c r="E762" s="11">
        <v>0.375</v>
      </c>
      <c r="F762" s="11">
        <v>0.375</v>
      </c>
      <c r="G762">
        <v>75628</v>
      </c>
      <c r="H762" t="s">
        <v>3727</v>
      </c>
      <c r="I762" t="s">
        <v>543</v>
      </c>
      <c r="J762" t="s">
        <v>4404</v>
      </c>
      <c r="K762" t="s">
        <v>4405</v>
      </c>
      <c r="L762" t="s">
        <v>4406</v>
      </c>
      <c r="M762" t="s">
        <v>4407</v>
      </c>
      <c r="N762" t="s">
        <v>60</v>
      </c>
      <c r="O762" t="s">
        <v>34</v>
      </c>
      <c r="P762" s="3">
        <v>195925</v>
      </c>
      <c r="Q762" s="3">
        <v>195925</v>
      </c>
      <c r="R762" s="3">
        <v>95447</v>
      </c>
      <c r="S762" s="3">
        <v>100478</v>
      </c>
      <c r="T762" t="s">
        <v>4408</v>
      </c>
      <c r="U762">
        <v>7932908</v>
      </c>
    </row>
    <row r="763" spans="1:21" x14ac:dyDescent="0.25">
      <c r="A763" s="9" t="s">
        <v>4401</v>
      </c>
      <c r="B763" s="10">
        <v>44049</v>
      </c>
      <c r="C763" s="1">
        <v>44048</v>
      </c>
      <c r="D763" t="s">
        <v>4402</v>
      </c>
      <c r="E763" s="11">
        <v>0.375</v>
      </c>
      <c r="F763" s="11">
        <v>0.375</v>
      </c>
      <c r="G763">
        <v>75628</v>
      </c>
      <c r="H763" t="s">
        <v>3727</v>
      </c>
      <c r="I763" t="s">
        <v>543</v>
      </c>
      <c r="J763" t="s">
        <v>4458</v>
      </c>
      <c r="K763" t="s">
        <v>4459</v>
      </c>
      <c r="L763" t="s">
        <v>4460</v>
      </c>
      <c r="M763" t="s">
        <v>4407</v>
      </c>
      <c r="N763" t="s">
        <v>60</v>
      </c>
      <c r="O763" t="s">
        <v>34</v>
      </c>
      <c r="P763" s="3">
        <v>195925</v>
      </c>
      <c r="Q763" s="3">
        <v>195925</v>
      </c>
      <c r="R763">
        <v>0</v>
      </c>
      <c r="S763" s="3">
        <v>195925</v>
      </c>
      <c r="T763" t="s">
        <v>4408</v>
      </c>
      <c r="U763">
        <v>7932908</v>
      </c>
    </row>
    <row r="764" spans="1:21" x14ac:dyDescent="0.25">
      <c r="A764" s="9" t="s">
        <v>4401</v>
      </c>
      <c r="B764" s="10">
        <v>44049</v>
      </c>
      <c r="C764" s="1">
        <v>44048</v>
      </c>
      <c r="D764" t="s">
        <v>4402</v>
      </c>
      <c r="E764" s="11">
        <v>0.375</v>
      </c>
      <c r="F764" s="11">
        <v>0.375</v>
      </c>
      <c r="G764">
        <v>75660</v>
      </c>
      <c r="H764" t="s">
        <v>3735</v>
      </c>
      <c r="I764">
        <v>2</v>
      </c>
      <c r="J764" t="s">
        <v>4404</v>
      </c>
      <c r="K764" t="s">
        <v>4405</v>
      </c>
      <c r="L764" t="s">
        <v>4406</v>
      </c>
      <c r="M764" t="s">
        <v>4407</v>
      </c>
      <c r="N764" t="s">
        <v>60</v>
      </c>
      <c r="O764" t="s">
        <v>34</v>
      </c>
      <c r="P764" s="3">
        <v>338107</v>
      </c>
      <c r="Q764" s="3">
        <v>338107</v>
      </c>
      <c r="R764">
        <v>0</v>
      </c>
      <c r="S764" s="3">
        <v>338107</v>
      </c>
      <c r="T764" t="s">
        <v>4408</v>
      </c>
      <c r="U764">
        <v>7932908</v>
      </c>
    </row>
    <row r="765" spans="1:21" x14ac:dyDescent="0.25">
      <c r="A765" s="9" t="s">
        <v>4401</v>
      </c>
      <c r="B765" s="10">
        <v>44049</v>
      </c>
      <c r="C765" s="1">
        <v>44048</v>
      </c>
      <c r="D765" t="s">
        <v>4402</v>
      </c>
      <c r="E765" s="11">
        <v>0.375</v>
      </c>
      <c r="F765" s="11">
        <v>0.375</v>
      </c>
      <c r="G765">
        <v>75660</v>
      </c>
      <c r="H765" t="s">
        <v>3735</v>
      </c>
      <c r="I765">
        <v>2</v>
      </c>
      <c r="J765" t="s">
        <v>4458</v>
      </c>
      <c r="K765" t="s">
        <v>4459</v>
      </c>
      <c r="L765" t="s">
        <v>4460</v>
      </c>
      <c r="M765" t="s">
        <v>4407</v>
      </c>
      <c r="N765" t="s">
        <v>60</v>
      </c>
      <c r="O765" t="s">
        <v>34</v>
      </c>
      <c r="P765" s="3">
        <v>338107</v>
      </c>
      <c r="Q765" s="3">
        <v>338107</v>
      </c>
      <c r="R765" s="3">
        <v>66761</v>
      </c>
      <c r="S765" s="3">
        <v>271346</v>
      </c>
      <c r="T765" t="s">
        <v>4408</v>
      </c>
      <c r="U765">
        <v>7932908</v>
      </c>
    </row>
    <row r="766" spans="1:21" x14ac:dyDescent="0.25">
      <c r="A766" s="9" t="s">
        <v>4401</v>
      </c>
      <c r="B766" s="10">
        <v>44049</v>
      </c>
      <c r="C766" s="1">
        <v>44048</v>
      </c>
      <c r="D766" t="s">
        <v>4402</v>
      </c>
      <c r="E766" s="11">
        <v>0.375</v>
      </c>
      <c r="F766" s="11">
        <v>0.375</v>
      </c>
      <c r="G766">
        <v>75661</v>
      </c>
      <c r="H766" t="s">
        <v>3739</v>
      </c>
      <c r="I766">
        <v>1</v>
      </c>
      <c r="J766" t="s">
        <v>4404</v>
      </c>
      <c r="K766" t="s">
        <v>4405</v>
      </c>
      <c r="L766" t="s">
        <v>4406</v>
      </c>
      <c r="M766" t="s">
        <v>4407</v>
      </c>
      <c r="N766" t="s">
        <v>60</v>
      </c>
      <c r="O766" t="s">
        <v>34</v>
      </c>
      <c r="P766" s="3">
        <v>13432</v>
      </c>
      <c r="Q766" s="3">
        <v>13432</v>
      </c>
      <c r="R766" s="3">
        <v>1500</v>
      </c>
      <c r="S766" s="3">
        <v>11932</v>
      </c>
      <c r="T766" t="s">
        <v>4408</v>
      </c>
      <c r="U766">
        <v>7932908</v>
      </c>
    </row>
    <row r="767" spans="1:21" x14ac:dyDescent="0.25">
      <c r="A767" s="9" t="s">
        <v>4401</v>
      </c>
      <c r="B767" s="10">
        <v>44049</v>
      </c>
      <c r="C767" s="1">
        <v>44048</v>
      </c>
      <c r="D767" t="s">
        <v>4402</v>
      </c>
      <c r="E767" s="11">
        <v>0.375</v>
      </c>
      <c r="F767" s="11">
        <v>0.375</v>
      </c>
      <c r="G767">
        <v>75661</v>
      </c>
      <c r="H767" t="s">
        <v>3739</v>
      </c>
      <c r="I767">
        <v>1</v>
      </c>
      <c r="J767" t="s">
        <v>4458</v>
      </c>
      <c r="K767" t="s">
        <v>4459</v>
      </c>
      <c r="L767" t="s">
        <v>4460</v>
      </c>
      <c r="M767" t="s">
        <v>4407</v>
      </c>
      <c r="N767" t="s">
        <v>60</v>
      </c>
      <c r="O767" t="s">
        <v>34</v>
      </c>
      <c r="P767" s="3">
        <v>13433</v>
      </c>
      <c r="Q767" s="3">
        <v>13433</v>
      </c>
      <c r="R767">
        <v>0</v>
      </c>
      <c r="S767" s="3">
        <v>13433</v>
      </c>
      <c r="T767" t="s">
        <v>4408</v>
      </c>
      <c r="U767">
        <v>7932908</v>
      </c>
    </row>
    <row r="768" spans="1:21" x14ac:dyDescent="0.25">
      <c r="A768" s="9" t="s">
        <v>4401</v>
      </c>
      <c r="B768" s="10">
        <v>44049</v>
      </c>
      <c r="C768" s="1">
        <v>44048</v>
      </c>
      <c r="D768" t="s">
        <v>4402</v>
      </c>
      <c r="E768" s="11">
        <v>0.375</v>
      </c>
      <c r="F768" s="11">
        <v>0.375</v>
      </c>
      <c r="G768">
        <v>75662</v>
      </c>
      <c r="H768" t="s">
        <v>3744</v>
      </c>
      <c r="I768" t="s">
        <v>680</v>
      </c>
      <c r="J768" t="s">
        <v>4404</v>
      </c>
      <c r="K768" t="s">
        <v>4405</v>
      </c>
      <c r="L768" t="s">
        <v>4406</v>
      </c>
      <c r="M768" t="s">
        <v>4407</v>
      </c>
      <c r="N768" t="s">
        <v>60</v>
      </c>
      <c r="O768" t="s">
        <v>34</v>
      </c>
      <c r="P768" s="3">
        <v>358163</v>
      </c>
      <c r="Q768" s="3">
        <v>424487</v>
      </c>
      <c r="R768" s="3">
        <v>145691</v>
      </c>
      <c r="S768" s="3">
        <v>278796</v>
      </c>
      <c r="T768" t="s">
        <v>4408</v>
      </c>
      <c r="U768">
        <v>7932908</v>
      </c>
    </row>
    <row r="769" spans="1:21" x14ac:dyDescent="0.25">
      <c r="A769" s="9" t="s">
        <v>4401</v>
      </c>
      <c r="B769" s="10">
        <v>44049</v>
      </c>
      <c r="C769" s="1">
        <v>44048</v>
      </c>
      <c r="D769" t="s">
        <v>4402</v>
      </c>
      <c r="E769" s="11">
        <v>0.375</v>
      </c>
      <c r="F769" s="11">
        <v>0.375</v>
      </c>
      <c r="G769">
        <v>75662</v>
      </c>
      <c r="H769" t="s">
        <v>3744</v>
      </c>
      <c r="I769" t="s">
        <v>680</v>
      </c>
      <c r="J769" t="s">
        <v>4458</v>
      </c>
      <c r="K769" t="s">
        <v>4459</v>
      </c>
      <c r="L769" t="s">
        <v>4460</v>
      </c>
      <c r="M769" t="s">
        <v>4407</v>
      </c>
      <c r="N769" t="s">
        <v>60</v>
      </c>
      <c r="O769" t="s">
        <v>34</v>
      </c>
      <c r="P769" s="3">
        <v>358163</v>
      </c>
      <c r="Q769" s="3">
        <v>424487</v>
      </c>
      <c r="R769" s="3">
        <v>10000</v>
      </c>
      <c r="S769" s="3">
        <v>414487</v>
      </c>
      <c r="T769" t="s">
        <v>4408</v>
      </c>
      <c r="U769">
        <v>7932908</v>
      </c>
    </row>
    <row r="770" spans="1:21" x14ac:dyDescent="0.25">
      <c r="A770" s="9" t="s">
        <v>4401</v>
      </c>
      <c r="B770" s="10">
        <v>44049</v>
      </c>
      <c r="C770" s="1">
        <v>44048</v>
      </c>
      <c r="D770" t="s">
        <v>4402</v>
      </c>
      <c r="E770" s="11">
        <v>0.375</v>
      </c>
      <c r="F770" s="11">
        <v>0.375</v>
      </c>
      <c r="G770">
        <v>75672</v>
      </c>
      <c r="H770" t="s">
        <v>3752</v>
      </c>
      <c r="I770" t="s">
        <v>543</v>
      </c>
      <c r="J770" t="s">
        <v>4404</v>
      </c>
      <c r="K770" t="s">
        <v>4405</v>
      </c>
      <c r="L770" t="s">
        <v>4406</v>
      </c>
      <c r="M770" t="s">
        <v>4407</v>
      </c>
      <c r="N770" t="s">
        <v>60</v>
      </c>
      <c r="O770" t="s">
        <v>34</v>
      </c>
      <c r="P770" s="3">
        <v>147356</v>
      </c>
      <c r="Q770" s="3">
        <v>147356</v>
      </c>
      <c r="R770">
        <v>0</v>
      </c>
      <c r="S770" s="3">
        <v>147356</v>
      </c>
      <c r="T770" t="s">
        <v>4408</v>
      </c>
      <c r="U770">
        <v>7932908</v>
      </c>
    </row>
    <row r="771" spans="1:21" x14ac:dyDescent="0.25">
      <c r="A771" s="9" t="s">
        <v>4401</v>
      </c>
      <c r="B771" s="10">
        <v>44049</v>
      </c>
      <c r="C771" s="1">
        <v>44048</v>
      </c>
      <c r="D771" t="s">
        <v>4402</v>
      </c>
      <c r="E771" s="11">
        <v>0.375</v>
      </c>
      <c r="F771" s="11">
        <v>0.375</v>
      </c>
      <c r="G771">
        <v>75672</v>
      </c>
      <c r="H771" t="s">
        <v>3752</v>
      </c>
      <c r="I771" t="s">
        <v>543</v>
      </c>
      <c r="J771" t="s">
        <v>4458</v>
      </c>
      <c r="K771" t="s">
        <v>4459</v>
      </c>
      <c r="L771" t="s">
        <v>4460</v>
      </c>
      <c r="M771" t="s">
        <v>4407</v>
      </c>
      <c r="N771" t="s">
        <v>60</v>
      </c>
      <c r="O771" t="s">
        <v>34</v>
      </c>
      <c r="P771" s="3">
        <v>147356</v>
      </c>
      <c r="Q771" s="3">
        <v>147356</v>
      </c>
      <c r="R771">
        <v>0</v>
      </c>
      <c r="S771" s="3">
        <v>147356</v>
      </c>
      <c r="T771" t="s">
        <v>4408</v>
      </c>
      <c r="U771">
        <v>7932908</v>
      </c>
    </row>
    <row r="772" spans="1:21" x14ac:dyDescent="0.25">
      <c r="A772" s="9" t="s">
        <v>4401</v>
      </c>
      <c r="B772" s="10">
        <v>44049</v>
      </c>
      <c r="C772" s="1">
        <v>44048</v>
      </c>
      <c r="D772" t="s">
        <v>4402</v>
      </c>
      <c r="E772" s="11">
        <v>0.375</v>
      </c>
      <c r="F772" s="11">
        <v>0.375</v>
      </c>
      <c r="G772">
        <v>75688</v>
      </c>
      <c r="H772" t="s">
        <v>3760</v>
      </c>
      <c r="I772" t="s">
        <v>187</v>
      </c>
      <c r="J772" t="s">
        <v>4458</v>
      </c>
      <c r="K772" t="s">
        <v>4459</v>
      </c>
      <c r="L772" t="s">
        <v>4460</v>
      </c>
      <c r="M772" t="s">
        <v>4407</v>
      </c>
      <c r="N772" t="s">
        <v>60</v>
      </c>
      <c r="O772" t="s">
        <v>34</v>
      </c>
      <c r="P772" s="3">
        <v>198895</v>
      </c>
      <c r="Q772" s="3">
        <v>198895</v>
      </c>
      <c r="R772">
        <v>0</v>
      </c>
      <c r="S772" s="3">
        <v>198895</v>
      </c>
      <c r="T772" t="s">
        <v>4408</v>
      </c>
      <c r="U772">
        <v>7932908</v>
      </c>
    </row>
    <row r="773" spans="1:21" x14ac:dyDescent="0.25">
      <c r="A773" s="9" t="s">
        <v>4401</v>
      </c>
      <c r="B773" s="10">
        <v>44049</v>
      </c>
      <c r="C773" s="1">
        <v>44048</v>
      </c>
      <c r="D773" t="s">
        <v>4402</v>
      </c>
      <c r="E773" s="11">
        <v>0.375</v>
      </c>
      <c r="F773" s="11">
        <v>0.375</v>
      </c>
      <c r="G773">
        <v>75688</v>
      </c>
      <c r="H773" t="s">
        <v>3760</v>
      </c>
      <c r="I773" t="s">
        <v>187</v>
      </c>
      <c r="J773" t="s">
        <v>4404</v>
      </c>
      <c r="K773" t="s">
        <v>4405</v>
      </c>
      <c r="L773" t="s">
        <v>4406</v>
      </c>
      <c r="M773" t="s">
        <v>4407</v>
      </c>
      <c r="N773" t="s">
        <v>60</v>
      </c>
      <c r="O773" t="s">
        <v>34</v>
      </c>
      <c r="P773" s="3">
        <v>198895</v>
      </c>
      <c r="Q773" s="3">
        <v>198895</v>
      </c>
      <c r="R773">
        <v>0</v>
      </c>
      <c r="S773" s="3">
        <v>198895</v>
      </c>
      <c r="T773" t="s">
        <v>4408</v>
      </c>
      <c r="U773">
        <v>7932908</v>
      </c>
    </row>
    <row r="774" spans="1:21" x14ac:dyDescent="0.25">
      <c r="A774" s="9" t="s">
        <v>4401</v>
      </c>
      <c r="B774" s="10">
        <v>44049</v>
      </c>
      <c r="C774" s="1">
        <v>44048</v>
      </c>
      <c r="D774" t="s">
        <v>4402</v>
      </c>
      <c r="E774" s="11">
        <v>0.375</v>
      </c>
      <c r="F774" s="11">
        <v>0.375</v>
      </c>
      <c r="G774">
        <v>75709</v>
      </c>
      <c r="H774" t="s">
        <v>3765</v>
      </c>
      <c r="I774">
        <v>3</v>
      </c>
      <c r="J774" t="s">
        <v>4404</v>
      </c>
      <c r="K774" t="s">
        <v>4405</v>
      </c>
      <c r="L774" t="s">
        <v>4406</v>
      </c>
      <c r="M774" t="s">
        <v>4407</v>
      </c>
      <c r="N774" t="s">
        <v>60</v>
      </c>
      <c r="O774" t="s">
        <v>34</v>
      </c>
      <c r="P774" s="3">
        <v>145084</v>
      </c>
      <c r="Q774" s="3">
        <v>145084</v>
      </c>
      <c r="R774">
        <v>0</v>
      </c>
      <c r="S774" s="3">
        <v>145084</v>
      </c>
      <c r="T774" t="s">
        <v>4408</v>
      </c>
      <c r="U774">
        <v>7932908</v>
      </c>
    </row>
    <row r="775" spans="1:21" x14ac:dyDescent="0.25">
      <c r="A775" s="9" t="s">
        <v>4401</v>
      </c>
      <c r="B775" s="10">
        <v>44049</v>
      </c>
      <c r="C775" s="1">
        <v>44048</v>
      </c>
      <c r="D775" t="s">
        <v>4402</v>
      </c>
      <c r="E775" s="11">
        <v>0.375</v>
      </c>
      <c r="F775" s="11">
        <v>0.375</v>
      </c>
      <c r="G775">
        <v>75709</v>
      </c>
      <c r="H775" t="s">
        <v>3765</v>
      </c>
      <c r="I775">
        <v>3</v>
      </c>
      <c r="J775" t="s">
        <v>4458</v>
      </c>
      <c r="K775" t="s">
        <v>4459</v>
      </c>
      <c r="L775" t="s">
        <v>4460</v>
      </c>
      <c r="M775" t="s">
        <v>4407</v>
      </c>
      <c r="N775" t="s">
        <v>60</v>
      </c>
      <c r="O775" t="s">
        <v>34</v>
      </c>
      <c r="P775" s="3">
        <v>145084</v>
      </c>
      <c r="Q775" s="3">
        <v>145084</v>
      </c>
      <c r="R775">
        <v>0</v>
      </c>
      <c r="S775" s="3">
        <v>145084</v>
      </c>
      <c r="T775" t="s">
        <v>4408</v>
      </c>
      <c r="U775">
        <v>7932908</v>
      </c>
    </row>
    <row r="776" spans="1:21" x14ac:dyDescent="0.25">
      <c r="A776" s="9" t="s">
        <v>4401</v>
      </c>
      <c r="B776" s="10">
        <v>44049</v>
      </c>
      <c r="C776" s="1">
        <v>44048</v>
      </c>
      <c r="D776" t="s">
        <v>4402</v>
      </c>
      <c r="E776" s="11">
        <v>0.375</v>
      </c>
      <c r="F776" s="11">
        <v>0.375</v>
      </c>
      <c r="G776">
        <v>75720</v>
      </c>
      <c r="H776" t="s">
        <v>3768</v>
      </c>
      <c r="I776">
        <v>2</v>
      </c>
      <c r="J776" t="s">
        <v>4458</v>
      </c>
      <c r="K776" t="s">
        <v>4459</v>
      </c>
      <c r="L776" t="s">
        <v>4460</v>
      </c>
      <c r="M776" t="s">
        <v>4407</v>
      </c>
      <c r="N776" t="s">
        <v>60</v>
      </c>
      <c r="O776" t="s">
        <v>34</v>
      </c>
      <c r="P776" s="3">
        <v>673210</v>
      </c>
      <c r="Q776" s="3">
        <v>673210</v>
      </c>
      <c r="R776" s="3">
        <v>132298</v>
      </c>
      <c r="S776" s="3">
        <v>540912</v>
      </c>
      <c r="T776" t="s">
        <v>4408</v>
      </c>
      <c r="U776">
        <v>7932908</v>
      </c>
    </row>
    <row r="777" spans="1:21" x14ac:dyDescent="0.25">
      <c r="A777" s="9" t="s">
        <v>4401</v>
      </c>
      <c r="B777" s="10">
        <v>44049</v>
      </c>
      <c r="C777" s="1">
        <v>44048</v>
      </c>
      <c r="D777" t="s">
        <v>4402</v>
      </c>
      <c r="E777" s="11">
        <v>0.375</v>
      </c>
      <c r="F777" s="11">
        <v>0.375</v>
      </c>
      <c r="G777">
        <v>75720</v>
      </c>
      <c r="H777" t="s">
        <v>3768</v>
      </c>
      <c r="I777">
        <v>2</v>
      </c>
      <c r="J777" t="s">
        <v>4404</v>
      </c>
      <c r="K777" t="s">
        <v>4405</v>
      </c>
      <c r="L777" t="s">
        <v>4406</v>
      </c>
      <c r="M777" t="s">
        <v>4407</v>
      </c>
      <c r="N777" t="s">
        <v>60</v>
      </c>
      <c r="O777" t="s">
        <v>34</v>
      </c>
      <c r="P777" s="3">
        <v>673210</v>
      </c>
      <c r="Q777" s="3">
        <v>673210</v>
      </c>
      <c r="R777" s="3">
        <v>99958</v>
      </c>
      <c r="S777" s="3">
        <v>573252</v>
      </c>
      <c r="T777" t="s">
        <v>4408</v>
      </c>
      <c r="U777">
        <v>7932908</v>
      </c>
    </row>
    <row r="778" spans="1:21" x14ac:dyDescent="0.25">
      <c r="A778" s="9" t="s">
        <v>4401</v>
      </c>
      <c r="B778" s="10">
        <v>44049</v>
      </c>
      <c r="C778" s="1">
        <v>44048</v>
      </c>
      <c r="D778" t="s">
        <v>4402</v>
      </c>
      <c r="E778" s="11">
        <v>0.375</v>
      </c>
      <c r="F778" s="11">
        <v>0.375</v>
      </c>
      <c r="G778">
        <v>75773</v>
      </c>
      <c r="H778" t="s">
        <v>3775</v>
      </c>
      <c r="I778" t="s">
        <v>367</v>
      </c>
      <c r="J778" t="s">
        <v>4404</v>
      </c>
      <c r="K778" t="s">
        <v>4405</v>
      </c>
      <c r="L778" t="s">
        <v>4406</v>
      </c>
      <c r="M778" t="s">
        <v>4407</v>
      </c>
      <c r="N778" t="s">
        <v>34</v>
      </c>
      <c r="O778" t="s">
        <v>34</v>
      </c>
      <c r="P778" s="3">
        <v>624730</v>
      </c>
      <c r="Q778" s="3">
        <v>684266</v>
      </c>
      <c r="R778" s="3">
        <v>102979</v>
      </c>
      <c r="S778" s="3">
        <v>581287</v>
      </c>
      <c r="T778" t="s">
        <v>4408</v>
      </c>
      <c r="U778">
        <v>7932908</v>
      </c>
    </row>
    <row r="779" spans="1:21" x14ac:dyDescent="0.25">
      <c r="A779" s="9" t="s">
        <v>4401</v>
      </c>
      <c r="B779" s="10">
        <v>44049</v>
      </c>
      <c r="C779" s="1">
        <v>44048</v>
      </c>
      <c r="D779" t="s">
        <v>4402</v>
      </c>
      <c r="E779" s="11">
        <v>0.375</v>
      </c>
      <c r="F779" s="11">
        <v>0.375</v>
      </c>
      <c r="G779">
        <v>75773</v>
      </c>
      <c r="H779" t="s">
        <v>3775</v>
      </c>
      <c r="I779" t="s">
        <v>367</v>
      </c>
      <c r="J779" t="s">
        <v>4458</v>
      </c>
      <c r="K779" t="s">
        <v>4459</v>
      </c>
      <c r="L779" t="s">
        <v>4460</v>
      </c>
      <c r="M779" t="s">
        <v>4407</v>
      </c>
      <c r="N779" t="s">
        <v>60</v>
      </c>
      <c r="O779" t="s">
        <v>34</v>
      </c>
      <c r="P779" s="3">
        <v>624730</v>
      </c>
      <c r="Q779" s="3">
        <v>684266</v>
      </c>
      <c r="R779">
        <v>500</v>
      </c>
      <c r="S779" s="3">
        <v>683766</v>
      </c>
      <c r="T779" t="s">
        <v>4408</v>
      </c>
      <c r="U779">
        <v>7932908</v>
      </c>
    </row>
    <row r="780" spans="1:21" x14ac:dyDescent="0.25">
      <c r="A780" s="9" t="s">
        <v>4401</v>
      </c>
      <c r="B780" s="10">
        <v>44049</v>
      </c>
      <c r="C780" s="1">
        <v>44048</v>
      </c>
      <c r="D780" t="s">
        <v>4402</v>
      </c>
      <c r="E780" s="11">
        <v>0.375</v>
      </c>
      <c r="F780" s="11">
        <v>0.375</v>
      </c>
      <c r="G780">
        <v>75778</v>
      </c>
      <c r="H780" t="s">
        <v>3783</v>
      </c>
      <c r="I780" t="s">
        <v>367</v>
      </c>
      <c r="J780" t="s">
        <v>4458</v>
      </c>
      <c r="K780" t="s">
        <v>4459</v>
      </c>
      <c r="L780" t="s">
        <v>4460</v>
      </c>
      <c r="M780" t="s">
        <v>4407</v>
      </c>
      <c r="N780" t="s">
        <v>60</v>
      </c>
      <c r="O780" t="s">
        <v>34</v>
      </c>
      <c r="P780" s="3">
        <v>111451</v>
      </c>
      <c r="Q780" s="3">
        <v>111451</v>
      </c>
      <c r="R780">
        <v>0</v>
      </c>
      <c r="S780" s="3">
        <v>111451</v>
      </c>
      <c r="T780" t="s">
        <v>4408</v>
      </c>
      <c r="U780">
        <v>7932908</v>
      </c>
    </row>
    <row r="781" spans="1:21" x14ac:dyDescent="0.25">
      <c r="A781" s="9" t="s">
        <v>4401</v>
      </c>
      <c r="B781" s="10">
        <v>44049</v>
      </c>
      <c r="C781" s="1">
        <v>44048</v>
      </c>
      <c r="D781" t="s">
        <v>4402</v>
      </c>
      <c r="E781" s="11">
        <v>0.375</v>
      </c>
      <c r="F781" s="11">
        <v>0.375</v>
      </c>
      <c r="G781">
        <v>75778</v>
      </c>
      <c r="H781" t="s">
        <v>3783</v>
      </c>
      <c r="I781" t="s">
        <v>367</v>
      </c>
      <c r="J781" t="s">
        <v>4404</v>
      </c>
      <c r="K781" t="s">
        <v>4405</v>
      </c>
      <c r="L781" t="s">
        <v>4406</v>
      </c>
      <c r="M781" t="s">
        <v>4407</v>
      </c>
      <c r="N781" t="s">
        <v>60</v>
      </c>
      <c r="O781" t="s">
        <v>34</v>
      </c>
      <c r="P781" s="3">
        <v>111451</v>
      </c>
      <c r="Q781" s="3">
        <v>111451</v>
      </c>
      <c r="R781">
        <v>0</v>
      </c>
      <c r="S781" s="3">
        <v>111451</v>
      </c>
      <c r="T781" t="s">
        <v>4408</v>
      </c>
      <c r="U781">
        <v>7932908</v>
      </c>
    </row>
    <row r="782" spans="1:21" x14ac:dyDescent="0.25">
      <c r="A782" s="9" t="s">
        <v>4401</v>
      </c>
      <c r="B782" s="10">
        <v>44049</v>
      </c>
      <c r="C782" s="1">
        <v>44048</v>
      </c>
      <c r="D782" t="s">
        <v>4402</v>
      </c>
      <c r="E782" s="11">
        <v>0.375</v>
      </c>
      <c r="F782" s="11">
        <v>0.375</v>
      </c>
      <c r="G782">
        <v>75821</v>
      </c>
      <c r="H782" t="s">
        <v>3791</v>
      </c>
      <c r="I782">
        <v>2</v>
      </c>
      <c r="J782" t="s">
        <v>5086</v>
      </c>
      <c r="K782" t="s">
        <v>5087</v>
      </c>
      <c r="L782" t="s">
        <v>5088</v>
      </c>
      <c r="M782" t="s">
        <v>4407</v>
      </c>
      <c r="N782" t="s">
        <v>60</v>
      </c>
      <c r="O782" t="s">
        <v>34</v>
      </c>
      <c r="P782" s="3">
        <v>601958</v>
      </c>
      <c r="Q782" s="3">
        <v>601958</v>
      </c>
      <c r="R782" s="3">
        <v>25649</v>
      </c>
      <c r="S782" s="3">
        <v>576309</v>
      </c>
      <c r="T782" t="s">
        <v>4408</v>
      </c>
      <c r="U782">
        <v>7932908</v>
      </c>
    </row>
    <row r="783" spans="1:21" x14ac:dyDescent="0.25">
      <c r="A783" s="9" t="s">
        <v>4401</v>
      </c>
      <c r="B783" s="10">
        <v>44049</v>
      </c>
      <c r="C783" s="1">
        <v>44048</v>
      </c>
      <c r="D783" t="s">
        <v>4402</v>
      </c>
      <c r="E783" s="11">
        <v>0.375</v>
      </c>
      <c r="F783" s="11">
        <v>0.375</v>
      </c>
      <c r="G783">
        <v>75821</v>
      </c>
      <c r="H783" t="s">
        <v>3791</v>
      </c>
      <c r="I783">
        <v>2</v>
      </c>
      <c r="J783" t="s">
        <v>4605</v>
      </c>
      <c r="K783" t="s">
        <v>4606</v>
      </c>
      <c r="L783" t="s">
        <v>4607</v>
      </c>
      <c r="M783" t="s">
        <v>4407</v>
      </c>
      <c r="N783" t="s">
        <v>60</v>
      </c>
      <c r="O783" t="s">
        <v>34</v>
      </c>
      <c r="P783" s="3">
        <v>601958</v>
      </c>
      <c r="Q783" s="3">
        <v>601958</v>
      </c>
      <c r="R783">
        <v>0</v>
      </c>
      <c r="S783" s="3">
        <v>601958</v>
      </c>
      <c r="T783" t="s">
        <v>4408</v>
      </c>
      <c r="U783">
        <v>7932908</v>
      </c>
    </row>
    <row r="784" spans="1:21" x14ac:dyDescent="0.25">
      <c r="A784" s="9" t="s">
        <v>4401</v>
      </c>
      <c r="B784" s="10">
        <v>44049</v>
      </c>
      <c r="C784" s="1">
        <v>44048</v>
      </c>
      <c r="D784" t="s">
        <v>4402</v>
      </c>
      <c r="E784" s="11">
        <v>0.375</v>
      </c>
      <c r="F784" s="11">
        <v>0.375</v>
      </c>
      <c r="G784">
        <v>75858</v>
      </c>
      <c r="H784" t="s">
        <v>3796</v>
      </c>
      <c r="I784" t="s">
        <v>367</v>
      </c>
      <c r="J784" t="s">
        <v>4404</v>
      </c>
      <c r="K784" t="s">
        <v>4405</v>
      </c>
      <c r="L784" t="s">
        <v>4406</v>
      </c>
      <c r="M784" t="s">
        <v>4407</v>
      </c>
      <c r="N784" t="s">
        <v>60</v>
      </c>
      <c r="O784" t="s">
        <v>34</v>
      </c>
      <c r="P784" s="3">
        <v>101087</v>
      </c>
      <c r="Q784" s="3">
        <v>101087</v>
      </c>
      <c r="R784">
        <v>0</v>
      </c>
      <c r="S784" s="3">
        <v>101087</v>
      </c>
      <c r="T784" t="s">
        <v>4408</v>
      </c>
      <c r="U784">
        <v>7932908</v>
      </c>
    </row>
    <row r="785" spans="1:21" x14ac:dyDescent="0.25">
      <c r="A785" s="9" t="s">
        <v>4401</v>
      </c>
      <c r="B785" s="10">
        <v>44049</v>
      </c>
      <c r="C785" s="1">
        <v>44048</v>
      </c>
      <c r="D785" t="s">
        <v>4402</v>
      </c>
      <c r="E785" s="11">
        <v>0.375</v>
      </c>
      <c r="F785" s="11">
        <v>0.375</v>
      </c>
      <c r="G785">
        <v>75865</v>
      </c>
      <c r="H785" t="s">
        <v>3798</v>
      </c>
      <c r="I785">
        <v>3</v>
      </c>
      <c r="J785" t="s">
        <v>4458</v>
      </c>
      <c r="K785" t="s">
        <v>4459</v>
      </c>
      <c r="L785" t="s">
        <v>4460</v>
      </c>
      <c r="M785" t="s">
        <v>4407</v>
      </c>
      <c r="N785" t="s">
        <v>60</v>
      </c>
      <c r="O785" t="s">
        <v>34</v>
      </c>
      <c r="P785" s="3">
        <v>83953</v>
      </c>
      <c r="Q785" s="3">
        <v>83953</v>
      </c>
      <c r="R785">
        <v>0</v>
      </c>
      <c r="S785" s="3">
        <v>83953</v>
      </c>
      <c r="T785" t="s">
        <v>4408</v>
      </c>
      <c r="U785">
        <v>7932908</v>
      </c>
    </row>
    <row r="786" spans="1:21" x14ac:dyDescent="0.25">
      <c r="A786" s="9" t="s">
        <v>4401</v>
      </c>
      <c r="B786" s="10">
        <v>44049</v>
      </c>
      <c r="C786" s="1">
        <v>44048</v>
      </c>
      <c r="D786" t="s">
        <v>4402</v>
      </c>
      <c r="E786" s="11">
        <v>0.375</v>
      </c>
      <c r="F786" s="11">
        <v>0.375</v>
      </c>
      <c r="G786">
        <v>75866</v>
      </c>
      <c r="H786" t="s">
        <v>3803</v>
      </c>
      <c r="I786" t="s">
        <v>680</v>
      </c>
      <c r="J786" t="s">
        <v>4404</v>
      </c>
      <c r="K786" t="s">
        <v>4405</v>
      </c>
      <c r="L786" t="s">
        <v>4406</v>
      </c>
      <c r="M786" t="s">
        <v>4407</v>
      </c>
      <c r="N786" t="s">
        <v>34</v>
      </c>
      <c r="O786" t="s">
        <v>34</v>
      </c>
      <c r="P786" s="3">
        <v>712000</v>
      </c>
      <c r="Q786" s="3">
        <v>600000</v>
      </c>
      <c r="R786" s="3">
        <v>181048</v>
      </c>
      <c r="S786" s="3">
        <v>418952</v>
      </c>
      <c r="T786" t="s">
        <v>4408</v>
      </c>
      <c r="U786">
        <v>7932908</v>
      </c>
    </row>
    <row r="787" spans="1:21" x14ac:dyDescent="0.25">
      <c r="A787" s="9" t="s">
        <v>4401</v>
      </c>
      <c r="B787" s="10">
        <v>44049</v>
      </c>
      <c r="C787" s="1">
        <v>44048</v>
      </c>
      <c r="D787" t="s">
        <v>4402</v>
      </c>
      <c r="E787" s="11">
        <v>0.375</v>
      </c>
      <c r="F787" s="11">
        <v>0.375</v>
      </c>
      <c r="G787">
        <v>75866</v>
      </c>
      <c r="H787" t="s">
        <v>3803</v>
      </c>
      <c r="I787" t="s">
        <v>680</v>
      </c>
      <c r="J787" t="s">
        <v>4458</v>
      </c>
      <c r="K787" t="s">
        <v>4459</v>
      </c>
      <c r="L787" t="s">
        <v>4460</v>
      </c>
      <c r="M787" t="s">
        <v>4407</v>
      </c>
      <c r="N787" t="s">
        <v>60</v>
      </c>
      <c r="O787" t="s">
        <v>34</v>
      </c>
      <c r="P787" s="3">
        <v>508500</v>
      </c>
      <c r="Q787" s="3">
        <v>560000</v>
      </c>
      <c r="R787" s="3">
        <v>176048</v>
      </c>
      <c r="S787" s="3">
        <v>383952</v>
      </c>
      <c r="T787" t="s">
        <v>4408</v>
      </c>
      <c r="U787">
        <v>7932908</v>
      </c>
    </row>
    <row r="788" spans="1:21" x14ac:dyDescent="0.25">
      <c r="A788" s="9" t="s">
        <v>4401</v>
      </c>
      <c r="B788" s="10">
        <v>44049</v>
      </c>
      <c r="C788" s="1">
        <v>44048</v>
      </c>
      <c r="D788" t="s">
        <v>4402</v>
      </c>
      <c r="E788" s="11">
        <v>0.375</v>
      </c>
      <c r="F788" s="11">
        <v>0.375</v>
      </c>
      <c r="G788">
        <v>75868</v>
      </c>
      <c r="H788" t="s">
        <v>3811</v>
      </c>
      <c r="I788">
        <v>2</v>
      </c>
      <c r="J788" t="s">
        <v>4458</v>
      </c>
      <c r="K788" t="s">
        <v>4459</v>
      </c>
      <c r="L788" t="s">
        <v>4460</v>
      </c>
      <c r="M788" t="s">
        <v>4407</v>
      </c>
      <c r="N788" t="s">
        <v>60</v>
      </c>
      <c r="O788" t="s">
        <v>34</v>
      </c>
      <c r="P788" s="3">
        <v>862202</v>
      </c>
      <c r="Q788" s="3">
        <v>862202</v>
      </c>
      <c r="R788" s="3">
        <v>319815</v>
      </c>
      <c r="S788" s="3">
        <v>542387</v>
      </c>
      <c r="T788" t="s">
        <v>4408</v>
      </c>
      <c r="U788">
        <v>7932908</v>
      </c>
    </row>
    <row r="789" spans="1:21" x14ac:dyDescent="0.25">
      <c r="A789" s="9" t="s">
        <v>4401</v>
      </c>
      <c r="B789" s="10">
        <v>44049</v>
      </c>
      <c r="C789" s="1">
        <v>44048</v>
      </c>
      <c r="D789" t="s">
        <v>4402</v>
      </c>
      <c r="E789" s="11">
        <v>0.375</v>
      </c>
      <c r="F789" s="11">
        <v>0.375</v>
      </c>
      <c r="G789">
        <v>75868</v>
      </c>
      <c r="H789" t="s">
        <v>3811</v>
      </c>
      <c r="I789">
        <v>2</v>
      </c>
      <c r="J789" t="s">
        <v>4404</v>
      </c>
      <c r="K789" t="s">
        <v>4405</v>
      </c>
      <c r="L789" t="s">
        <v>4406</v>
      </c>
      <c r="M789" t="s">
        <v>4407</v>
      </c>
      <c r="N789" t="s">
        <v>60</v>
      </c>
      <c r="O789" t="s">
        <v>34</v>
      </c>
      <c r="P789" s="3">
        <v>862202</v>
      </c>
      <c r="Q789" s="3">
        <v>862202</v>
      </c>
      <c r="R789" s="3">
        <v>113086</v>
      </c>
      <c r="S789" s="3">
        <v>749116</v>
      </c>
      <c r="T789" t="s">
        <v>4408</v>
      </c>
      <c r="U789">
        <v>7932908</v>
      </c>
    </row>
    <row r="790" spans="1:21" x14ac:dyDescent="0.25">
      <c r="A790" s="9" t="s">
        <v>4401</v>
      </c>
      <c r="B790" s="10">
        <v>44049</v>
      </c>
      <c r="C790" s="1">
        <v>44048</v>
      </c>
      <c r="D790" t="s">
        <v>4402</v>
      </c>
      <c r="E790" s="11">
        <v>0.375</v>
      </c>
      <c r="F790" s="11">
        <v>0.375</v>
      </c>
      <c r="G790">
        <v>75872</v>
      </c>
      <c r="H790" t="s">
        <v>3816</v>
      </c>
      <c r="I790" t="s">
        <v>367</v>
      </c>
      <c r="J790" t="s">
        <v>4404</v>
      </c>
      <c r="K790" t="s">
        <v>4405</v>
      </c>
      <c r="L790" t="s">
        <v>4406</v>
      </c>
      <c r="M790" t="s">
        <v>4407</v>
      </c>
      <c r="N790" t="s">
        <v>60</v>
      </c>
      <c r="O790" t="s">
        <v>34</v>
      </c>
      <c r="P790" s="3">
        <v>266479</v>
      </c>
      <c r="Q790" s="3">
        <v>266479</v>
      </c>
      <c r="R790">
        <v>0</v>
      </c>
      <c r="S790" s="3">
        <v>266479</v>
      </c>
      <c r="T790" t="s">
        <v>4408</v>
      </c>
      <c r="U790">
        <v>7932908</v>
      </c>
    </row>
    <row r="791" spans="1:21" x14ac:dyDescent="0.25">
      <c r="A791" s="9" t="s">
        <v>4401</v>
      </c>
      <c r="B791" s="10">
        <v>44049</v>
      </c>
      <c r="C791" s="1">
        <v>44048</v>
      </c>
      <c r="D791" t="s">
        <v>4402</v>
      </c>
      <c r="E791" s="11">
        <v>0.375</v>
      </c>
      <c r="F791" s="11">
        <v>0.375</v>
      </c>
      <c r="G791">
        <v>75872</v>
      </c>
      <c r="H791" t="s">
        <v>3816</v>
      </c>
      <c r="I791" t="s">
        <v>367</v>
      </c>
      <c r="J791" t="s">
        <v>4458</v>
      </c>
      <c r="K791" t="s">
        <v>4459</v>
      </c>
      <c r="L791" t="s">
        <v>4460</v>
      </c>
      <c r="M791" t="s">
        <v>4407</v>
      </c>
      <c r="N791" t="s">
        <v>60</v>
      </c>
      <c r="O791" t="s">
        <v>34</v>
      </c>
      <c r="P791" s="3">
        <v>266479</v>
      </c>
      <c r="Q791" s="3">
        <v>266479</v>
      </c>
      <c r="R791">
        <v>0</v>
      </c>
      <c r="S791" s="3">
        <v>266479</v>
      </c>
      <c r="T791" t="s">
        <v>4408</v>
      </c>
      <c r="U791">
        <v>7932908</v>
      </c>
    </row>
    <row r="792" spans="1:21" x14ac:dyDescent="0.25">
      <c r="A792" s="9" t="s">
        <v>4401</v>
      </c>
      <c r="B792" s="10">
        <v>44049</v>
      </c>
      <c r="C792" s="1">
        <v>44048</v>
      </c>
      <c r="D792" t="s">
        <v>4402</v>
      </c>
      <c r="E792" s="11">
        <v>0.375</v>
      </c>
      <c r="F792" s="11">
        <v>0.375</v>
      </c>
      <c r="G792">
        <v>75884</v>
      </c>
      <c r="H792" t="s">
        <v>3821</v>
      </c>
      <c r="I792">
        <v>2</v>
      </c>
      <c r="J792" t="s">
        <v>4404</v>
      </c>
      <c r="K792" t="s">
        <v>4405</v>
      </c>
      <c r="L792" t="s">
        <v>4406</v>
      </c>
      <c r="M792" t="s">
        <v>4407</v>
      </c>
      <c r="N792" t="s">
        <v>60</v>
      </c>
      <c r="O792" t="s">
        <v>34</v>
      </c>
      <c r="P792" s="3">
        <v>508500</v>
      </c>
      <c r="Q792" s="3">
        <v>508500</v>
      </c>
      <c r="R792">
        <v>0</v>
      </c>
      <c r="S792" s="3">
        <v>508500</v>
      </c>
      <c r="T792" t="s">
        <v>4408</v>
      </c>
      <c r="U792">
        <v>7932908</v>
      </c>
    </row>
    <row r="793" spans="1:21" x14ac:dyDescent="0.25">
      <c r="A793" s="9" t="s">
        <v>4401</v>
      </c>
      <c r="B793" s="10">
        <v>44049</v>
      </c>
      <c r="C793" s="1">
        <v>44048</v>
      </c>
      <c r="D793" t="s">
        <v>4402</v>
      </c>
      <c r="E793" s="11">
        <v>0.375</v>
      </c>
      <c r="F793" s="11">
        <v>0.375</v>
      </c>
      <c r="G793">
        <v>75884</v>
      </c>
      <c r="H793" t="s">
        <v>3821</v>
      </c>
      <c r="I793">
        <v>2</v>
      </c>
      <c r="J793" t="s">
        <v>4458</v>
      </c>
      <c r="K793" t="s">
        <v>4459</v>
      </c>
      <c r="L793" t="s">
        <v>4460</v>
      </c>
      <c r="M793" t="s">
        <v>4407</v>
      </c>
      <c r="N793" t="s">
        <v>60</v>
      </c>
      <c r="O793" t="s">
        <v>34</v>
      </c>
      <c r="P793" s="3">
        <v>508500</v>
      </c>
      <c r="Q793" s="3">
        <v>508500</v>
      </c>
      <c r="R793">
        <v>0</v>
      </c>
      <c r="S793" s="3">
        <v>508500</v>
      </c>
      <c r="T793" t="s">
        <v>4408</v>
      </c>
      <c r="U793">
        <v>7932908</v>
      </c>
    </row>
    <row r="794" spans="1:21" x14ac:dyDescent="0.25">
      <c r="A794" s="9" t="s">
        <v>4401</v>
      </c>
      <c r="B794" s="10">
        <v>44049</v>
      </c>
      <c r="C794" s="1">
        <v>44048</v>
      </c>
      <c r="D794" t="s">
        <v>4402</v>
      </c>
      <c r="E794" s="11">
        <v>0.375</v>
      </c>
      <c r="F794" s="11">
        <v>0.375</v>
      </c>
      <c r="G794">
        <v>75891</v>
      </c>
      <c r="H794" t="s">
        <v>3826</v>
      </c>
      <c r="I794" t="s">
        <v>367</v>
      </c>
      <c r="J794" t="s">
        <v>4458</v>
      </c>
      <c r="K794" t="s">
        <v>4459</v>
      </c>
      <c r="L794" t="s">
        <v>4460</v>
      </c>
      <c r="M794" t="s">
        <v>4407</v>
      </c>
      <c r="N794" t="s">
        <v>60</v>
      </c>
      <c r="O794" t="s">
        <v>34</v>
      </c>
      <c r="P794" s="3">
        <v>508500</v>
      </c>
      <c r="Q794" s="3">
        <v>508500</v>
      </c>
      <c r="R794" s="3">
        <v>73500</v>
      </c>
      <c r="S794" s="3">
        <v>435000</v>
      </c>
      <c r="T794" t="s">
        <v>4408</v>
      </c>
      <c r="U794">
        <v>7932908</v>
      </c>
    </row>
    <row r="795" spans="1:21" x14ac:dyDescent="0.25">
      <c r="A795" s="9" t="s">
        <v>4401</v>
      </c>
      <c r="B795" s="10">
        <v>44049</v>
      </c>
      <c r="C795" s="1">
        <v>44048</v>
      </c>
      <c r="D795" t="s">
        <v>4402</v>
      </c>
      <c r="E795" s="11">
        <v>0.375</v>
      </c>
      <c r="F795" s="11">
        <v>0.375</v>
      </c>
      <c r="G795">
        <v>75891</v>
      </c>
      <c r="H795" t="s">
        <v>3826</v>
      </c>
      <c r="I795" t="s">
        <v>367</v>
      </c>
      <c r="J795" t="s">
        <v>4404</v>
      </c>
      <c r="K795" t="s">
        <v>4405</v>
      </c>
      <c r="L795" t="s">
        <v>4406</v>
      </c>
      <c r="M795" t="s">
        <v>4407</v>
      </c>
      <c r="N795" t="s">
        <v>60</v>
      </c>
      <c r="O795" t="s">
        <v>34</v>
      </c>
      <c r="P795" s="3">
        <v>508500</v>
      </c>
      <c r="Q795" s="3">
        <v>508500</v>
      </c>
      <c r="R795">
        <v>0</v>
      </c>
      <c r="S795" s="3">
        <v>508500</v>
      </c>
      <c r="T795" t="s">
        <v>4408</v>
      </c>
      <c r="U795">
        <v>7932908</v>
      </c>
    </row>
    <row r="796" spans="1:21" x14ac:dyDescent="0.25">
      <c r="A796" s="9" t="s">
        <v>4401</v>
      </c>
      <c r="B796" s="10">
        <v>44049</v>
      </c>
      <c r="C796" s="1">
        <v>44048</v>
      </c>
      <c r="D796" t="s">
        <v>4402</v>
      </c>
      <c r="E796" s="11">
        <v>0.375</v>
      </c>
      <c r="F796" s="11">
        <v>0.375</v>
      </c>
      <c r="G796">
        <v>75897</v>
      </c>
      <c r="H796" t="s">
        <v>3831</v>
      </c>
      <c r="I796">
        <v>2</v>
      </c>
      <c r="J796" t="s">
        <v>4404</v>
      </c>
      <c r="K796" t="s">
        <v>4405</v>
      </c>
      <c r="L796" t="s">
        <v>4406</v>
      </c>
      <c r="M796" t="s">
        <v>4407</v>
      </c>
      <c r="N796" t="s">
        <v>60</v>
      </c>
      <c r="O796" t="s">
        <v>34</v>
      </c>
      <c r="P796" s="3">
        <v>70000</v>
      </c>
      <c r="Q796" s="3">
        <v>70000</v>
      </c>
      <c r="R796">
        <v>0</v>
      </c>
      <c r="S796" s="3">
        <v>70000</v>
      </c>
      <c r="T796" t="s">
        <v>4408</v>
      </c>
      <c r="U796">
        <v>7932908</v>
      </c>
    </row>
    <row r="797" spans="1:21" x14ac:dyDescent="0.25">
      <c r="A797" s="9" t="s">
        <v>4401</v>
      </c>
      <c r="B797" s="10">
        <v>44049</v>
      </c>
      <c r="C797" s="1">
        <v>44048</v>
      </c>
      <c r="D797" t="s">
        <v>4402</v>
      </c>
      <c r="E797" s="11">
        <v>0.375</v>
      </c>
      <c r="F797" s="11">
        <v>0.375</v>
      </c>
      <c r="G797">
        <v>75897</v>
      </c>
      <c r="H797" t="s">
        <v>3831</v>
      </c>
      <c r="I797">
        <v>2</v>
      </c>
      <c r="J797" t="s">
        <v>4458</v>
      </c>
      <c r="K797" t="s">
        <v>4459</v>
      </c>
      <c r="L797" t="s">
        <v>4460</v>
      </c>
      <c r="M797" t="s">
        <v>4407</v>
      </c>
      <c r="N797" t="s">
        <v>60</v>
      </c>
      <c r="O797" t="s">
        <v>34</v>
      </c>
      <c r="P797" s="3">
        <v>70000</v>
      </c>
      <c r="Q797" s="3">
        <v>70000</v>
      </c>
      <c r="R797">
        <v>0</v>
      </c>
      <c r="S797" s="3">
        <v>70000</v>
      </c>
      <c r="T797" t="s">
        <v>4408</v>
      </c>
      <c r="U797">
        <v>7932908</v>
      </c>
    </row>
    <row r="798" spans="1:21" x14ac:dyDescent="0.25">
      <c r="A798" s="9" t="s">
        <v>4401</v>
      </c>
      <c r="B798" s="10">
        <v>44049</v>
      </c>
      <c r="C798" s="1">
        <v>44048</v>
      </c>
      <c r="D798" t="s">
        <v>4402</v>
      </c>
      <c r="E798" s="11">
        <v>0.375</v>
      </c>
      <c r="F798" s="11">
        <v>0.375</v>
      </c>
      <c r="G798">
        <v>75917</v>
      </c>
      <c r="H798" t="s">
        <v>3835</v>
      </c>
      <c r="I798" t="s">
        <v>367</v>
      </c>
      <c r="J798" t="s">
        <v>4404</v>
      </c>
      <c r="K798" t="s">
        <v>4405</v>
      </c>
      <c r="L798" t="s">
        <v>4406</v>
      </c>
      <c r="M798" t="s">
        <v>4407</v>
      </c>
      <c r="N798" t="s">
        <v>60</v>
      </c>
      <c r="O798" t="s">
        <v>34</v>
      </c>
      <c r="P798" s="3">
        <v>396000</v>
      </c>
      <c r="Q798" s="3">
        <v>396000</v>
      </c>
      <c r="R798">
        <v>0</v>
      </c>
      <c r="S798" s="3">
        <v>396000</v>
      </c>
      <c r="T798" t="s">
        <v>4408</v>
      </c>
      <c r="U798">
        <v>7932908</v>
      </c>
    </row>
    <row r="799" spans="1:21" x14ac:dyDescent="0.25">
      <c r="A799" s="9" t="s">
        <v>4401</v>
      </c>
      <c r="B799" s="10">
        <v>44049</v>
      </c>
      <c r="C799" s="1">
        <v>44048</v>
      </c>
      <c r="D799" t="s">
        <v>4402</v>
      </c>
      <c r="E799" s="11">
        <v>0.375</v>
      </c>
      <c r="F799" s="11">
        <v>0.375</v>
      </c>
      <c r="G799">
        <v>75917</v>
      </c>
      <c r="H799" t="s">
        <v>3835</v>
      </c>
      <c r="I799" t="s">
        <v>367</v>
      </c>
      <c r="J799" t="s">
        <v>4458</v>
      </c>
      <c r="K799" t="s">
        <v>4459</v>
      </c>
      <c r="L799" t="s">
        <v>4460</v>
      </c>
      <c r="M799" t="s">
        <v>4407</v>
      </c>
      <c r="N799" t="s">
        <v>60</v>
      </c>
      <c r="O799" t="s">
        <v>34</v>
      </c>
      <c r="P799" s="3">
        <v>396000</v>
      </c>
      <c r="Q799" s="3">
        <v>396000</v>
      </c>
      <c r="R799" s="3">
        <v>82144</v>
      </c>
      <c r="S799" s="3">
        <v>313856</v>
      </c>
      <c r="T799" t="s">
        <v>4408</v>
      </c>
      <c r="U799">
        <v>7932908</v>
      </c>
    </row>
    <row r="800" spans="1:21" x14ac:dyDescent="0.25">
      <c r="A800" s="9" t="s">
        <v>4401</v>
      </c>
      <c r="B800" s="10">
        <v>44049</v>
      </c>
      <c r="C800" s="1">
        <v>44048</v>
      </c>
      <c r="D800" t="s">
        <v>4402</v>
      </c>
      <c r="E800" s="11">
        <v>0.375</v>
      </c>
      <c r="F800" s="11">
        <v>0.375</v>
      </c>
      <c r="G800">
        <v>75919</v>
      </c>
      <c r="H800" t="s">
        <v>3838</v>
      </c>
      <c r="I800">
        <v>3</v>
      </c>
      <c r="J800" t="s">
        <v>4458</v>
      </c>
      <c r="K800" t="s">
        <v>4459</v>
      </c>
      <c r="L800" t="s">
        <v>4460</v>
      </c>
      <c r="M800" t="s">
        <v>4407</v>
      </c>
      <c r="N800" t="s">
        <v>60</v>
      </c>
      <c r="O800" t="s">
        <v>34</v>
      </c>
      <c r="P800" s="3">
        <v>74422</v>
      </c>
      <c r="Q800" s="3">
        <v>74422</v>
      </c>
      <c r="R800">
        <v>0</v>
      </c>
      <c r="S800" s="3">
        <v>74422</v>
      </c>
      <c r="T800" t="s">
        <v>4408</v>
      </c>
      <c r="U800">
        <v>7932908</v>
      </c>
    </row>
    <row r="801" spans="1:21" x14ac:dyDescent="0.25">
      <c r="A801" s="9" t="s">
        <v>4401</v>
      </c>
      <c r="B801" s="10">
        <v>44049</v>
      </c>
      <c r="C801" s="1">
        <v>44048</v>
      </c>
      <c r="D801" t="s">
        <v>4402</v>
      </c>
      <c r="E801" s="11">
        <v>0.375</v>
      </c>
      <c r="F801" s="11">
        <v>0.375</v>
      </c>
      <c r="G801">
        <v>75919</v>
      </c>
      <c r="H801" t="s">
        <v>3838</v>
      </c>
      <c r="I801">
        <v>3</v>
      </c>
      <c r="J801" t="s">
        <v>4404</v>
      </c>
      <c r="K801" t="s">
        <v>4405</v>
      </c>
      <c r="L801" t="s">
        <v>4406</v>
      </c>
      <c r="M801" t="s">
        <v>4407</v>
      </c>
      <c r="N801" t="s">
        <v>60</v>
      </c>
      <c r="O801" t="s">
        <v>34</v>
      </c>
      <c r="P801" s="3">
        <v>74422</v>
      </c>
      <c r="Q801" s="3">
        <v>85487</v>
      </c>
      <c r="R801" s="3">
        <v>60685</v>
      </c>
      <c r="S801" s="3">
        <v>24802</v>
      </c>
      <c r="T801" t="s">
        <v>4408</v>
      </c>
      <c r="U801">
        <v>7932908</v>
      </c>
    </row>
    <row r="802" spans="1:21" x14ac:dyDescent="0.25">
      <c r="A802" s="9" t="s">
        <v>4401</v>
      </c>
      <c r="B802" s="10">
        <v>44049</v>
      </c>
      <c r="C802" s="1">
        <v>44048</v>
      </c>
      <c r="D802" t="s">
        <v>4402</v>
      </c>
      <c r="E802" s="11">
        <v>0.375</v>
      </c>
      <c r="F802" s="11">
        <v>0.375</v>
      </c>
      <c r="G802">
        <v>75931</v>
      </c>
      <c r="H802" t="s">
        <v>3843</v>
      </c>
      <c r="I802">
        <v>3</v>
      </c>
      <c r="J802" t="s">
        <v>5086</v>
      </c>
      <c r="K802" t="s">
        <v>5087</v>
      </c>
      <c r="L802" t="s">
        <v>5088</v>
      </c>
      <c r="M802" t="s">
        <v>4407</v>
      </c>
      <c r="N802" t="s">
        <v>60</v>
      </c>
      <c r="O802" t="s">
        <v>34</v>
      </c>
      <c r="P802" s="3">
        <v>884388</v>
      </c>
      <c r="Q802" s="3">
        <v>884388</v>
      </c>
      <c r="R802">
        <v>0</v>
      </c>
      <c r="S802" s="3">
        <v>884388</v>
      </c>
      <c r="T802" t="s">
        <v>4408</v>
      </c>
      <c r="U802">
        <v>7932908</v>
      </c>
    </row>
    <row r="803" spans="1:21" x14ac:dyDescent="0.25">
      <c r="A803" s="9" t="s">
        <v>4401</v>
      </c>
      <c r="B803" s="10">
        <v>44049</v>
      </c>
      <c r="C803" s="1">
        <v>44048</v>
      </c>
      <c r="D803" t="s">
        <v>4402</v>
      </c>
      <c r="E803" s="11">
        <v>0.375</v>
      </c>
      <c r="F803" s="11">
        <v>0.375</v>
      </c>
      <c r="G803">
        <v>75931</v>
      </c>
      <c r="H803" t="s">
        <v>3843</v>
      </c>
      <c r="I803">
        <v>3</v>
      </c>
      <c r="J803" t="s">
        <v>4605</v>
      </c>
      <c r="K803" t="s">
        <v>4606</v>
      </c>
      <c r="L803" t="s">
        <v>4607</v>
      </c>
      <c r="M803" t="s">
        <v>4407</v>
      </c>
      <c r="N803" t="s">
        <v>60</v>
      </c>
      <c r="O803" t="s">
        <v>34</v>
      </c>
      <c r="P803" s="3">
        <v>884388</v>
      </c>
      <c r="Q803" s="3">
        <v>884388</v>
      </c>
      <c r="R803" s="3">
        <v>183502</v>
      </c>
      <c r="S803" s="3">
        <v>700886</v>
      </c>
      <c r="T803" t="s">
        <v>4408</v>
      </c>
      <c r="U803">
        <v>7932908</v>
      </c>
    </row>
    <row r="804" spans="1:21" x14ac:dyDescent="0.25">
      <c r="A804" s="9" t="s">
        <v>4401</v>
      </c>
      <c r="B804" s="10">
        <v>44049</v>
      </c>
      <c r="C804" s="1">
        <v>44048</v>
      </c>
      <c r="D804" t="s">
        <v>4402</v>
      </c>
      <c r="E804" s="11">
        <v>0.375</v>
      </c>
      <c r="F804" s="11">
        <v>0.375</v>
      </c>
      <c r="G804">
        <v>75977</v>
      </c>
      <c r="H804" t="s">
        <v>3846</v>
      </c>
      <c r="I804">
        <v>3</v>
      </c>
      <c r="J804" t="s">
        <v>5086</v>
      </c>
      <c r="K804" t="s">
        <v>5087</v>
      </c>
      <c r="L804" t="s">
        <v>5088</v>
      </c>
      <c r="M804" t="s">
        <v>4407</v>
      </c>
      <c r="N804" t="s">
        <v>60</v>
      </c>
      <c r="O804" t="s">
        <v>34</v>
      </c>
      <c r="P804" s="3">
        <v>70999</v>
      </c>
      <c r="Q804" s="3">
        <v>70999</v>
      </c>
      <c r="R804">
        <v>0</v>
      </c>
      <c r="S804" s="3">
        <v>70999</v>
      </c>
      <c r="T804" t="s">
        <v>4408</v>
      </c>
      <c r="U804">
        <v>7932908</v>
      </c>
    </row>
    <row r="805" spans="1:21" x14ac:dyDescent="0.25">
      <c r="A805" s="9" t="s">
        <v>4401</v>
      </c>
      <c r="B805" s="10">
        <v>44049</v>
      </c>
      <c r="C805" s="1">
        <v>44048</v>
      </c>
      <c r="D805" t="s">
        <v>4402</v>
      </c>
      <c r="E805" s="11">
        <v>0.375</v>
      </c>
      <c r="F805" s="11">
        <v>0.375</v>
      </c>
      <c r="G805">
        <v>75977</v>
      </c>
      <c r="H805" t="s">
        <v>3846</v>
      </c>
      <c r="I805">
        <v>3</v>
      </c>
      <c r="J805" t="s">
        <v>4605</v>
      </c>
      <c r="K805" t="s">
        <v>4606</v>
      </c>
      <c r="L805" t="s">
        <v>4607</v>
      </c>
      <c r="M805" t="s">
        <v>4407</v>
      </c>
      <c r="N805" t="s">
        <v>60</v>
      </c>
      <c r="O805" t="s">
        <v>34</v>
      </c>
      <c r="P805" s="3">
        <v>73456</v>
      </c>
      <c r="Q805" s="3">
        <v>73456</v>
      </c>
      <c r="R805">
        <v>0</v>
      </c>
      <c r="S805" s="3">
        <v>73456</v>
      </c>
      <c r="T805" t="s">
        <v>4408</v>
      </c>
      <c r="U805">
        <v>7932908</v>
      </c>
    </row>
    <row r="806" spans="1:21" x14ac:dyDescent="0.25">
      <c r="A806" s="9" t="s">
        <v>4401</v>
      </c>
      <c r="B806" s="10">
        <v>44049</v>
      </c>
      <c r="C806" s="1">
        <v>44048</v>
      </c>
      <c r="D806" t="s">
        <v>4402</v>
      </c>
      <c r="E806" s="11">
        <v>0.375</v>
      </c>
      <c r="F806" s="11">
        <v>0.375</v>
      </c>
      <c r="G806">
        <v>76025</v>
      </c>
      <c r="H806" t="s">
        <v>5092</v>
      </c>
      <c r="I806">
        <v>1</v>
      </c>
      <c r="J806" t="s">
        <v>4458</v>
      </c>
      <c r="K806" t="s">
        <v>4459</v>
      </c>
      <c r="L806" t="s">
        <v>4460</v>
      </c>
      <c r="M806" t="s">
        <v>4407</v>
      </c>
      <c r="N806" t="s">
        <v>60</v>
      </c>
      <c r="O806" t="s">
        <v>34</v>
      </c>
      <c r="P806" s="3">
        <v>210772</v>
      </c>
      <c r="Q806" s="3">
        <v>210772</v>
      </c>
      <c r="R806">
        <v>0</v>
      </c>
      <c r="S806" s="3">
        <v>210772</v>
      </c>
      <c r="T806" t="s">
        <v>4408</v>
      </c>
      <c r="U806">
        <v>7932908</v>
      </c>
    </row>
    <row r="807" spans="1:21" x14ac:dyDescent="0.25">
      <c r="A807" s="9" t="s">
        <v>4401</v>
      </c>
      <c r="B807" s="10">
        <v>44049</v>
      </c>
      <c r="C807" s="1">
        <v>44048</v>
      </c>
      <c r="D807" t="s">
        <v>4402</v>
      </c>
      <c r="E807" s="11">
        <v>0.375</v>
      </c>
      <c r="F807" s="11">
        <v>0.375</v>
      </c>
      <c r="G807">
        <v>76087</v>
      </c>
      <c r="H807" t="s">
        <v>5093</v>
      </c>
      <c r="I807">
        <v>3</v>
      </c>
      <c r="J807" t="s">
        <v>4404</v>
      </c>
      <c r="K807" t="s">
        <v>4459</v>
      </c>
      <c r="L807" t="s">
        <v>4460</v>
      </c>
      <c r="M807" t="s">
        <v>4407</v>
      </c>
      <c r="N807" t="s">
        <v>60</v>
      </c>
      <c r="O807" t="s">
        <v>34</v>
      </c>
      <c r="P807" s="3">
        <v>280000</v>
      </c>
      <c r="Q807" s="3">
        <v>280000</v>
      </c>
      <c r="R807" s="3">
        <v>-2276</v>
      </c>
      <c r="S807" s="3">
        <v>280000</v>
      </c>
      <c r="T807" t="s">
        <v>4408</v>
      </c>
      <c r="U807">
        <v>7932908</v>
      </c>
    </row>
    <row r="808" spans="1:21" x14ac:dyDescent="0.25">
      <c r="A808" s="9" t="s">
        <v>4401</v>
      </c>
      <c r="B808" s="10">
        <v>44049</v>
      </c>
      <c r="C808" s="1">
        <v>44048</v>
      </c>
      <c r="D808" t="s">
        <v>4402</v>
      </c>
      <c r="E808" s="11">
        <v>0.375</v>
      </c>
      <c r="F808" s="11">
        <v>0.375</v>
      </c>
      <c r="G808">
        <v>76298</v>
      </c>
      <c r="H808" t="s">
        <v>5094</v>
      </c>
      <c r="I808">
        <v>1</v>
      </c>
      <c r="J808" t="s">
        <v>4458</v>
      </c>
      <c r="K808" t="s">
        <v>4459</v>
      </c>
      <c r="L808" t="s">
        <v>4460</v>
      </c>
      <c r="M808" t="s">
        <v>4407</v>
      </c>
      <c r="N808" t="s">
        <v>60</v>
      </c>
      <c r="O808" t="s">
        <v>34</v>
      </c>
      <c r="P808" s="3">
        <v>549003</v>
      </c>
      <c r="Q808" s="3">
        <v>549003</v>
      </c>
      <c r="R808">
        <v>0</v>
      </c>
      <c r="S808" s="3">
        <v>549003</v>
      </c>
      <c r="T808" t="s">
        <v>4408</v>
      </c>
      <c r="U808">
        <v>7932908</v>
      </c>
    </row>
    <row r="809" spans="1:21" x14ac:dyDescent="0.25">
      <c r="A809" s="9" t="s">
        <v>4401</v>
      </c>
      <c r="B809" s="10">
        <v>44049</v>
      </c>
      <c r="C809" s="1">
        <v>44048</v>
      </c>
      <c r="D809" t="s">
        <v>4402</v>
      </c>
      <c r="E809" s="11">
        <v>0.375</v>
      </c>
      <c r="F809" s="11">
        <v>0.375</v>
      </c>
      <c r="G809">
        <v>76580</v>
      </c>
      <c r="H809" t="s">
        <v>4673</v>
      </c>
      <c r="I809" t="s">
        <v>543</v>
      </c>
      <c r="J809" t="s">
        <v>4458</v>
      </c>
      <c r="K809" t="s">
        <v>4459</v>
      </c>
      <c r="L809" t="s">
        <v>4460</v>
      </c>
      <c r="M809" t="s">
        <v>4407</v>
      </c>
      <c r="N809" t="s">
        <v>60</v>
      </c>
      <c r="O809" t="s">
        <v>34</v>
      </c>
      <c r="P809" s="3">
        <v>97571</v>
      </c>
      <c r="Q809" s="3">
        <v>97571</v>
      </c>
      <c r="R809">
        <v>0</v>
      </c>
      <c r="S809" s="3">
        <v>97571</v>
      </c>
      <c r="T809" t="s">
        <v>4408</v>
      </c>
      <c r="U809">
        <v>7932908</v>
      </c>
    </row>
    <row r="810" spans="1:21" x14ac:dyDescent="0.25">
      <c r="A810" s="9" t="s">
        <v>4401</v>
      </c>
      <c r="B810" s="10">
        <v>44049</v>
      </c>
      <c r="C810" s="1">
        <v>44048</v>
      </c>
      <c r="D810" t="s">
        <v>4402</v>
      </c>
      <c r="E810" s="11">
        <v>0.375</v>
      </c>
      <c r="F810" s="11">
        <v>0.375</v>
      </c>
      <c r="G810">
        <v>76609</v>
      </c>
      <c r="H810" t="s">
        <v>5095</v>
      </c>
      <c r="I810" t="s">
        <v>543</v>
      </c>
      <c r="J810" t="s">
        <v>4458</v>
      </c>
      <c r="K810" t="s">
        <v>4459</v>
      </c>
      <c r="L810" t="s">
        <v>4460</v>
      </c>
      <c r="M810" t="s">
        <v>4407</v>
      </c>
      <c r="N810" t="s">
        <v>60</v>
      </c>
      <c r="O810" t="s">
        <v>34</v>
      </c>
      <c r="P810" s="3">
        <v>417875</v>
      </c>
      <c r="Q810" s="3">
        <v>417875</v>
      </c>
      <c r="R810">
        <v>0</v>
      </c>
      <c r="S810" s="3">
        <v>417875</v>
      </c>
      <c r="T810" t="s">
        <v>4408</v>
      </c>
      <c r="U810">
        <v>7932908</v>
      </c>
    </row>
    <row r="811" spans="1:21" x14ac:dyDescent="0.25">
      <c r="A811" s="9" t="s">
        <v>4401</v>
      </c>
      <c r="B811" s="10">
        <v>44049</v>
      </c>
      <c r="C811" s="1">
        <v>44048</v>
      </c>
      <c r="D811" t="s">
        <v>4402</v>
      </c>
      <c r="E811" s="11">
        <v>0.375</v>
      </c>
      <c r="F811" s="11">
        <v>0.375</v>
      </c>
      <c r="G811">
        <v>76671</v>
      </c>
      <c r="H811" t="s">
        <v>5096</v>
      </c>
      <c r="I811">
        <v>3</v>
      </c>
      <c r="J811" t="s">
        <v>4458</v>
      </c>
      <c r="K811" t="s">
        <v>4459</v>
      </c>
      <c r="L811" t="s">
        <v>4460</v>
      </c>
      <c r="M811" t="s">
        <v>4407</v>
      </c>
      <c r="N811" t="s">
        <v>60</v>
      </c>
      <c r="O811" t="s">
        <v>34</v>
      </c>
      <c r="P811" s="3">
        <v>76328</v>
      </c>
      <c r="Q811" s="3">
        <v>76328</v>
      </c>
      <c r="R811" s="3">
        <v>4470</v>
      </c>
      <c r="S811" s="3">
        <v>71858</v>
      </c>
      <c r="T811" t="s">
        <v>4408</v>
      </c>
      <c r="U811">
        <v>7932908</v>
      </c>
    </row>
    <row r="812" spans="1:21" x14ac:dyDescent="0.25">
      <c r="A812" s="9" t="s">
        <v>4401</v>
      </c>
      <c r="B812" s="10">
        <v>44049</v>
      </c>
      <c r="C812" s="1">
        <v>44048</v>
      </c>
      <c r="D812" t="s">
        <v>4402</v>
      </c>
      <c r="E812" s="11">
        <v>0.375</v>
      </c>
      <c r="F812" s="11">
        <v>0.375</v>
      </c>
      <c r="G812">
        <v>76840</v>
      </c>
      <c r="H812" t="s">
        <v>5097</v>
      </c>
      <c r="I812">
        <v>3</v>
      </c>
      <c r="J812" t="s">
        <v>4458</v>
      </c>
      <c r="K812" t="s">
        <v>4459</v>
      </c>
      <c r="L812" t="s">
        <v>4460</v>
      </c>
      <c r="M812" t="s">
        <v>4407</v>
      </c>
      <c r="N812" t="s">
        <v>60</v>
      </c>
      <c r="O812" t="s">
        <v>34</v>
      </c>
      <c r="P812" s="3">
        <v>1305276</v>
      </c>
      <c r="Q812" s="3">
        <v>1305276</v>
      </c>
      <c r="R812" s="3">
        <v>451614</v>
      </c>
      <c r="S812" s="3">
        <v>853662</v>
      </c>
      <c r="T812" t="s">
        <v>4408</v>
      </c>
      <c r="U812">
        <v>7932908</v>
      </c>
    </row>
    <row r="813" spans="1:21" x14ac:dyDescent="0.25">
      <c r="A813" s="9" t="s">
        <v>4401</v>
      </c>
      <c r="B813" s="10">
        <v>44049</v>
      </c>
      <c r="C813" s="1">
        <v>44048</v>
      </c>
      <c r="D813" t="s">
        <v>4402</v>
      </c>
      <c r="E813" s="11">
        <v>0.375</v>
      </c>
      <c r="F813" s="11">
        <v>0.375</v>
      </c>
      <c r="G813">
        <v>76890</v>
      </c>
      <c r="H813" t="s">
        <v>5098</v>
      </c>
      <c r="I813" t="s">
        <v>543</v>
      </c>
      <c r="J813" t="s">
        <v>4458</v>
      </c>
      <c r="K813" t="s">
        <v>4459</v>
      </c>
      <c r="L813" t="s">
        <v>4460</v>
      </c>
      <c r="M813" t="s">
        <v>4407</v>
      </c>
      <c r="N813" t="s">
        <v>60</v>
      </c>
      <c r="O813" t="s">
        <v>34</v>
      </c>
      <c r="P813" s="3">
        <v>65618</v>
      </c>
      <c r="Q813" s="3">
        <v>65618</v>
      </c>
      <c r="R813">
        <v>0</v>
      </c>
      <c r="S813" s="3">
        <v>65618</v>
      </c>
      <c r="T813" t="s">
        <v>4408</v>
      </c>
      <c r="U813">
        <v>7932908</v>
      </c>
    </row>
    <row r="814" spans="1:21" x14ac:dyDescent="0.25">
      <c r="A814" s="9" t="s">
        <v>4401</v>
      </c>
      <c r="B814" s="10">
        <v>44049</v>
      </c>
      <c r="C814" s="1">
        <v>44048</v>
      </c>
      <c r="D814" t="s">
        <v>4402</v>
      </c>
      <c r="E814" s="11">
        <v>0.375</v>
      </c>
      <c r="F814" s="11">
        <v>0.375</v>
      </c>
      <c r="G814">
        <v>76903</v>
      </c>
      <c r="H814" t="s">
        <v>5099</v>
      </c>
      <c r="I814">
        <v>2</v>
      </c>
      <c r="J814" t="s">
        <v>4404</v>
      </c>
      <c r="K814" t="s">
        <v>4405</v>
      </c>
      <c r="L814" t="s">
        <v>4406</v>
      </c>
      <c r="M814" t="s">
        <v>4407</v>
      </c>
      <c r="N814" t="s">
        <v>60</v>
      </c>
      <c r="O814" t="s">
        <v>34</v>
      </c>
      <c r="P814" s="3">
        <v>745736</v>
      </c>
      <c r="Q814" s="3">
        <v>769560</v>
      </c>
      <c r="R814" s="3">
        <v>84875</v>
      </c>
      <c r="S814" s="3">
        <v>684685</v>
      </c>
      <c r="T814" t="s">
        <v>4408</v>
      </c>
      <c r="U814">
        <v>7932908</v>
      </c>
    </row>
    <row r="815" spans="1:21" x14ac:dyDescent="0.25">
      <c r="A815" s="9" t="s">
        <v>4401</v>
      </c>
      <c r="B815" s="10">
        <v>44049</v>
      </c>
      <c r="C815" s="1">
        <v>44048</v>
      </c>
      <c r="D815" t="s">
        <v>4402</v>
      </c>
      <c r="E815" s="11">
        <v>0.375</v>
      </c>
      <c r="F815" s="11">
        <v>0.375</v>
      </c>
      <c r="G815">
        <v>76910</v>
      </c>
      <c r="H815" t="s">
        <v>5100</v>
      </c>
      <c r="I815">
        <v>2</v>
      </c>
      <c r="J815" t="s">
        <v>4458</v>
      </c>
      <c r="K815" t="s">
        <v>4459</v>
      </c>
      <c r="L815" t="s">
        <v>4460</v>
      </c>
      <c r="M815" t="s">
        <v>4407</v>
      </c>
      <c r="N815" t="s">
        <v>60</v>
      </c>
      <c r="O815" t="s">
        <v>34</v>
      </c>
      <c r="P815" s="3">
        <v>518897</v>
      </c>
      <c r="Q815" s="3">
        <v>518897</v>
      </c>
      <c r="R815">
        <v>0</v>
      </c>
      <c r="S815" s="3">
        <v>518897</v>
      </c>
      <c r="T815" t="s">
        <v>4408</v>
      </c>
      <c r="U815">
        <v>7932908</v>
      </c>
    </row>
    <row r="816" spans="1:21" x14ac:dyDescent="0.25">
      <c r="A816" s="9" t="s">
        <v>4401</v>
      </c>
      <c r="B816" s="10">
        <v>44049</v>
      </c>
      <c r="C816" s="1">
        <v>44048</v>
      </c>
      <c r="D816" t="s">
        <v>4402</v>
      </c>
      <c r="E816" s="11">
        <v>0.375</v>
      </c>
      <c r="F816" s="11">
        <v>0.375</v>
      </c>
      <c r="G816">
        <v>78201</v>
      </c>
      <c r="H816" t="s">
        <v>3910</v>
      </c>
      <c r="I816">
        <v>3</v>
      </c>
      <c r="J816" t="s">
        <v>4458</v>
      </c>
      <c r="K816" t="s">
        <v>4459</v>
      </c>
      <c r="L816" t="s">
        <v>4460</v>
      </c>
      <c r="M816" t="s">
        <v>4407</v>
      </c>
      <c r="N816" t="s">
        <v>60</v>
      </c>
      <c r="O816" t="s">
        <v>34</v>
      </c>
      <c r="P816" s="3">
        <v>734278</v>
      </c>
      <c r="Q816" s="3">
        <v>734278</v>
      </c>
      <c r="R816" s="3">
        <v>421932</v>
      </c>
      <c r="S816" s="3">
        <v>312346</v>
      </c>
      <c r="T816" t="s">
        <v>4408</v>
      </c>
      <c r="U816">
        <v>7932908</v>
      </c>
    </row>
    <row r="817" spans="1:21" x14ac:dyDescent="0.25">
      <c r="A817" s="9" t="s">
        <v>4401</v>
      </c>
      <c r="B817" s="10">
        <v>44049</v>
      </c>
      <c r="C817" s="1">
        <v>44048</v>
      </c>
      <c r="D817" t="s">
        <v>4402</v>
      </c>
      <c r="E817" s="11">
        <v>0.375</v>
      </c>
      <c r="F817" s="11">
        <v>0.375</v>
      </c>
      <c r="G817">
        <v>78214</v>
      </c>
      <c r="H817" t="s">
        <v>3916</v>
      </c>
      <c r="I817">
        <v>3</v>
      </c>
      <c r="J817" t="s">
        <v>4458</v>
      </c>
      <c r="K817" t="s">
        <v>4459</v>
      </c>
      <c r="L817" t="s">
        <v>4460</v>
      </c>
      <c r="M817" t="s">
        <v>4407</v>
      </c>
      <c r="N817" t="s">
        <v>60</v>
      </c>
      <c r="O817" t="s">
        <v>34</v>
      </c>
      <c r="P817" s="3">
        <v>734278</v>
      </c>
      <c r="Q817" s="3">
        <v>734278</v>
      </c>
      <c r="R817" s="3">
        <v>44156</v>
      </c>
      <c r="S817" s="3">
        <v>690122</v>
      </c>
      <c r="T817" t="s">
        <v>4408</v>
      </c>
      <c r="U817">
        <v>7932908</v>
      </c>
    </row>
    <row r="818" spans="1:21" x14ac:dyDescent="0.25">
      <c r="A818" s="9" t="s">
        <v>4401</v>
      </c>
      <c r="B818" s="10">
        <v>44049</v>
      </c>
      <c r="C818" s="1">
        <v>44048</v>
      </c>
      <c r="D818" t="s">
        <v>4402</v>
      </c>
      <c r="E818" s="11">
        <v>0.375</v>
      </c>
      <c r="F818" s="11">
        <v>0.375</v>
      </c>
      <c r="G818">
        <v>79037</v>
      </c>
      <c r="H818" t="s">
        <v>3929</v>
      </c>
      <c r="I818">
        <v>3</v>
      </c>
      <c r="J818" t="s">
        <v>4404</v>
      </c>
      <c r="K818" t="s">
        <v>4405</v>
      </c>
      <c r="L818" t="s">
        <v>4406</v>
      </c>
      <c r="M818" t="s">
        <v>4407</v>
      </c>
      <c r="N818" t="s">
        <v>60</v>
      </c>
      <c r="O818" t="s">
        <v>34</v>
      </c>
      <c r="P818" s="3">
        <v>2234333</v>
      </c>
      <c r="Q818" s="3">
        <v>2234333</v>
      </c>
      <c r="R818" s="3">
        <v>200842</v>
      </c>
      <c r="S818" s="3">
        <v>2033491</v>
      </c>
      <c r="T818" t="s">
        <v>4408</v>
      </c>
      <c r="U818">
        <v>7932908</v>
      </c>
    </row>
    <row r="819" spans="1:21" x14ac:dyDescent="0.25">
      <c r="A819" s="9" t="s">
        <v>4401</v>
      </c>
      <c r="B819" s="10">
        <v>44049</v>
      </c>
      <c r="C819" s="1">
        <v>44048</v>
      </c>
      <c r="D819" t="s">
        <v>4402</v>
      </c>
      <c r="E819" s="11">
        <v>0.375</v>
      </c>
      <c r="F819" s="11">
        <v>0.375</v>
      </c>
      <c r="G819">
        <v>79037</v>
      </c>
      <c r="H819" t="s">
        <v>3929</v>
      </c>
      <c r="I819">
        <v>3</v>
      </c>
      <c r="J819" t="s">
        <v>4458</v>
      </c>
      <c r="K819" t="s">
        <v>4459</v>
      </c>
      <c r="L819" t="s">
        <v>4460</v>
      </c>
      <c r="M819" t="s">
        <v>4407</v>
      </c>
      <c r="N819" t="s">
        <v>60</v>
      </c>
      <c r="O819" t="s">
        <v>34</v>
      </c>
      <c r="P819" s="3">
        <v>630855</v>
      </c>
      <c r="Q819" s="3">
        <v>630855</v>
      </c>
      <c r="R819" s="3">
        <v>200842</v>
      </c>
      <c r="S819" s="3">
        <v>430013</v>
      </c>
      <c r="T819" t="s">
        <v>4408</v>
      </c>
      <c r="U819">
        <v>7932908</v>
      </c>
    </row>
    <row r="820" spans="1:21" x14ac:dyDescent="0.25">
      <c r="A820" s="9" t="s">
        <v>4401</v>
      </c>
      <c r="B820" s="10">
        <v>44049</v>
      </c>
      <c r="C820" s="1">
        <v>44048</v>
      </c>
      <c r="D820" t="s">
        <v>4402</v>
      </c>
      <c r="E820" s="11">
        <v>0.375</v>
      </c>
      <c r="F820" s="11">
        <v>0.375</v>
      </c>
      <c r="G820">
        <v>79039</v>
      </c>
      <c r="H820" t="s">
        <v>3932</v>
      </c>
      <c r="I820">
        <v>2</v>
      </c>
      <c r="J820" t="s">
        <v>4458</v>
      </c>
      <c r="K820" t="s">
        <v>4459</v>
      </c>
      <c r="L820" t="s">
        <v>4460</v>
      </c>
      <c r="M820" t="s">
        <v>4407</v>
      </c>
      <c r="N820" t="s">
        <v>60</v>
      </c>
      <c r="O820" t="s">
        <v>34</v>
      </c>
      <c r="P820" s="3">
        <v>267304</v>
      </c>
      <c r="Q820" s="3">
        <v>267304</v>
      </c>
      <c r="R820" s="3">
        <v>113264</v>
      </c>
      <c r="S820" s="3">
        <v>154040</v>
      </c>
      <c r="T820" t="s">
        <v>4408</v>
      </c>
      <c r="U820">
        <v>7932908</v>
      </c>
    </row>
    <row r="821" spans="1:21" x14ac:dyDescent="0.25">
      <c r="A821" s="9" t="s">
        <v>4401</v>
      </c>
      <c r="B821" s="10">
        <v>44049</v>
      </c>
      <c r="C821" s="1">
        <v>44048</v>
      </c>
      <c r="D821" t="s">
        <v>4402</v>
      </c>
      <c r="E821" s="11">
        <v>0.375</v>
      </c>
      <c r="F821" s="11">
        <v>0.375</v>
      </c>
      <c r="G821">
        <v>79040</v>
      </c>
      <c r="H821" t="s">
        <v>3934</v>
      </c>
      <c r="I821">
        <v>2</v>
      </c>
      <c r="J821" t="s">
        <v>4458</v>
      </c>
      <c r="K821" t="s">
        <v>4459</v>
      </c>
      <c r="L821" t="s">
        <v>4460</v>
      </c>
      <c r="M821" t="s">
        <v>4407</v>
      </c>
      <c r="N821" t="s">
        <v>60</v>
      </c>
      <c r="O821" t="s">
        <v>34</v>
      </c>
      <c r="P821" s="3">
        <v>288920</v>
      </c>
      <c r="Q821" s="3">
        <v>288920</v>
      </c>
      <c r="R821" s="3">
        <v>59999</v>
      </c>
      <c r="S821" s="3">
        <v>228921</v>
      </c>
      <c r="T821" t="s">
        <v>4408</v>
      </c>
      <c r="U821">
        <v>7932908</v>
      </c>
    </row>
    <row r="822" spans="1:21" x14ac:dyDescent="0.25">
      <c r="A822" s="9" t="s">
        <v>4401</v>
      </c>
      <c r="B822" s="10">
        <v>44049</v>
      </c>
      <c r="C822" s="1">
        <v>44048</v>
      </c>
      <c r="D822" t="s">
        <v>4402</v>
      </c>
      <c r="E822" s="11">
        <v>0.375</v>
      </c>
      <c r="F822" s="11">
        <v>0.375</v>
      </c>
      <c r="G822">
        <v>79050</v>
      </c>
      <c r="H822" t="s">
        <v>3948</v>
      </c>
      <c r="I822">
        <v>2</v>
      </c>
      <c r="J822" t="s">
        <v>4458</v>
      </c>
      <c r="K822" t="s">
        <v>4459</v>
      </c>
      <c r="L822" t="s">
        <v>4460</v>
      </c>
      <c r="M822" t="s">
        <v>4407</v>
      </c>
      <c r="N822" t="s">
        <v>60</v>
      </c>
      <c r="O822" t="s">
        <v>34</v>
      </c>
      <c r="P822" s="3">
        <v>6335806</v>
      </c>
      <c r="Q822" s="3">
        <v>6335806</v>
      </c>
      <c r="R822" s="3">
        <v>183369</v>
      </c>
      <c r="S822" s="3">
        <v>6152437</v>
      </c>
      <c r="T822" t="s">
        <v>4408</v>
      </c>
      <c r="U822">
        <v>7932908</v>
      </c>
    </row>
    <row r="823" spans="1:21" x14ac:dyDescent="0.25">
      <c r="A823" s="9" t="s">
        <v>4401</v>
      </c>
      <c r="B823" s="10">
        <v>44049</v>
      </c>
      <c r="C823" s="1">
        <v>44048</v>
      </c>
      <c r="D823" t="s">
        <v>4402</v>
      </c>
      <c r="E823" s="11">
        <v>0.375</v>
      </c>
      <c r="F823" s="11">
        <v>0.375</v>
      </c>
      <c r="G823">
        <v>79051</v>
      </c>
      <c r="H823" t="s">
        <v>3951</v>
      </c>
      <c r="I823">
        <v>2</v>
      </c>
      <c r="J823" t="s">
        <v>4404</v>
      </c>
      <c r="K823" t="s">
        <v>4405</v>
      </c>
      <c r="L823" t="s">
        <v>4406</v>
      </c>
      <c r="M823" t="s">
        <v>4407</v>
      </c>
      <c r="N823" t="s">
        <v>60</v>
      </c>
      <c r="O823" t="s">
        <v>34</v>
      </c>
      <c r="P823" s="3">
        <v>550000</v>
      </c>
      <c r="Q823" s="3">
        <v>550000</v>
      </c>
      <c r="R823" s="3">
        <v>181200</v>
      </c>
      <c r="S823" s="3">
        <v>368800</v>
      </c>
      <c r="T823" t="s">
        <v>4408</v>
      </c>
      <c r="U823">
        <v>7932908</v>
      </c>
    </row>
    <row r="824" spans="1:21" x14ac:dyDescent="0.25">
      <c r="A824" s="9" t="s">
        <v>4401</v>
      </c>
      <c r="B824" s="10">
        <v>44049</v>
      </c>
      <c r="C824" s="1">
        <v>44048</v>
      </c>
      <c r="D824" t="s">
        <v>4402</v>
      </c>
      <c r="E824" s="11">
        <v>0.375</v>
      </c>
      <c r="F824" s="11">
        <v>0.375</v>
      </c>
      <c r="G824">
        <v>79108</v>
      </c>
      <c r="H824" t="s">
        <v>3957</v>
      </c>
      <c r="I824">
        <v>1</v>
      </c>
      <c r="J824" t="s">
        <v>4458</v>
      </c>
      <c r="K824" t="s">
        <v>4459</v>
      </c>
      <c r="L824" t="s">
        <v>4460</v>
      </c>
      <c r="M824" t="s">
        <v>4407</v>
      </c>
      <c r="N824" t="s">
        <v>60</v>
      </c>
      <c r="O824" t="s">
        <v>34</v>
      </c>
      <c r="P824" s="3">
        <v>228079</v>
      </c>
      <c r="Q824" s="3">
        <v>228079</v>
      </c>
      <c r="R824">
        <v>0</v>
      </c>
      <c r="S824" s="3">
        <v>228079</v>
      </c>
      <c r="T824" t="s">
        <v>4408</v>
      </c>
      <c r="U824">
        <v>7932908</v>
      </c>
    </row>
    <row r="825" spans="1:21" x14ac:dyDescent="0.25">
      <c r="A825" s="9" t="s">
        <v>4401</v>
      </c>
      <c r="B825" s="10">
        <v>44049</v>
      </c>
      <c r="C825" s="1">
        <v>44048</v>
      </c>
      <c r="D825" t="s">
        <v>4402</v>
      </c>
      <c r="E825" s="11">
        <v>0.375</v>
      </c>
      <c r="F825" s="11">
        <v>0.375</v>
      </c>
      <c r="G825">
        <v>79109</v>
      </c>
      <c r="H825" t="s">
        <v>3960</v>
      </c>
      <c r="I825">
        <v>1</v>
      </c>
      <c r="J825" t="s">
        <v>4404</v>
      </c>
      <c r="K825" t="s">
        <v>4405</v>
      </c>
      <c r="L825" t="s">
        <v>4406</v>
      </c>
      <c r="M825" t="s">
        <v>4407</v>
      </c>
      <c r="N825" t="s">
        <v>60</v>
      </c>
      <c r="O825" t="s">
        <v>34</v>
      </c>
      <c r="P825" s="3">
        <v>2167399</v>
      </c>
      <c r="Q825" s="3">
        <v>2167399</v>
      </c>
      <c r="R825">
        <v>0</v>
      </c>
      <c r="S825" s="3">
        <v>2167399</v>
      </c>
      <c r="T825" t="s">
        <v>4408</v>
      </c>
      <c r="U825">
        <v>7932908</v>
      </c>
    </row>
    <row r="826" spans="1:21" x14ac:dyDescent="0.25">
      <c r="A826" s="9" t="s">
        <v>4401</v>
      </c>
      <c r="B826" s="10">
        <v>44049</v>
      </c>
      <c r="C826" s="1">
        <v>44048</v>
      </c>
      <c r="D826" t="s">
        <v>4402</v>
      </c>
      <c r="E826" s="11">
        <v>0.375</v>
      </c>
      <c r="F826" s="11">
        <v>0.375</v>
      </c>
      <c r="G826">
        <v>79113</v>
      </c>
      <c r="H826" t="s">
        <v>3963</v>
      </c>
      <c r="I826">
        <v>2</v>
      </c>
      <c r="J826" t="s">
        <v>4458</v>
      </c>
      <c r="K826" t="s">
        <v>4459</v>
      </c>
      <c r="L826" t="s">
        <v>4460</v>
      </c>
      <c r="M826" t="s">
        <v>4407</v>
      </c>
      <c r="N826" t="s">
        <v>60</v>
      </c>
      <c r="O826" t="s">
        <v>34</v>
      </c>
      <c r="P826" s="3">
        <v>125000</v>
      </c>
      <c r="Q826" s="3">
        <v>125000</v>
      </c>
      <c r="R826">
        <v>0</v>
      </c>
      <c r="S826" s="3">
        <v>125000</v>
      </c>
      <c r="T826" t="s">
        <v>4408</v>
      </c>
      <c r="U826">
        <v>7932908</v>
      </c>
    </row>
    <row r="827" spans="1:21" x14ac:dyDescent="0.25">
      <c r="A827" s="9" t="s">
        <v>4401</v>
      </c>
      <c r="B827" s="10">
        <v>44049</v>
      </c>
      <c r="C827" s="1">
        <v>44048</v>
      </c>
      <c r="D827" t="s">
        <v>4402</v>
      </c>
      <c r="E827" s="11">
        <v>0.375</v>
      </c>
      <c r="F827" s="11">
        <v>0.375</v>
      </c>
      <c r="G827">
        <v>79114</v>
      </c>
      <c r="H827" t="s">
        <v>3965</v>
      </c>
      <c r="I827">
        <v>2</v>
      </c>
      <c r="J827" t="s">
        <v>4404</v>
      </c>
      <c r="K827" t="s">
        <v>4405</v>
      </c>
      <c r="L827" t="s">
        <v>4406</v>
      </c>
      <c r="M827" t="s">
        <v>4407</v>
      </c>
      <c r="N827" t="s">
        <v>60</v>
      </c>
      <c r="O827" t="s">
        <v>34</v>
      </c>
      <c r="P827" s="3">
        <v>2309088</v>
      </c>
      <c r="Q827" s="3">
        <v>2309088</v>
      </c>
      <c r="R827" s="3">
        <v>45519</v>
      </c>
      <c r="S827" s="3">
        <v>2263569</v>
      </c>
      <c r="T827" t="s">
        <v>4408</v>
      </c>
      <c r="U827">
        <v>7932908</v>
      </c>
    </row>
    <row r="828" spans="1:21" x14ac:dyDescent="0.25">
      <c r="A828" s="9" t="s">
        <v>4401</v>
      </c>
      <c r="B828" s="10">
        <v>44049</v>
      </c>
      <c r="C828" s="1">
        <v>44048</v>
      </c>
      <c r="D828" t="s">
        <v>4402</v>
      </c>
      <c r="E828" s="11">
        <v>0.375</v>
      </c>
      <c r="F828" s="11">
        <v>0.375</v>
      </c>
      <c r="G828">
        <v>79122</v>
      </c>
      <c r="H828" t="s">
        <v>3971</v>
      </c>
      <c r="I828">
        <v>3</v>
      </c>
      <c r="J828" t="s">
        <v>4458</v>
      </c>
      <c r="K828" t="s">
        <v>4459</v>
      </c>
      <c r="L828" t="s">
        <v>4460</v>
      </c>
      <c r="M828" t="s">
        <v>4407</v>
      </c>
      <c r="N828" t="s">
        <v>60</v>
      </c>
      <c r="O828" t="s">
        <v>34</v>
      </c>
      <c r="P828" s="3">
        <v>154000</v>
      </c>
      <c r="Q828" s="3">
        <v>154000</v>
      </c>
      <c r="R828">
        <v>0</v>
      </c>
      <c r="S828" s="3">
        <v>154000</v>
      </c>
      <c r="T828" t="s">
        <v>4408</v>
      </c>
      <c r="U828">
        <v>7932908</v>
      </c>
    </row>
    <row r="829" spans="1:21" x14ac:dyDescent="0.25">
      <c r="A829" s="9" t="s">
        <v>4401</v>
      </c>
      <c r="B829" s="10">
        <v>44049</v>
      </c>
      <c r="C829" s="1">
        <v>44048</v>
      </c>
      <c r="D829" t="s">
        <v>4402</v>
      </c>
      <c r="E829" s="11">
        <v>0.375</v>
      </c>
      <c r="F829" s="11">
        <v>0.375</v>
      </c>
      <c r="G829">
        <v>79123</v>
      </c>
      <c r="H829" t="s">
        <v>3973</v>
      </c>
      <c r="I829">
        <v>3</v>
      </c>
      <c r="J829" t="s">
        <v>4404</v>
      </c>
      <c r="K829" t="s">
        <v>4405</v>
      </c>
      <c r="L829" t="s">
        <v>4406</v>
      </c>
      <c r="M829" t="s">
        <v>4407</v>
      </c>
      <c r="N829" t="s">
        <v>60</v>
      </c>
      <c r="O829" t="s">
        <v>34</v>
      </c>
      <c r="P829" s="3">
        <v>2148747</v>
      </c>
      <c r="Q829" s="3">
        <v>2148747</v>
      </c>
      <c r="R829" s="3">
        <v>36390</v>
      </c>
      <c r="S829" s="3">
        <v>2112357</v>
      </c>
      <c r="T829" t="s">
        <v>4408</v>
      </c>
      <c r="U829">
        <v>7932908</v>
      </c>
    </row>
    <row r="830" spans="1:21" x14ac:dyDescent="0.25">
      <c r="A830" s="9" t="s">
        <v>4401</v>
      </c>
      <c r="B830" s="10">
        <v>44049</v>
      </c>
      <c r="C830" s="1">
        <v>44048</v>
      </c>
      <c r="D830" t="s">
        <v>4402</v>
      </c>
      <c r="E830" s="11">
        <v>0.375</v>
      </c>
      <c r="F830" s="11">
        <v>0.375</v>
      </c>
      <c r="G830">
        <v>79140</v>
      </c>
      <c r="H830" t="s">
        <v>3975</v>
      </c>
      <c r="I830">
        <v>2</v>
      </c>
      <c r="J830" t="s">
        <v>4404</v>
      </c>
      <c r="K830" t="s">
        <v>4405</v>
      </c>
      <c r="L830" t="s">
        <v>4406</v>
      </c>
      <c r="M830" t="s">
        <v>4407</v>
      </c>
      <c r="N830" t="s">
        <v>60</v>
      </c>
      <c r="O830" t="s">
        <v>34</v>
      </c>
      <c r="P830" s="3">
        <v>3822227</v>
      </c>
      <c r="Q830" s="3">
        <v>3822227</v>
      </c>
      <c r="R830" s="3">
        <v>113264</v>
      </c>
      <c r="S830" s="3">
        <v>3708963</v>
      </c>
      <c r="T830" t="s">
        <v>4408</v>
      </c>
      <c r="U830">
        <v>7932908</v>
      </c>
    </row>
    <row r="831" spans="1:21" x14ac:dyDescent="0.25">
      <c r="A831" s="9" t="s">
        <v>4401</v>
      </c>
      <c r="B831" s="10">
        <v>44049</v>
      </c>
      <c r="C831" s="1">
        <v>44048</v>
      </c>
      <c r="D831" t="s">
        <v>4402</v>
      </c>
      <c r="E831" s="11">
        <v>0.375</v>
      </c>
      <c r="F831" s="11">
        <v>0.375</v>
      </c>
      <c r="G831">
        <v>79141</v>
      </c>
      <c r="H831" t="s">
        <v>3977</v>
      </c>
      <c r="I831">
        <v>2</v>
      </c>
      <c r="J831" t="s">
        <v>4404</v>
      </c>
      <c r="K831" t="s">
        <v>4405</v>
      </c>
      <c r="L831" t="s">
        <v>4406</v>
      </c>
      <c r="M831" t="s">
        <v>4407</v>
      </c>
      <c r="N831" t="s">
        <v>60</v>
      </c>
      <c r="O831" t="s">
        <v>34</v>
      </c>
      <c r="P831" s="3">
        <v>2196333</v>
      </c>
      <c r="Q831" s="3">
        <v>2196333</v>
      </c>
      <c r="R831" s="3">
        <v>59999</v>
      </c>
      <c r="S831" s="3">
        <v>2136334</v>
      </c>
      <c r="T831" t="s">
        <v>4408</v>
      </c>
      <c r="U831">
        <v>7932908</v>
      </c>
    </row>
    <row r="832" spans="1:21" x14ac:dyDescent="0.25">
      <c r="A832" s="9" t="s">
        <v>4401</v>
      </c>
      <c r="B832" s="10">
        <v>44049</v>
      </c>
      <c r="C832" s="1">
        <v>44048</v>
      </c>
      <c r="D832" t="s">
        <v>4402</v>
      </c>
      <c r="E832" s="11">
        <v>0.375</v>
      </c>
      <c r="F832" s="11">
        <v>0.375</v>
      </c>
      <c r="G832">
        <v>79144</v>
      </c>
      <c r="H832" t="s">
        <v>3979</v>
      </c>
      <c r="I832">
        <v>3</v>
      </c>
      <c r="J832" t="s">
        <v>4458</v>
      </c>
      <c r="K832" t="s">
        <v>4459</v>
      </c>
      <c r="L832" t="s">
        <v>4460</v>
      </c>
      <c r="M832" t="s">
        <v>4407</v>
      </c>
      <c r="N832" t="s">
        <v>60</v>
      </c>
      <c r="O832" t="s">
        <v>34</v>
      </c>
      <c r="P832" s="3">
        <v>553203</v>
      </c>
      <c r="Q832" s="3">
        <v>553203</v>
      </c>
      <c r="R832" s="3">
        <v>95002</v>
      </c>
      <c r="S832" s="3">
        <v>458201</v>
      </c>
      <c r="T832" t="s">
        <v>4408</v>
      </c>
      <c r="U832">
        <v>7932908</v>
      </c>
    </row>
    <row r="833" spans="1:21" x14ac:dyDescent="0.25">
      <c r="A833" s="9" t="s">
        <v>4401</v>
      </c>
      <c r="B833" s="10">
        <v>44049</v>
      </c>
      <c r="C833" s="1">
        <v>44048</v>
      </c>
      <c r="D833" t="s">
        <v>4402</v>
      </c>
      <c r="E833" s="11">
        <v>0.375</v>
      </c>
      <c r="F833" s="11">
        <v>0.375</v>
      </c>
      <c r="G833">
        <v>79147</v>
      </c>
      <c r="H833" t="s">
        <v>3985</v>
      </c>
      <c r="I833">
        <v>3</v>
      </c>
      <c r="J833" t="s">
        <v>4458</v>
      </c>
      <c r="K833" t="s">
        <v>4459</v>
      </c>
      <c r="L833" t="s">
        <v>4460</v>
      </c>
      <c r="M833" t="s">
        <v>4407</v>
      </c>
      <c r="N833" t="s">
        <v>60</v>
      </c>
      <c r="O833" t="s">
        <v>34</v>
      </c>
      <c r="P833" s="3">
        <v>462105</v>
      </c>
      <c r="Q833" s="3">
        <v>462105</v>
      </c>
      <c r="R833">
        <v>0</v>
      </c>
      <c r="S833" s="3">
        <v>462105</v>
      </c>
      <c r="T833" t="s">
        <v>4408</v>
      </c>
      <c r="U833">
        <v>7932908</v>
      </c>
    </row>
    <row r="834" spans="1:21" x14ac:dyDescent="0.25">
      <c r="A834" s="9" t="s">
        <v>4401</v>
      </c>
      <c r="B834" s="10">
        <v>44049</v>
      </c>
      <c r="C834" s="1">
        <v>44048</v>
      </c>
      <c r="D834" t="s">
        <v>4402</v>
      </c>
      <c r="E834" s="11">
        <v>0.375</v>
      </c>
      <c r="F834" s="11">
        <v>0.375</v>
      </c>
      <c r="G834">
        <v>79152</v>
      </c>
      <c r="H834" t="s">
        <v>3993</v>
      </c>
      <c r="I834" t="s">
        <v>187</v>
      </c>
      <c r="J834" t="s">
        <v>4404</v>
      </c>
      <c r="K834" t="s">
        <v>4405</v>
      </c>
      <c r="L834" t="s">
        <v>4406</v>
      </c>
      <c r="M834" t="s">
        <v>4407</v>
      </c>
      <c r="N834" t="s">
        <v>60</v>
      </c>
      <c r="O834" t="s">
        <v>34</v>
      </c>
      <c r="P834" s="3">
        <v>229000</v>
      </c>
      <c r="Q834" s="3">
        <v>229000</v>
      </c>
      <c r="R834">
        <v>0</v>
      </c>
      <c r="S834" s="3">
        <v>229000</v>
      </c>
      <c r="T834" t="s">
        <v>4408</v>
      </c>
      <c r="U834">
        <v>7932908</v>
      </c>
    </row>
    <row r="835" spans="1:21" x14ac:dyDescent="0.25">
      <c r="A835" s="9" t="s">
        <v>4401</v>
      </c>
      <c r="B835" s="10">
        <v>44049</v>
      </c>
      <c r="C835" s="1">
        <v>44048</v>
      </c>
      <c r="D835" t="s">
        <v>4402</v>
      </c>
      <c r="E835" s="11">
        <v>0.375</v>
      </c>
      <c r="F835" s="11">
        <v>0.375</v>
      </c>
      <c r="G835">
        <v>79153</v>
      </c>
      <c r="H835" t="s">
        <v>3995</v>
      </c>
      <c r="I835" t="s">
        <v>187</v>
      </c>
      <c r="J835" t="s">
        <v>4458</v>
      </c>
      <c r="K835" t="s">
        <v>4459</v>
      </c>
      <c r="L835" t="s">
        <v>4460</v>
      </c>
      <c r="M835" t="s">
        <v>4407</v>
      </c>
      <c r="N835" t="s">
        <v>60</v>
      </c>
      <c r="O835" t="s">
        <v>34</v>
      </c>
      <c r="P835" s="3">
        <v>112000</v>
      </c>
      <c r="Q835" s="3">
        <v>112000</v>
      </c>
      <c r="R835">
        <v>0</v>
      </c>
      <c r="S835" s="3">
        <v>112000</v>
      </c>
      <c r="T835" t="s">
        <v>4408</v>
      </c>
      <c r="U835">
        <v>7932908</v>
      </c>
    </row>
    <row r="836" spans="1:21" x14ac:dyDescent="0.25">
      <c r="A836" s="9" t="s">
        <v>4401</v>
      </c>
      <c r="B836" s="10">
        <v>44049</v>
      </c>
      <c r="C836" s="1">
        <v>44048</v>
      </c>
      <c r="D836" t="s">
        <v>4402</v>
      </c>
      <c r="E836" s="11">
        <v>0.375</v>
      </c>
      <c r="F836" s="11">
        <v>0.375</v>
      </c>
      <c r="G836">
        <v>79660</v>
      </c>
      <c r="H836" t="s">
        <v>4138</v>
      </c>
      <c r="I836">
        <v>3</v>
      </c>
      <c r="J836" t="s">
        <v>4404</v>
      </c>
      <c r="K836" t="s">
        <v>4405</v>
      </c>
      <c r="L836" t="s">
        <v>4406</v>
      </c>
      <c r="M836" t="s">
        <v>4407</v>
      </c>
      <c r="N836" t="s">
        <v>60</v>
      </c>
      <c r="O836" t="s">
        <v>34</v>
      </c>
      <c r="P836" s="3">
        <v>1857746</v>
      </c>
      <c r="Q836" s="3">
        <v>1857746</v>
      </c>
      <c r="R836" s="3">
        <v>319087</v>
      </c>
      <c r="S836" s="3">
        <v>1538659</v>
      </c>
      <c r="T836" t="s">
        <v>4408</v>
      </c>
      <c r="U836">
        <v>7932908</v>
      </c>
    </row>
    <row r="837" spans="1:21" x14ac:dyDescent="0.25">
      <c r="A837" s="9" t="s">
        <v>4401</v>
      </c>
      <c r="B837" s="10">
        <v>44049</v>
      </c>
      <c r="C837" s="1">
        <v>44048</v>
      </c>
      <c r="D837" t="s">
        <v>4402</v>
      </c>
      <c r="E837" s="11">
        <v>0.375</v>
      </c>
      <c r="F837" s="11">
        <v>0.375</v>
      </c>
      <c r="G837">
        <v>79660</v>
      </c>
      <c r="H837" t="s">
        <v>4138</v>
      </c>
      <c r="I837">
        <v>3</v>
      </c>
      <c r="J837" t="s">
        <v>4458</v>
      </c>
      <c r="K837" t="s">
        <v>4459</v>
      </c>
      <c r="L837" t="s">
        <v>4460</v>
      </c>
      <c r="M837" t="s">
        <v>4407</v>
      </c>
      <c r="N837" t="s">
        <v>60</v>
      </c>
      <c r="O837" t="s">
        <v>34</v>
      </c>
      <c r="P837" s="3">
        <v>1857746</v>
      </c>
      <c r="Q837" s="3">
        <v>1857746</v>
      </c>
      <c r="R837" s="3">
        <v>135867</v>
      </c>
      <c r="S837" s="3">
        <v>1721879</v>
      </c>
      <c r="T837" t="s">
        <v>4408</v>
      </c>
      <c r="U837">
        <v>7932908</v>
      </c>
    </row>
    <row r="838" spans="1:21" x14ac:dyDescent="0.25">
      <c r="A838" s="9" t="s">
        <v>4401</v>
      </c>
      <c r="B838" s="10">
        <v>44049</v>
      </c>
      <c r="C838" s="1">
        <v>44048</v>
      </c>
      <c r="D838" t="s">
        <v>4402</v>
      </c>
      <c r="E838" s="11">
        <v>0.375</v>
      </c>
      <c r="F838" s="11">
        <v>0.375</v>
      </c>
      <c r="G838">
        <v>79662</v>
      </c>
      <c r="H838" t="s">
        <v>4143</v>
      </c>
      <c r="I838">
        <v>3</v>
      </c>
      <c r="J838" t="s">
        <v>4404</v>
      </c>
      <c r="K838" t="s">
        <v>4405</v>
      </c>
      <c r="L838" t="s">
        <v>4406</v>
      </c>
      <c r="M838" t="s">
        <v>4407</v>
      </c>
      <c r="N838" t="s">
        <v>60</v>
      </c>
      <c r="O838" t="s">
        <v>34</v>
      </c>
      <c r="P838" s="3">
        <v>2748719</v>
      </c>
      <c r="Q838" s="3">
        <v>2748719</v>
      </c>
      <c r="R838">
        <v>0</v>
      </c>
      <c r="S838" s="3">
        <v>2748719</v>
      </c>
      <c r="T838" t="s">
        <v>4408</v>
      </c>
      <c r="U838">
        <v>7932908</v>
      </c>
    </row>
    <row r="839" spans="1:21" x14ac:dyDescent="0.25">
      <c r="A839" s="9" t="s">
        <v>4401</v>
      </c>
      <c r="B839" s="10">
        <v>44049</v>
      </c>
      <c r="C839" s="1">
        <v>44048</v>
      </c>
      <c r="D839" t="s">
        <v>4402</v>
      </c>
      <c r="E839" s="11">
        <v>0.375</v>
      </c>
      <c r="F839" s="11">
        <v>0.375</v>
      </c>
      <c r="G839">
        <v>79668</v>
      </c>
      <c r="H839" t="s">
        <v>4157</v>
      </c>
      <c r="I839">
        <v>2</v>
      </c>
      <c r="J839" t="s">
        <v>4404</v>
      </c>
      <c r="K839" t="s">
        <v>4405</v>
      </c>
      <c r="L839" t="s">
        <v>4406</v>
      </c>
      <c r="M839" t="s">
        <v>4407</v>
      </c>
      <c r="N839" t="s">
        <v>60</v>
      </c>
      <c r="O839" t="s">
        <v>34</v>
      </c>
      <c r="P839" s="3">
        <v>716083</v>
      </c>
      <c r="Q839" s="3">
        <v>716083</v>
      </c>
      <c r="R839">
        <v>0</v>
      </c>
      <c r="S839" s="3">
        <v>716083</v>
      </c>
      <c r="T839" t="s">
        <v>4408</v>
      </c>
      <c r="U839">
        <v>7932908</v>
      </c>
    </row>
    <row r="840" spans="1:21" x14ac:dyDescent="0.25">
      <c r="A840" s="9" t="s">
        <v>4401</v>
      </c>
      <c r="B840" s="10">
        <v>44049</v>
      </c>
      <c r="C840" s="1">
        <v>44048</v>
      </c>
      <c r="D840" t="s">
        <v>4402</v>
      </c>
      <c r="E840" s="11">
        <v>0.375</v>
      </c>
      <c r="F840" s="11">
        <v>0.375</v>
      </c>
      <c r="G840">
        <v>79668</v>
      </c>
      <c r="H840" t="s">
        <v>4157</v>
      </c>
      <c r="I840">
        <v>2</v>
      </c>
      <c r="J840" t="s">
        <v>4458</v>
      </c>
      <c r="K840" t="s">
        <v>4459</v>
      </c>
      <c r="L840" t="s">
        <v>4460</v>
      </c>
      <c r="M840" t="s">
        <v>4407</v>
      </c>
      <c r="N840" t="s">
        <v>60</v>
      </c>
      <c r="O840" t="s">
        <v>34</v>
      </c>
      <c r="P840" s="3">
        <v>716083</v>
      </c>
      <c r="Q840" s="3">
        <v>716083</v>
      </c>
      <c r="R840">
        <v>0</v>
      </c>
      <c r="S840" s="3">
        <v>716083</v>
      </c>
      <c r="T840" t="s">
        <v>4408</v>
      </c>
      <c r="U840">
        <v>7932908</v>
      </c>
    </row>
    <row r="841" spans="1:21" x14ac:dyDescent="0.25">
      <c r="A841" s="9" t="s">
        <v>4401</v>
      </c>
      <c r="B841" s="10">
        <v>44049</v>
      </c>
      <c r="C841" s="1">
        <v>44048</v>
      </c>
      <c r="D841" t="s">
        <v>4402</v>
      </c>
      <c r="E841" s="11">
        <v>0.375</v>
      </c>
      <c r="F841" s="11">
        <v>0.375</v>
      </c>
      <c r="G841">
        <v>79669</v>
      </c>
      <c r="H841" t="s">
        <v>4160</v>
      </c>
      <c r="I841">
        <v>2</v>
      </c>
      <c r="J841" t="s">
        <v>4458</v>
      </c>
      <c r="K841" t="s">
        <v>4459</v>
      </c>
      <c r="L841" t="s">
        <v>4460</v>
      </c>
      <c r="M841" t="s">
        <v>4407</v>
      </c>
      <c r="N841" t="s">
        <v>60</v>
      </c>
      <c r="O841" t="s">
        <v>34</v>
      </c>
      <c r="P841" s="3">
        <v>716083</v>
      </c>
      <c r="Q841" s="3">
        <v>716083</v>
      </c>
      <c r="R841">
        <v>0</v>
      </c>
      <c r="S841" s="3">
        <v>716083</v>
      </c>
      <c r="T841" t="s">
        <v>4408</v>
      </c>
      <c r="U841">
        <v>7932908</v>
      </c>
    </row>
    <row r="842" spans="1:21" x14ac:dyDescent="0.25">
      <c r="A842" s="9" t="s">
        <v>4401</v>
      </c>
      <c r="B842" s="10">
        <v>44049</v>
      </c>
      <c r="C842" s="1">
        <v>44048</v>
      </c>
      <c r="D842" t="s">
        <v>4402</v>
      </c>
      <c r="E842" s="11">
        <v>0.375</v>
      </c>
      <c r="F842" s="11">
        <v>0.375</v>
      </c>
      <c r="G842">
        <v>79921</v>
      </c>
      <c r="H842" t="s">
        <v>4300</v>
      </c>
      <c r="I842">
        <v>2</v>
      </c>
      <c r="J842" t="s">
        <v>4404</v>
      </c>
      <c r="K842" t="s">
        <v>4405</v>
      </c>
      <c r="L842" t="s">
        <v>4406</v>
      </c>
      <c r="M842" t="s">
        <v>4407</v>
      </c>
      <c r="N842" t="s">
        <v>60</v>
      </c>
      <c r="O842" t="s">
        <v>34</v>
      </c>
      <c r="P842" s="3">
        <v>2846177</v>
      </c>
      <c r="Q842" s="3">
        <v>2846177</v>
      </c>
      <c r="R842">
        <v>0</v>
      </c>
      <c r="S842" s="3">
        <v>2846177</v>
      </c>
      <c r="T842" t="s">
        <v>4408</v>
      </c>
      <c r="U842">
        <v>7932908</v>
      </c>
    </row>
    <row r="843" spans="1:21" x14ac:dyDescent="0.25">
      <c r="A843" s="9" t="s">
        <v>4401</v>
      </c>
      <c r="B843" s="10">
        <v>44049</v>
      </c>
      <c r="C843" s="1">
        <v>44048</v>
      </c>
      <c r="D843" t="s">
        <v>4402</v>
      </c>
      <c r="E843" s="11">
        <v>0.375</v>
      </c>
      <c r="F843" s="11">
        <v>0.375</v>
      </c>
      <c r="G843">
        <v>79921</v>
      </c>
      <c r="H843" t="s">
        <v>4300</v>
      </c>
      <c r="I843">
        <v>2</v>
      </c>
      <c r="J843" t="s">
        <v>4458</v>
      </c>
      <c r="K843" t="s">
        <v>4459</v>
      </c>
      <c r="L843" t="s">
        <v>4460</v>
      </c>
      <c r="M843" t="s">
        <v>4407</v>
      </c>
      <c r="N843" t="s">
        <v>60</v>
      </c>
      <c r="O843" t="s">
        <v>34</v>
      </c>
      <c r="P843" s="3">
        <v>2846177</v>
      </c>
      <c r="Q843" s="3">
        <v>2846177</v>
      </c>
      <c r="R843">
        <v>0</v>
      </c>
      <c r="S843" s="3">
        <v>2846177</v>
      </c>
      <c r="T843" t="s">
        <v>4408</v>
      </c>
      <c r="U843">
        <v>7932908</v>
      </c>
    </row>
    <row r="844" spans="1:21" x14ac:dyDescent="0.25">
      <c r="A844" s="9" t="s">
        <v>4401</v>
      </c>
      <c r="B844" s="10">
        <v>44049</v>
      </c>
      <c r="C844" s="1">
        <v>44048</v>
      </c>
      <c r="D844" t="s">
        <v>4402</v>
      </c>
      <c r="E844" s="11">
        <v>0.375</v>
      </c>
      <c r="F844" s="11">
        <v>0.375</v>
      </c>
      <c r="G844">
        <v>79922</v>
      </c>
      <c r="H844" t="s">
        <v>4304</v>
      </c>
      <c r="I844">
        <v>3</v>
      </c>
      <c r="J844" t="s">
        <v>4404</v>
      </c>
      <c r="K844" t="s">
        <v>4405</v>
      </c>
      <c r="L844" t="s">
        <v>4406</v>
      </c>
      <c r="M844" t="s">
        <v>4407</v>
      </c>
      <c r="N844" t="s">
        <v>60</v>
      </c>
      <c r="O844" t="s">
        <v>34</v>
      </c>
      <c r="P844" s="3">
        <v>1338493</v>
      </c>
      <c r="Q844" s="3">
        <v>1338493</v>
      </c>
      <c r="R844" s="3">
        <v>148134</v>
      </c>
      <c r="S844" s="3">
        <v>1190359</v>
      </c>
      <c r="T844" t="s">
        <v>4408</v>
      </c>
      <c r="U844">
        <v>7932908</v>
      </c>
    </row>
    <row r="845" spans="1:21" x14ac:dyDescent="0.25">
      <c r="A845" s="9" t="s">
        <v>4401</v>
      </c>
      <c r="B845" s="10">
        <v>44049</v>
      </c>
      <c r="C845" s="1">
        <v>44048</v>
      </c>
      <c r="D845" t="s">
        <v>4402</v>
      </c>
      <c r="E845" s="11">
        <v>0.375</v>
      </c>
      <c r="F845" s="11">
        <v>0.375</v>
      </c>
      <c r="G845">
        <v>79923</v>
      </c>
      <c r="H845" t="s">
        <v>4307</v>
      </c>
      <c r="I845">
        <v>3</v>
      </c>
      <c r="J845" t="s">
        <v>4404</v>
      </c>
      <c r="K845" t="s">
        <v>4405</v>
      </c>
      <c r="L845" t="s">
        <v>4406</v>
      </c>
      <c r="M845" t="s">
        <v>4407</v>
      </c>
      <c r="N845" t="s">
        <v>60</v>
      </c>
      <c r="O845" t="s">
        <v>34</v>
      </c>
      <c r="P845" s="3">
        <v>2163497</v>
      </c>
      <c r="Q845" s="3">
        <v>2163497</v>
      </c>
      <c r="R845">
        <v>0</v>
      </c>
      <c r="S845" s="3">
        <v>2163497</v>
      </c>
      <c r="T845" t="s">
        <v>4408</v>
      </c>
      <c r="U845">
        <v>7932908</v>
      </c>
    </row>
    <row r="846" spans="1:21" x14ac:dyDescent="0.25">
      <c r="A846" s="9" t="s">
        <v>4401</v>
      </c>
      <c r="B846" s="10">
        <v>44049</v>
      </c>
      <c r="C846" s="1">
        <v>44048</v>
      </c>
      <c r="D846" t="s">
        <v>4402</v>
      </c>
      <c r="E846" s="11">
        <v>0.375</v>
      </c>
      <c r="F846" s="11">
        <v>0.375</v>
      </c>
      <c r="G846">
        <v>79923</v>
      </c>
      <c r="H846" t="s">
        <v>4307</v>
      </c>
      <c r="I846">
        <v>3</v>
      </c>
      <c r="J846" t="s">
        <v>4458</v>
      </c>
      <c r="K846" t="s">
        <v>4459</v>
      </c>
      <c r="L846" t="s">
        <v>4460</v>
      </c>
      <c r="M846" t="s">
        <v>4407</v>
      </c>
      <c r="N846" t="s">
        <v>60</v>
      </c>
      <c r="O846" t="s">
        <v>34</v>
      </c>
      <c r="P846" s="3">
        <v>2163497</v>
      </c>
      <c r="Q846" s="3">
        <v>2163497</v>
      </c>
      <c r="R846" s="3">
        <v>13969</v>
      </c>
      <c r="S846" s="3">
        <v>2149528</v>
      </c>
      <c r="T846" t="s">
        <v>4408</v>
      </c>
      <c r="U846">
        <v>7932908</v>
      </c>
    </row>
    <row r="847" spans="1:21" x14ac:dyDescent="0.25">
      <c r="A847" s="9" t="s">
        <v>4401</v>
      </c>
      <c r="B847" s="10">
        <v>44049</v>
      </c>
      <c r="C847" s="1">
        <v>44048</v>
      </c>
      <c r="D847" t="s">
        <v>4402</v>
      </c>
      <c r="E847" s="11">
        <v>0.375</v>
      </c>
      <c r="F847" s="11">
        <v>0.375</v>
      </c>
      <c r="G847">
        <v>79941</v>
      </c>
      <c r="H847" t="s">
        <v>4311</v>
      </c>
      <c r="I847">
        <v>2</v>
      </c>
      <c r="J847" t="s">
        <v>4458</v>
      </c>
      <c r="K847" t="s">
        <v>4459</v>
      </c>
      <c r="L847" t="s">
        <v>4460</v>
      </c>
      <c r="M847" t="s">
        <v>4407</v>
      </c>
      <c r="N847" t="s">
        <v>60</v>
      </c>
      <c r="O847" t="s">
        <v>34</v>
      </c>
      <c r="P847" s="3">
        <v>407083</v>
      </c>
      <c r="Q847" s="3">
        <v>407083</v>
      </c>
      <c r="R847">
        <v>138</v>
      </c>
      <c r="S847" s="3">
        <v>406945</v>
      </c>
      <c r="T847" t="s">
        <v>4408</v>
      </c>
      <c r="U847">
        <v>7932908</v>
      </c>
    </row>
    <row r="848" spans="1:21" x14ac:dyDescent="0.25">
      <c r="A848" s="9" t="s">
        <v>4401</v>
      </c>
      <c r="B848" s="10">
        <v>44049</v>
      </c>
      <c r="C848" s="1">
        <v>44048</v>
      </c>
      <c r="D848" t="s">
        <v>4402</v>
      </c>
      <c r="E848" s="11">
        <v>0.375</v>
      </c>
      <c r="F848" s="11">
        <v>0.375</v>
      </c>
      <c r="G848">
        <v>79951</v>
      </c>
      <c r="H848" t="s">
        <v>4326</v>
      </c>
      <c r="I848">
        <v>2</v>
      </c>
      <c r="J848" t="s">
        <v>4404</v>
      </c>
      <c r="K848" t="s">
        <v>4405</v>
      </c>
      <c r="L848" t="s">
        <v>4406</v>
      </c>
      <c r="M848" t="s">
        <v>4407</v>
      </c>
      <c r="N848" t="s">
        <v>60</v>
      </c>
      <c r="O848" t="s">
        <v>34</v>
      </c>
      <c r="P848" s="3">
        <v>425000</v>
      </c>
      <c r="Q848" s="3">
        <v>425000</v>
      </c>
      <c r="R848" s="3">
        <v>44575</v>
      </c>
      <c r="S848" s="3">
        <v>380425</v>
      </c>
      <c r="T848" t="s">
        <v>4408</v>
      </c>
      <c r="U848">
        <v>7932908</v>
      </c>
    </row>
    <row r="849" spans="1:21" x14ac:dyDescent="0.25">
      <c r="A849" s="9" t="s">
        <v>4401</v>
      </c>
      <c r="B849" s="10">
        <v>44049</v>
      </c>
      <c r="C849" s="1">
        <v>44048</v>
      </c>
      <c r="D849" t="s">
        <v>4402</v>
      </c>
      <c r="E849" s="11">
        <v>0.375</v>
      </c>
      <c r="F849" s="11">
        <v>0.375</v>
      </c>
      <c r="G849">
        <v>79951</v>
      </c>
      <c r="H849" t="s">
        <v>4326</v>
      </c>
      <c r="I849">
        <v>2</v>
      </c>
      <c r="J849" t="s">
        <v>4458</v>
      </c>
      <c r="K849" t="s">
        <v>4459</v>
      </c>
      <c r="L849" t="s">
        <v>4460</v>
      </c>
      <c r="M849" t="s">
        <v>4407</v>
      </c>
      <c r="N849" t="s">
        <v>60</v>
      </c>
      <c r="O849" t="s">
        <v>34</v>
      </c>
      <c r="P849" s="3">
        <v>811511</v>
      </c>
      <c r="Q849" s="3">
        <v>811511</v>
      </c>
      <c r="R849" s="3">
        <v>1344</v>
      </c>
      <c r="S849" s="3">
        <v>810167</v>
      </c>
      <c r="T849" t="s">
        <v>4408</v>
      </c>
      <c r="U849">
        <v>7932908</v>
      </c>
    </row>
    <row r="850" spans="1:21" x14ac:dyDescent="0.25">
      <c r="A850" s="9" t="s">
        <v>4401</v>
      </c>
      <c r="B850" s="10">
        <v>44049</v>
      </c>
      <c r="C850" s="1">
        <v>44048</v>
      </c>
      <c r="D850" t="s">
        <v>4402</v>
      </c>
      <c r="E850" s="11">
        <v>0.375</v>
      </c>
      <c r="F850" s="11">
        <v>0.375</v>
      </c>
      <c r="G850">
        <v>79954</v>
      </c>
      <c r="H850" t="s">
        <v>4329</v>
      </c>
      <c r="I850">
        <v>3</v>
      </c>
      <c r="J850" t="s">
        <v>4404</v>
      </c>
      <c r="K850" t="s">
        <v>4405</v>
      </c>
      <c r="L850" t="s">
        <v>4406</v>
      </c>
      <c r="M850" t="s">
        <v>4407</v>
      </c>
      <c r="N850" t="s">
        <v>60</v>
      </c>
      <c r="O850" t="s">
        <v>34</v>
      </c>
      <c r="P850" s="3">
        <v>2988499</v>
      </c>
      <c r="Q850" s="3">
        <v>2988499</v>
      </c>
      <c r="R850">
        <v>0</v>
      </c>
      <c r="S850" s="3">
        <v>2988499</v>
      </c>
      <c r="T850" t="s">
        <v>4408</v>
      </c>
      <c r="U850">
        <v>7932908</v>
      </c>
    </row>
    <row r="851" spans="1:21" x14ac:dyDescent="0.25">
      <c r="A851" s="9" t="s">
        <v>4401</v>
      </c>
      <c r="B851" s="10">
        <v>44049</v>
      </c>
      <c r="C851" s="1">
        <v>44048</v>
      </c>
      <c r="D851" t="s">
        <v>4402</v>
      </c>
      <c r="E851" s="11">
        <v>0.375</v>
      </c>
      <c r="F851" s="11">
        <v>0.375</v>
      </c>
      <c r="G851">
        <v>79961</v>
      </c>
      <c r="H851" t="s">
        <v>4338</v>
      </c>
      <c r="I851" t="s">
        <v>367</v>
      </c>
      <c r="J851" t="s">
        <v>4458</v>
      </c>
      <c r="K851" t="s">
        <v>4459</v>
      </c>
      <c r="L851" t="s">
        <v>4460</v>
      </c>
      <c r="M851" t="s">
        <v>4407</v>
      </c>
      <c r="N851" t="s">
        <v>60</v>
      </c>
      <c r="O851" t="s">
        <v>34</v>
      </c>
      <c r="P851" s="3">
        <v>360000</v>
      </c>
      <c r="Q851" s="3">
        <v>360000</v>
      </c>
      <c r="R851" s="3">
        <v>103255</v>
      </c>
      <c r="S851" s="3">
        <v>256745</v>
      </c>
      <c r="T851" t="s">
        <v>4408</v>
      </c>
      <c r="U851">
        <v>7932908</v>
      </c>
    </row>
    <row r="852" spans="1:21" x14ac:dyDescent="0.25">
      <c r="A852" s="9" t="s">
        <v>4401</v>
      </c>
      <c r="B852" s="10">
        <v>44049</v>
      </c>
      <c r="C852" s="1">
        <v>44048</v>
      </c>
      <c r="D852" t="s">
        <v>4402</v>
      </c>
      <c r="E852" s="11">
        <v>0.375</v>
      </c>
      <c r="F852" s="11">
        <v>0.375</v>
      </c>
      <c r="G852">
        <v>79962</v>
      </c>
      <c r="H852" t="s">
        <v>4340</v>
      </c>
      <c r="I852" t="s">
        <v>367</v>
      </c>
      <c r="J852" t="s">
        <v>4404</v>
      </c>
      <c r="K852" t="s">
        <v>4405</v>
      </c>
      <c r="L852" t="s">
        <v>4406</v>
      </c>
      <c r="M852" t="s">
        <v>4407</v>
      </c>
      <c r="N852" t="s">
        <v>60</v>
      </c>
      <c r="O852" t="s">
        <v>34</v>
      </c>
      <c r="P852" s="3">
        <v>496505</v>
      </c>
      <c r="Q852" s="3">
        <v>496505</v>
      </c>
      <c r="R852" s="3">
        <v>103255</v>
      </c>
      <c r="S852" s="3">
        <v>393250</v>
      </c>
      <c r="T852" t="s">
        <v>4408</v>
      </c>
      <c r="U852">
        <v>7932908</v>
      </c>
    </row>
    <row r="853" spans="1:21" x14ac:dyDescent="0.25">
      <c r="A853" s="9" t="s">
        <v>4401</v>
      </c>
      <c r="B853" s="10">
        <v>44049</v>
      </c>
      <c r="C853" s="1">
        <v>44048</v>
      </c>
      <c r="D853" t="s">
        <v>4402</v>
      </c>
      <c r="E853" s="11">
        <v>0.375</v>
      </c>
      <c r="F853" s="11">
        <v>0.375</v>
      </c>
      <c r="G853">
        <v>79965</v>
      </c>
      <c r="H853" t="s">
        <v>4342</v>
      </c>
      <c r="I853">
        <v>3</v>
      </c>
      <c r="J853" t="s">
        <v>4458</v>
      </c>
      <c r="K853" t="s">
        <v>4459</v>
      </c>
      <c r="L853" t="s">
        <v>4460</v>
      </c>
      <c r="M853" t="s">
        <v>4407</v>
      </c>
      <c r="N853" t="s">
        <v>34</v>
      </c>
      <c r="O853" t="s">
        <v>34</v>
      </c>
      <c r="P853" s="3">
        <v>864000</v>
      </c>
      <c r="Q853" s="3">
        <v>864000</v>
      </c>
      <c r="R853" s="3">
        <v>183233</v>
      </c>
      <c r="S853" s="3">
        <v>680767</v>
      </c>
      <c r="T853" t="s">
        <v>4408</v>
      </c>
      <c r="U853">
        <v>7932908</v>
      </c>
    </row>
    <row r="854" spans="1:21" x14ac:dyDescent="0.25">
      <c r="A854" s="9" t="s">
        <v>4401</v>
      </c>
      <c r="B854" s="10">
        <v>44049</v>
      </c>
      <c r="C854" s="1">
        <v>44048</v>
      </c>
      <c r="D854" t="s">
        <v>4402</v>
      </c>
      <c r="E854" s="11">
        <v>0.375</v>
      </c>
      <c r="F854" s="11">
        <v>0.375</v>
      </c>
      <c r="G854">
        <v>79968</v>
      </c>
      <c r="H854" t="s">
        <v>4347</v>
      </c>
      <c r="I854" t="s">
        <v>543</v>
      </c>
      <c r="J854" t="s">
        <v>4404</v>
      </c>
      <c r="K854" t="s">
        <v>4405</v>
      </c>
      <c r="L854" t="s">
        <v>4406</v>
      </c>
      <c r="M854" t="s">
        <v>4407</v>
      </c>
      <c r="N854" t="s">
        <v>60</v>
      </c>
      <c r="O854" t="s">
        <v>34</v>
      </c>
      <c r="P854" s="3">
        <v>1355000</v>
      </c>
      <c r="Q854" s="3">
        <v>1355000</v>
      </c>
      <c r="R854" s="3">
        <v>148063</v>
      </c>
      <c r="S854" s="3">
        <v>1206937</v>
      </c>
      <c r="T854" t="s">
        <v>4408</v>
      </c>
      <c r="U854">
        <v>7932908</v>
      </c>
    </row>
    <row r="855" spans="1:21" x14ac:dyDescent="0.25">
      <c r="A855" s="9" t="s">
        <v>4401</v>
      </c>
      <c r="B855" s="10">
        <v>44049</v>
      </c>
      <c r="C855" s="1">
        <v>44048</v>
      </c>
      <c r="D855" t="s">
        <v>4402</v>
      </c>
      <c r="E855" s="11">
        <v>0.375</v>
      </c>
      <c r="F855" s="11">
        <v>0.375</v>
      </c>
      <c r="G855">
        <v>79968</v>
      </c>
      <c r="H855" t="s">
        <v>4347</v>
      </c>
      <c r="I855" t="s">
        <v>543</v>
      </c>
      <c r="J855" t="s">
        <v>4458</v>
      </c>
      <c r="K855" t="s">
        <v>4459</v>
      </c>
      <c r="L855" t="s">
        <v>4460</v>
      </c>
      <c r="M855" t="s">
        <v>4407</v>
      </c>
      <c r="N855" t="s">
        <v>60</v>
      </c>
      <c r="O855" t="s">
        <v>34</v>
      </c>
      <c r="P855" s="3">
        <v>1355000</v>
      </c>
      <c r="Q855" s="3">
        <v>1355000</v>
      </c>
      <c r="R855" s="3">
        <v>148063</v>
      </c>
      <c r="S855" s="3">
        <v>1206937</v>
      </c>
      <c r="T855" t="s">
        <v>4408</v>
      </c>
      <c r="U855">
        <v>7932908</v>
      </c>
    </row>
    <row r="856" spans="1:21" x14ac:dyDescent="0.25">
      <c r="A856" s="9" t="s">
        <v>4401</v>
      </c>
      <c r="B856" s="10">
        <v>44049</v>
      </c>
      <c r="C856" s="1">
        <v>44048</v>
      </c>
      <c r="D856" t="s">
        <v>4402</v>
      </c>
      <c r="E856" s="11">
        <v>0.375</v>
      </c>
      <c r="F856" s="11">
        <v>0.375</v>
      </c>
      <c r="G856">
        <v>79970</v>
      </c>
      <c r="H856" t="s">
        <v>4350</v>
      </c>
      <c r="I856">
        <v>3</v>
      </c>
      <c r="J856" t="s">
        <v>4404</v>
      </c>
      <c r="K856" t="s">
        <v>4405</v>
      </c>
      <c r="L856" t="s">
        <v>4406</v>
      </c>
      <c r="M856" t="s">
        <v>4407</v>
      </c>
      <c r="N856" t="s">
        <v>60</v>
      </c>
      <c r="O856" t="s">
        <v>34</v>
      </c>
      <c r="P856" s="3">
        <v>1551263</v>
      </c>
      <c r="Q856" s="3">
        <v>1551263</v>
      </c>
      <c r="R856" s="3">
        <v>3930</v>
      </c>
      <c r="S856" s="3">
        <v>1547333</v>
      </c>
      <c r="T856" t="s">
        <v>4408</v>
      </c>
      <c r="U856">
        <v>7932908</v>
      </c>
    </row>
    <row r="857" spans="1:21" x14ac:dyDescent="0.25">
      <c r="A857" s="9" t="s">
        <v>4401</v>
      </c>
      <c r="B857" s="10">
        <v>44049</v>
      </c>
      <c r="C857" s="1">
        <v>44048</v>
      </c>
      <c r="D857" t="s">
        <v>4402</v>
      </c>
      <c r="E857" s="11">
        <v>0.375</v>
      </c>
      <c r="F857" s="11">
        <v>0.375</v>
      </c>
      <c r="G857">
        <v>79971</v>
      </c>
      <c r="H857" t="s">
        <v>4352</v>
      </c>
      <c r="I857">
        <v>3</v>
      </c>
      <c r="J857" t="s">
        <v>4458</v>
      </c>
      <c r="K857" t="s">
        <v>4459</v>
      </c>
      <c r="L857" t="s">
        <v>4460</v>
      </c>
      <c r="M857" t="s">
        <v>4407</v>
      </c>
      <c r="N857" t="s">
        <v>60</v>
      </c>
      <c r="O857" t="s">
        <v>34</v>
      </c>
      <c r="P857" s="3">
        <v>800000</v>
      </c>
      <c r="Q857" s="3">
        <v>800000</v>
      </c>
      <c r="R857" s="3">
        <v>3930</v>
      </c>
      <c r="S857" s="3">
        <v>796070</v>
      </c>
      <c r="T857" t="s">
        <v>4408</v>
      </c>
      <c r="U857">
        <v>7932908</v>
      </c>
    </row>
    <row r="858" spans="1:21" x14ac:dyDescent="0.25">
      <c r="A858" s="9" t="s">
        <v>4401</v>
      </c>
      <c r="B858" s="10">
        <v>44049</v>
      </c>
      <c r="C858" s="1">
        <v>44048</v>
      </c>
      <c r="D858" t="s">
        <v>4402</v>
      </c>
      <c r="E858" s="11">
        <v>0.375</v>
      </c>
      <c r="F858" s="11">
        <v>0.375</v>
      </c>
      <c r="G858">
        <v>79974</v>
      </c>
      <c r="H858" t="s">
        <v>4354</v>
      </c>
      <c r="I858">
        <v>1</v>
      </c>
      <c r="J858" t="s">
        <v>4404</v>
      </c>
      <c r="K858" t="s">
        <v>4405</v>
      </c>
      <c r="L858" t="s">
        <v>4406</v>
      </c>
      <c r="M858" t="s">
        <v>4407</v>
      </c>
      <c r="N858" t="s">
        <v>60</v>
      </c>
      <c r="O858" t="s">
        <v>34</v>
      </c>
      <c r="P858" s="3">
        <v>1355000</v>
      </c>
      <c r="Q858" s="3">
        <v>1355000</v>
      </c>
      <c r="R858">
        <v>0</v>
      </c>
      <c r="S858" s="3">
        <v>1355000</v>
      </c>
      <c r="T858" t="s">
        <v>4408</v>
      </c>
      <c r="U858">
        <v>7932908</v>
      </c>
    </row>
    <row r="859" spans="1:21" x14ac:dyDescent="0.25">
      <c r="A859" s="9" t="s">
        <v>4401</v>
      </c>
      <c r="B859" s="10">
        <v>44049</v>
      </c>
      <c r="C859" s="1">
        <v>44048</v>
      </c>
      <c r="D859" t="s">
        <v>4402</v>
      </c>
      <c r="E859" s="11">
        <v>0.375</v>
      </c>
      <c r="F859" s="11">
        <v>0.375</v>
      </c>
      <c r="G859">
        <v>79974</v>
      </c>
      <c r="H859" t="s">
        <v>4354</v>
      </c>
      <c r="I859">
        <v>1</v>
      </c>
      <c r="J859" t="s">
        <v>4458</v>
      </c>
      <c r="K859" t="s">
        <v>4459</v>
      </c>
      <c r="L859" t="s">
        <v>4460</v>
      </c>
      <c r="M859" t="s">
        <v>4407</v>
      </c>
      <c r="N859" t="s">
        <v>60</v>
      </c>
      <c r="O859" t="s">
        <v>34</v>
      </c>
      <c r="P859" s="3">
        <v>1355000</v>
      </c>
      <c r="Q859" s="3">
        <v>1355000</v>
      </c>
      <c r="R859">
        <v>0</v>
      </c>
      <c r="S859" s="3">
        <v>1355000</v>
      </c>
      <c r="T859" t="s">
        <v>4408</v>
      </c>
      <c r="U859">
        <v>7932908</v>
      </c>
    </row>
    <row r="860" spans="1:21" x14ac:dyDescent="0.25">
      <c r="A860" s="9" t="s">
        <v>4401</v>
      </c>
      <c r="B860" s="10">
        <v>44049</v>
      </c>
      <c r="C860" s="1">
        <v>44048</v>
      </c>
      <c r="D860" t="s">
        <v>4402</v>
      </c>
      <c r="E860" s="11">
        <v>0.375</v>
      </c>
      <c r="F860" s="11">
        <v>0.375</v>
      </c>
      <c r="G860">
        <v>79975</v>
      </c>
      <c r="H860" t="s">
        <v>4357</v>
      </c>
      <c r="I860">
        <v>2</v>
      </c>
      <c r="J860" t="s">
        <v>4458</v>
      </c>
      <c r="K860" t="s">
        <v>4459</v>
      </c>
      <c r="L860" t="s">
        <v>4460</v>
      </c>
      <c r="M860" t="s">
        <v>4407</v>
      </c>
      <c r="N860" t="s">
        <v>60</v>
      </c>
      <c r="O860" t="s">
        <v>34</v>
      </c>
      <c r="P860" s="3">
        <v>993173</v>
      </c>
      <c r="Q860" s="3">
        <v>993173</v>
      </c>
      <c r="R860" s="3">
        <v>25281</v>
      </c>
      <c r="S860" s="3">
        <v>967892</v>
      </c>
      <c r="T860" t="s">
        <v>4408</v>
      </c>
      <c r="U860">
        <v>7932908</v>
      </c>
    </row>
    <row r="861" spans="1:21" x14ac:dyDescent="0.25">
      <c r="A861" s="9" t="s">
        <v>4401</v>
      </c>
      <c r="B861" s="10">
        <v>44049</v>
      </c>
      <c r="C861" s="1">
        <v>44048</v>
      </c>
      <c r="D861" t="s">
        <v>4402</v>
      </c>
      <c r="E861" s="11">
        <v>0.375</v>
      </c>
      <c r="F861" s="11">
        <v>0.375</v>
      </c>
      <c r="G861">
        <v>79976</v>
      </c>
      <c r="H861" t="s">
        <v>4360</v>
      </c>
      <c r="I861">
        <v>3</v>
      </c>
      <c r="J861" t="s">
        <v>4404</v>
      </c>
      <c r="K861" t="s">
        <v>4405</v>
      </c>
      <c r="L861" t="s">
        <v>4406</v>
      </c>
      <c r="M861" t="s">
        <v>4407</v>
      </c>
      <c r="N861" t="s">
        <v>60</v>
      </c>
      <c r="O861" t="s">
        <v>34</v>
      </c>
      <c r="P861" s="3">
        <v>1601263</v>
      </c>
      <c r="Q861" s="3">
        <v>1601263</v>
      </c>
      <c r="R861" s="3">
        <v>155622</v>
      </c>
      <c r="S861" s="3">
        <v>1445641</v>
      </c>
      <c r="T861" t="s">
        <v>4408</v>
      </c>
      <c r="U861">
        <v>7932908</v>
      </c>
    </row>
    <row r="862" spans="1:21" x14ac:dyDescent="0.25">
      <c r="A862" s="9" t="s">
        <v>4401</v>
      </c>
      <c r="B862" s="10">
        <v>44049</v>
      </c>
      <c r="C862" s="1">
        <v>44048</v>
      </c>
      <c r="D862" t="s">
        <v>4402</v>
      </c>
      <c r="E862" s="11">
        <v>0.375</v>
      </c>
      <c r="F862" s="11">
        <v>0.375</v>
      </c>
      <c r="G862">
        <v>79977</v>
      </c>
      <c r="H862" t="s">
        <v>4362</v>
      </c>
      <c r="I862">
        <v>3</v>
      </c>
      <c r="J862" t="s">
        <v>4458</v>
      </c>
      <c r="K862" t="s">
        <v>4459</v>
      </c>
      <c r="L862" t="s">
        <v>4460</v>
      </c>
      <c r="M862" t="s">
        <v>4407</v>
      </c>
      <c r="N862" t="s">
        <v>60</v>
      </c>
      <c r="O862" t="s">
        <v>34</v>
      </c>
      <c r="P862" s="3">
        <v>300000</v>
      </c>
      <c r="Q862" s="3">
        <v>300000</v>
      </c>
      <c r="R862" s="3">
        <v>155622</v>
      </c>
      <c r="S862" s="3">
        <v>144378</v>
      </c>
      <c r="T862" t="s">
        <v>4408</v>
      </c>
      <c r="U862">
        <v>7932908</v>
      </c>
    </row>
    <row r="863" spans="1:21" x14ac:dyDescent="0.25">
      <c r="A863" s="9" t="s">
        <v>4401</v>
      </c>
      <c r="B863" s="10">
        <v>44049</v>
      </c>
      <c r="C863" s="1">
        <v>44048</v>
      </c>
      <c r="D863" t="s">
        <v>4402</v>
      </c>
      <c r="E863" s="11">
        <v>0.375</v>
      </c>
      <c r="F863" s="11">
        <v>0.375</v>
      </c>
      <c r="G863">
        <v>79978</v>
      </c>
      <c r="H863" t="s">
        <v>4364</v>
      </c>
      <c r="I863" t="s">
        <v>367</v>
      </c>
      <c r="J863" t="s">
        <v>4404</v>
      </c>
      <c r="K863" t="s">
        <v>4405</v>
      </c>
      <c r="L863" t="s">
        <v>4406</v>
      </c>
      <c r="M863" t="s">
        <v>4407</v>
      </c>
      <c r="N863" t="s">
        <v>60</v>
      </c>
      <c r="O863" t="s">
        <v>34</v>
      </c>
      <c r="P863" s="3">
        <v>486000</v>
      </c>
      <c r="Q863" s="3">
        <v>486000</v>
      </c>
      <c r="R863" s="3">
        <v>21466</v>
      </c>
      <c r="S863" s="3">
        <v>464534</v>
      </c>
      <c r="T863" t="s">
        <v>4408</v>
      </c>
      <c r="U863">
        <v>7932908</v>
      </c>
    </row>
    <row r="864" spans="1:21" x14ac:dyDescent="0.25">
      <c r="A864" s="9" t="s">
        <v>4401</v>
      </c>
      <c r="B864" s="10">
        <v>44049</v>
      </c>
      <c r="C864" s="1">
        <v>44048</v>
      </c>
      <c r="D864" t="s">
        <v>4402</v>
      </c>
      <c r="E864" s="11">
        <v>0.375</v>
      </c>
      <c r="F864" s="11">
        <v>0.375</v>
      </c>
      <c r="G864">
        <v>79978</v>
      </c>
      <c r="H864" t="s">
        <v>4364</v>
      </c>
      <c r="I864" t="s">
        <v>367</v>
      </c>
      <c r="J864" t="s">
        <v>4458</v>
      </c>
      <c r="K864" t="s">
        <v>4459</v>
      </c>
      <c r="L864" t="s">
        <v>4460</v>
      </c>
      <c r="M864" t="s">
        <v>4407</v>
      </c>
      <c r="N864" t="s">
        <v>60</v>
      </c>
      <c r="O864" t="s">
        <v>34</v>
      </c>
      <c r="P864" s="3">
        <v>269266</v>
      </c>
      <c r="Q864" s="3">
        <v>269266</v>
      </c>
      <c r="R864" s="3">
        <v>21466</v>
      </c>
      <c r="S864" s="3">
        <v>247800</v>
      </c>
      <c r="T864" t="s">
        <v>4408</v>
      </c>
      <c r="U864">
        <v>7932908</v>
      </c>
    </row>
    <row r="865" spans="1:21" x14ac:dyDescent="0.25">
      <c r="A865" s="9" t="s">
        <v>4401</v>
      </c>
      <c r="B865" s="10">
        <v>44049</v>
      </c>
      <c r="C865" s="1">
        <v>44048</v>
      </c>
      <c r="D865" t="s">
        <v>4402</v>
      </c>
      <c r="E865" s="11">
        <v>0.375</v>
      </c>
      <c r="F865" s="11">
        <v>0.375</v>
      </c>
      <c r="G865">
        <v>79979</v>
      </c>
      <c r="H865" t="s">
        <v>4367</v>
      </c>
      <c r="I865" t="s">
        <v>367</v>
      </c>
      <c r="J865" t="s">
        <v>4458</v>
      </c>
      <c r="K865" t="s">
        <v>4459</v>
      </c>
      <c r="L865" t="s">
        <v>4460</v>
      </c>
      <c r="M865" t="s">
        <v>4407</v>
      </c>
      <c r="N865" t="s">
        <v>60</v>
      </c>
      <c r="O865" t="s">
        <v>34</v>
      </c>
      <c r="P865" s="3">
        <v>396000</v>
      </c>
      <c r="Q865" s="3">
        <v>396000</v>
      </c>
      <c r="R865">
        <v>0</v>
      </c>
      <c r="S865" s="3">
        <v>396000</v>
      </c>
      <c r="T865" t="s">
        <v>4408</v>
      </c>
      <c r="U865">
        <v>7932908</v>
      </c>
    </row>
    <row r="866" spans="1:21" x14ac:dyDescent="0.25">
      <c r="A866" s="9" t="s">
        <v>4401</v>
      </c>
      <c r="B866" s="10">
        <v>44049</v>
      </c>
      <c r="C866" s="1">
        <v>44048</v>
      </c>
      <c r="D866" t="s">
        <v>4402</v>
      </c>
      <c r="E866" s="11">
        <v>0.375</v>
      </c>
      <c r="F866" s="11">
        <v>0.375</v>
      </c>
      <c r="G866">
        <v>79980</v>
      </c>
      <c r="H866" t="s">
        <v>4370</v>
      </c>
      <c r="I866">
        <v>2</v>
      </c>
      <c r="J866" t="s">
        <v>4404</v>
      </c>
      <c r="K866" t="s">
        <v>4405</v>
      </c>
      <c r="L866" t="s">
        <v>4406</v>
      </c>
      <c r="M866" t="s">
        <v>4407</v>
      </c>
      <c r="N866" t="s">
        <v>60</v>
      </c>
      <c r="O866" t="s">
        <v>34</v>
      </c>
      <c r="P866" s="3">
        <v>677000</v>
      </c>
      <c r="Q866" s="3">
        <v>677000</v>
      </c>
      <c r="R866" s="3">
        <v>13307</v>
      </c>
      <c r="S866" s="3">
        <v>663693</v>
      </c>
      <c r="T866" t="s">
        <v>4408</v>
      </c>
      <c r="U866">
        <v>7932908</v>
      </c>
    </row>
    <row r="867" spans="1:21" x14ac:dyDescent="0.25">
      <c r="A867" s="9" t="s">
        <v>4401</v>
      </c>
      <c r="B867" s="10">
        <v>44049</v>
      </c>
      <c r="C867" s="1">
        <v>44048</v>
      </c>
      <c r="D867" t="s">
        <v>4402</v>
      </c>
      <c r="E867" s="11">
        <v>0.375</v>
      </c>
      <c r="F867" s="11">
        <v>0.375</v>
      </c>
      <c r="G867">
        <v>79980</v>
      </c>
      <c r="H867" t="s">
        <v>4370</v>
      </c>
      <c r="I867">
        <v>2</v>
      </c>
      <c r="J867" t="s">
        <v>4458</v>
      </c>
      <c r="K867" t="s">
        <v>4459</v>
      </c>
      <c r="L867" t="s">
        <v>4460</v>
      </c>
      <c r="M867" t="s">
        <v>4407</v>
      </c>
      <c r="N867" t="s">
        <v>60</v>
      </c>
      <c r="O867" t="s">
        <v>34</v>
      </c>
      <c r="P867" s="3">
        <v>552000</v>
      </c>
      <c r="Q867" s="3">
        <v>552000</v>
      </c>
      <c r="R867" s="3">
        <v>13307</v>
      </c>
      <c r="S867" s="3">
        <v>538693</v>
      </c>
      <c r="T867" t="s">
        <v>4408</v>
      </c>
      <c r="U867">
        <v>7932908</v>
      </c>
    </row>
    <row r="868" spans="1:21" x14ac:dyDescent="0.25">
      <c r="A868" s="9" t="s">
        <v>4401</v>
      </c>
      <c r="B868" s="10">
        <v>44049</v>
      </c>
      <c r="C868" s="1">
        <v>44048</v>
      </c>
      <c r="D868" t="s">
        <v>4402</v>
      </c>
      <c r="E868" s="11">
        <v>0.375</v>
      </c>
      <c r="F868" s="11">
        <v>0.375</v>
      </c>
      <c r="G868">
        <v>79993</v>
      </c>
      <c r="H868" t="s">
        <v>5101</v>
      </c>
      <c r="I868">
        <v>2</v>
      </c>
      <c r="J868" t="s">
        <v>4404</v>
      </c>
      <c r="K868" t="s">
        <v>4405</v>
      </c>
      <c r="L868" t="s">
        <v>4406</v>
      </c>
      <c r="M868" t="s">
        <v>4407</v>
      </c>
      <c r="N868" t="s">
        <v>60</v>
      </c>
      <c r="O868" t="s">
        <v>34</v>
      </c>
      <c r="P868" s="3">
        <v>637559</v>
      </c>
      <c r="Q868" s="3">
        <v>637559</v>
      </c>
      <c r="R868">
        <v>0</v>
      </c>
      <c r="S868" s="3">
        <v>637559</v>
      </c>
      <c r="T868" t="s">
        <v>4408</v>
      </c>
      <c r="U868">
        <v>7932908</v>
      </c>
    </row>
    <row r="869" spans="1:21" x14ac:dyDescent="0.25">
      <c r="A869" s="9" t="s">
        <v>4401</v>
      </c>
      <c r="B869" s="10">
        <v>44049</v>
      </c>
      <c r="C869" s="1">
        <v>44048</v>
      </c>
      <c r="D869" t="s">
        <v>4402</v>
      </c>
      <c r="E869" s="11">
        <v>0.375</v>
      </c>
      <c r="F869" s="11">
        <v>0.375</v>
      </c>
      <c r="G869">
        <v>79995</v>
      </c>
      <c r="H869" t="s">
        <v>5102</v>
      </c>
      <c r="I869">
        <v>2</v>
      </c>
      <c r="J869" t="s">
        <v>4404</v>
      </c>
      <c r="K869" t="s">
        <v>4405</v>
      </c>
      <c r="L869" t="s">
        <v>4406</v>
      </c>
      <c r="M869" t="s">
        <v>4407</v>
      </c>
      <c r="N869" t="s">
        <v>60</v>
      </c>
      <c r="O869" t="s">
        <v>34</v>
      </c>
      <c r="P869" s="3">
        <v>6335806</v>
      </c>
      <c r="Q869" s="3">
        <v>6335806</v>
      </c>
      <c r="R869" s="3">
        <v>315664</v>
      </c>
      <c r="S869" s="3">
        <v>6020142</v>
      </c>
      <c r="T869" t="s">
        <v>4408</v>
      </c>
      <c r="U869">
        <v>7932908</v>
      </c>
    </row>
    <row r="870" spans="1:21" x14ac:dyDescent="0.25">
      <c r="A870" s="9" t="s">
        <v>4401</v>
      </c>
      <c r="B870" s="10">
        <v>44049</v>
      </c>
      <c r="C870" s="1">
        <v>44048</v>
      </c>
      <c r="D870" t="s">
        <v>4402</v>
      </c>
      <c r="E870" s="11">
        <v>0.375</v>
      </c>
      <c r="F870" s="11">
        <v>0.375</v>
      </c>
      <c r="G870">
        <v>79999</v>
      </c>
      <c r="H870" t="s">
        <v>5103</v>
      </c>
      <c r="I870" t="s">
        <v>367</v>
      </c>
      <c r="J870" t="s">
        <v>4404</v>
      </c>
      <c r="K870" t="s">
        <v>4405</v>
      </c>
      <c r="L870" t="s">
        <v>4406</v>
      </c>
      <c r="M870" t="s">
        <v>4407</v>
      </c>
      <c r="N870" t="s">
        <v>60</v>
      </c>
      <c r="O870" t="s">
        <v>34</v>
      </c>
      <c r="P870" s="3">
        <v>322000</v>
      </c>
      <c r="Q870" s="3">
        <v>322000</v>
      </c>
      <c r="R870">
        <v>0</v>
      </c>
      <c r="S870" s="3">
        <v>322000</v>
      </c>
      <c r="T870" t="s">
        <v>4408</v>
      </c>
      <c r="U870">
        <v>7932908</v>
      </c>
    </row>
  </sheetData>
  <autoFilter ref="A1:U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6:O889"/>
  <sheetViews>
    <sheetView topLeftCell="A16" workbookViewId="0">
      <selection activeCell="D32" sqref="D32"/>
    </sheetView>
  </sheetViews>
  <sheetFormatPr defaultRowHeight="15" x14ac:dyDescent="0.25"/>
  <cols>
    <col min="1" max="1" width="12.7109375" bestFit="1" customWidth="1"/>
    <col min="2" max="2" width="6.140625" bestFit="1" customWidth="1"/>
    <col min="3" max="3" width="18.7109375" bestFit="1" customWidth="1"/>
    <col min="4" max="4" width="18.7109375" customWidth="1"/>
    <col min="5" max="5" width="71.42578125" bestFit="1" customWidth="1"/>
    <col min="6" max="6" width="11.28515625" bestFit="1" customWidth="1"/>
    <col min="7" max="7" width="15.140625" bestFit="1" customWidth="1"/>
    <col min="8" max="8" width="22" bestFit="1" customWidth="1"/>
    <col min="9" max="9" width="23.42578125" bestFit="1" customWidth="1"/>
    <col min="10" max="10" width="18.7109375" bestFit="1" customWidth="1"/>
  </cols>
  <sheetData>
    <row r="16" spans="1:4" x14ac:dyDescent="0.25">
      <c r="A16" t="s">
        <v>5128</v>
      </c>
      <c r="C16" s="1">
        <v>44044</v>
      </c>
      <c r="D16" s="1"/>
    </row>
    <row r="17" spans="1:15" x14ac:dyDescent="0.25">
      <c r="A17" t="s">
        <v>5129</v>
      </c>
      <c r="C17" s="1">
        <v>44049</v>
      </c>
      <c r="D17" s="1"/>
    </row>
    <row r="18" spans="1:15" ht="15.75" thickBot="1" x14ac:dyDescent="0.3"/>
    <row r="19" spans="1:15" ht="15.75" thickBot="1" x14ac:dyDescent="0.3">
      <c r="J19" s="7" t="s">
        <v>5127</v>
      </c>
    </row>
    <row r="20" spans="1:15" s="5" customFormat="1" ht="15.75" thickBot="1" x14ac:dyDescent="0.3">
      <c r="A20" s="6" t="s">
        <v>4400</v>
      </c>
      <c r="B20" s="7" t="s">
        <v>0</v>
      </c>
      <c r="C20" s="7" t="s">
        <v>4390</v>
      </c>
      <c r="D20" s="7" t="s">
        <v>7</v>
      </c>
      <c r="E20" s="7" t="s">
        <v>4388</v>
      </c>
      <c r="F20" s="7" t="s">
        <v>5105</v>
      </c>
      <c r="G20" s="7" t="s">
        <v>2</v>
      </c>
      <c r="H20" s="7" t="s">
        <v>3</v>
      </c>
      <c r="I20" s="7" t="s">
        <v>4397</v>
      </c>
      <c r="J20" s="8">
        <v>44049</v>
      </c>
      <c r="K20" s="8">
        <v>44048</v>
      </c>
      <c r="L20" s="8">
        <v>44047</v>
      </c>
      <c r="M20" s="8">
        <v>44046</v>
      </c>
      <c r="N20" s="8">
        <v>44045</v>
      </c>
      <c r="O20" s="8">
        <v>44044</v>
      </c>
    </row>
    <row r="21" spans="1:15" x14ac:dyDescent="0.25">
      <c r="A21" t="str">
        <f>INDEX('Pipe Table'!$E$2:$E$10,MATCH(INDEX('TE_OA_20200805_INTRDY_2020-08-0'!$T$2:$T$870,MATCH(Filter!B21,'TE_OA_20200805_INTRDY_2020-08-0'!$G$2:$G$870,0)),'Pipe Table'!$D$2:$D$10,0))</f>
        <v>TETCO</v>
      </c>
      <c r="B21">
        <v>70004</v>
      </c>
      <c r="C21" t="str">
        <f>INDEX('TE_OA_20200805_INTRDY_2020-08-0'!$J$2:$J$870,MATCH(Filter!B21,'TE_OA_20200805_INTRDY_2020-08-0'!$G$2:$G$870))</f>
        <v>Delivery</v>
      </c>
      <c r="D21" t="str">
        <f>INDEX('Pipe Table'!$B$2:$B$14,MATCH(INDEX(TeAllPoints!$I$2:$I$957,MATCH(Filter!B21,TeAllPoints!$B$2:$B$957,0)),'Pipe Table'!$A$2:$A$14,0))</f>
        <v>Intrcnnct</v>
      </c>
      <c r="E21" t="str">
        <f>INDEX('TE_OA_20200805_INTRDY_2020-08-0'!$H$2:$H$870,MATCH(Filter!B21,'TE_OA_20200805_INTRDY_2020-08-0'!$G$2:$G$870))</f>
        <v>Dominion Energy Transmission, Inc - Clarington, OH</v>
      </c>
      <c r="F21" t="str">
        <f>INDEX('Pipe Table'!$H$2:$H$8,MATCH('TE_OA_20200805_INTRDY_2020-08-0'!I2,'Pipe Table'!$G$2:$G$8,0))</f>
        <v>TETCO-M2</v>
      </c>
      <c r="G21" t="str">
        <f>INDEX(TeAllPoints!$D$2:$D$957,MATCH(Filter!B21,TeAllPoints!$B$2:$B$957,0))</f>
        <v>OH</v>
      </c>
      <c r="H21" t="str">
        <f>INDEX(TeAllPoints!$E$2:$E$957,MATCH(Filter!B21,TeAllPoints!$B$2:$B$957,0))</f>
        <v>MONROE</v>
      </c>
      <c r="I21">
        <f>INDEX('TE_OA_20200805_INTRDY_2020-08-0'!$Q$2:$Q$870,MATCH(Filter!B21,'TE_OA_20200805_INTRDY_2020-08-0'!$G$2:$G$870))</f>
        <v>600490</v>
      </c>
      <c r="J21">
        <f>INDEX('TE_OA_20200805_INTRDY_2020-08-0'!$R$2:$R$870,MATCH(Filter!B21,'TE_OA_20200805_INTRDY_2020-08-0'!$G$2:$G$870))</f>
        <v>0</v>
      </c>
    </row>
    <row r="22" spans="1:15" x14ac:dyDescent="0.25">
      <c r="A22" t="str">
        <f>INDEX('Pipe Table'!$E$2:$E$10,MATCH(INDEX('TE_OA_20200805_INTRDY_2020-08-0'!$T$2:$T$870,MATCH(Filter!B22,'TE_OA_20200805_INTRDY_2020-08-0'!$G$2:$G$870,0)),'Pipe Table'!$D$2:$D$10,0))</f>
        <v>TETCO</v>
      </c>
      <c r="B22">
        <v>70011</v>
      </c>
      <c r="C22" t="str">
        <f>INDEX('TE_OA_20200805_INTRDY_2020-08-0'!$J$2:$J$870,MATCH(Filter!B22,'TE_OA_20200805_INTRDY_2020-08-0'!$G$2:$G$870))</f>
        <v>Delivery</v>
      </c>
      <c r="D22" t="str">
        <f>INDEX('Pipe Table'!$B$2:$B$14,MATCH(INDEX(TeAllPoints!$I$2:$I$957,MATCH(Filter!B22,TeAllPoints!$B$2:$B$957,0)),'Pipe Table'!$A$2:$A$14,0))</f>
        <v>Intrcnnct</v>
      </c>
      <c r="E22" t="str">
        <f>INDEX('TE_OA_20200805_INTRDY_2020-08-0'!$H$2:$H$870,MATCH(Filter!B22,'TE_OA_20200805_INTRDY_2020-08-0'!$G$2:$G$870))</f>
        <v>Columbia Gas of  PA.  - Eagle, PA</v>
      </c>
      <c r="F22" t="str">
        <f>INDEX('Pipe Table'!$H$2:$H$8,MATCH('TE_OA_20200805_INTRDY_2020-08-0'!I3,'Pipe Table'!$G$2:$G$8,0))</f>
        <v>TETCO-M3</v>
      </c>
      <c r="G22" t="str">
        <f>INDEX(TeAllPoints!$D$2:$D$957,MATCH(Filter!B22,TeAllPoints!$B$2:$B$957,0))</f>
        <v>PA</v>
      </c>
      <c r="H22" t="str">
        <f>INDEX(TeAllPoints!$E$2:$E$957,MATCH(Filter!B22,TeAllPoints!$B$2:$B$957,0))</f>
        <v>CHESTER</v>
      </c>
      <c r="I22">
        <f>INDEX('TE_OA_20200805_INTRDY_2020-08-0'!$Q$2:$Q$870,MATCH(Filter!B22,'TE_OA_20200805_INTRDY_2020-08-0'!$G$2:$G$870))</f>
        <v>444405</v>
      </c>
      <c r="J22">
        <f>INDEX('TE_OA_20200805_INTRDY_2020-08-0'!$R$2:$R$870,MATCH(Filter!B22,'TE_OA_20200805_INTRDY_2020-08-0'!$G$2:$G$870))</f>
        <v>112852</v>
      </c>
    </row>
    <row r="23" spans="1:15" x14ac:dyDescent="0.25">
      <c r="A23" t="str">
        <f>INDEX('Pipe Table'!$E$2:$E$10,MATCH(INDEX('TE_OA_20200805_INTRDY_2020-08-0'!$T$2:$T$870,MATCH(Filter!B23,'TE_OA_20200805_INTRDY_2020-08-0'!$G$2:$G$870,0)),'Pipe Table'!$D$2:$D$10,0))</f>
        <v>TETCO</v>
      </c>
      <c r="B23">
        <v>70017</v>
      </c>
      <c r="C23" t="str">
        <f>INDEX('TE_OA_20200805_INTRDY_2020-08-0'!$J$2:$J$870,MATCH(Filter!B23,'TE_OA_20200805_INTRDY_2020-08-0'!$G$2:$G$870))</f>
        <v>Delivery</v>
      </c>
      <c r="D23" t="str">
        <f>INDEX('Pipe Table'!$B$2:$B$14,MATCH(INDEX(TeAllPoints!$I$2:$I$957,MATCH(Filter!B23,TeAllPoints!$B$2:$B$957,0)),'Pipe Table'!$A$2:$A$14,0))</f>
        <v>LDC</v>
      </c>
      <c r="E23" t="str">
        <f>INDEX('TE_OA_20200805_INTRDY_2020-08-0'!$H$2:$H$870,MATCH(Filter!B23,'TE_OA_20200805_INTRDY_2020-08-0'!$G$2:$G$870))</f>
        <v>Indiana Gas - Greensburg, IN</v>
      </c>
      <c r="F23" t="str">
        <f>INDEX('Pipe Table'!$H$2:$H$8,MATCH('TE_OA_20200805_INTRDY_2020-08-0'!I4,'Pipe Table'!$G$2:$G$8,0))</f>
        <v>TETCO-M2</v>
      </c>
      <c r="G23" t="str">
        <f>INDEX(TeAllPoints!$D$2:$D$957,MATCH(Filter!B23,TeAllPoints!$B$2:$B$957,0))</f>
        <v>IN</v>
      </c>
      <c r="H23" t="str">
        <f>INDEX(TeAllPoints!$E$2:$E$957,MATCH(Filter!B23,TeAllPoints!$B$2:$B$957,0))</f>
        <v>DECATUR</v>
      </c>
      <c r="I23">
        <f>INDEX('TE_OA_20200805_INTRDY_2020-08-0'!$Q$2:$Q$870,MATCH(Filter!B23,'TE_OA_20200805_INTRDY_2020-08-0'!$G$2:$G$870))</f>
        <v>21573</v>
      </c>
      <c r="J23">
        <f>INDEX('TE_OA_20200805_INTRDY_2020-08-0'!$R$2:$R$870,MATCH(Filter!B23,'TE_OA_20200805_INTRDY_2020-08-0'!$G$2:$G$870))</f>
        <v>160</v>
      </c>
    </row>
    <row r="24" spans="1:15" x14ac:dyDescent="0.25">
      <c r="A24" t="str">
        <f>INDEX('Pipe Table'!$E$2:$E$10,MATCH(INDEX('TE_OA_20200805_INTRDY_2020-08-0'!$T$2:$T$870,MATCH(Filter!B24,'TE_OA_20200805_INTRDY_2020-08-0'!$G$2:$G$870,0)),'Pipe Table'!$D$2:$D$10,0))</f>
        <v>TETCO</v>
      </c>
      <c r="B24">
        <v>70018</v>
      </c>
      <c r="C24" t="str">
        <f>INDEX('TE_OA_20200805_INTRDY_2020-08-0'!$J$2:$J$870,MATCH(Filter!B24,'TE_OA_20200805_INTRDY_2020-08-0'!$G$2:$G$870))</f>
        <v>Delivery</v>
      </c>
      <c r="D24" t="str">
        <f>INDEX('Pipe Table'!$B$2:$B$14,MATCH(INDEX(TeAllPoints!$I$2:$I$957,MATCH(Filter!B24,TeAllPoints!$B$2:$B$957,0)),'Pipe Table'!$A$2:$A$14,0))</f>
        <v>LDC</v>
      </c>
      <c r="E24" t="str">
        <f>INDEX('TE_OA_20200805_INTRDY_2020-08-0'!$H$2:$H$870,MATCH(Filter!B24,'TE_OA_20200805_INTRDY_2020-08-0'!$G$2:$G$870))</f>
        <v>Indiana Gas - Seymour, IN</v>
      </c>
      <c r="F24" t="str">
        <f>INDEX('Pipe Table'!$H$2:$H$8,MATCH('TE_OA_20200805_INTRDY_2020-08-0'!I5,'Pipe Table'!$G$2:$G$8,0))</f>
        <v>TETCO-M2</v>
      </c>
      <c r="G24" t="str">
        <f>INDEX(TeAllPoints!$D$2:$D$957,MATCH(Filter!B24,TeAllPoints!$B$2:$B$957,0))</f>
        <v>IN</v>
      </c>
      <c r="H24" t="str">
        <f>INDEX(TeAllPoints!$E$2:$E$957,MATCH(Filter!B24,TeAllPoints!$B$2:$B$957,0))</f>
        <v>JACKSON</v>
      </c>
      <c r="I24">
        <f>INDEX('TE_OA_20200805_INTRDY_2020-08-0'!$Q$2:$Q$870,MATCH(Filter!B24,'TE_OA_20200805_INTRDY_2020-08-0'!$G$2:$G$870))</f>
        <v>58910</v>
      </c>
      <c r="J24">
        <f>INDEX('TE_OA_20200805_INTRDY_2020-08-0'!$R$2:$R$870,MATCH(Filter!B24,'TE_OA_20200805_INTRDY_2020-08-0'!$G$2:$G$870))</f>
        <v>599</v>
      </c>
    </row>
    <row r="25" spans="1:15" x14ac:dyDescent="0.25">
      <c r="A25" t="str">
        <f>INDEX('Pipe Table'!$E$2:$E$10,MATCH(INDEX('TE_OA_20200805_INTRDY_2020-08-0'!$T$2:$T$870,MATCH(Filter!B25,'TE_OA_20200805_INTRDY_2020-08-0'!$G$2:$G$870,0)),'Pipe Table'!$D$2:$D$10,0))</f>
        <v>TETCO</v>
      </c>
      <c r="B25">
        <v>70020</v>
      </c>
      <c r="C25" t="str">
        <f>INDEX('TE_OA_20200805_INTRDY_2020-08-0'!$J$2:$J$870,MATCH(Filter!B25,'TE_OA_20200805_INTRDY_2020-08-0'!$G$2:$G$870))</f>
        <v>Delivery</v>
      </c>
      <c r="D25" t="str">
        <f>INDEX('Pipe Table'!$B$2:$B$14,MATCH(INDEX(TeAllPoints!$I$2:$I$957,MATCH(Filter!B25,TeAllPoints!$B$2:$B$957,0)),'Pipe Table'!$A$2:$A$14,0))</f>
        <v>Intrcnnct</v>
      </c>
      <c r="E25" t="str">
        <f>INDEX('TE_OA_20200805_INTRDY_2020-08-0'!$H$2:$H$870,MATCH(Filter!B25,'TE_OA_20200805_INTRDY_2020-08-0'!$G$2:$G$870))</f>
        <v>Equitrans - Waynesburg, PA</v>
      </c>
      <c r="F25" t="str">
        <f>INDEX('Pipe Table'!$H$2:$H$8,MATCH('TE_OA_20200805_INTRDY_2020-08-0'!I6,'Pipe Table'!$G$2:$G$8,0))</f>
        <v>TETCO-M2</v>
      </c>
      <c r="G25" t="str">
        <f>INDEX(TeAllPoints!$D$2:$D$957,MATCH(Filter!B25,TeAllPoints!$B$2:$B$957,0))</f>
        <v>PA</v>
      </c>
      <c r="H25" t="str">
        <f>INDEX(TeAllPoints!$E$2:$E$957,MATCH(Filter!B25,TeAllPoints!$B$2:$B$957,0))</f>
        <v>GREENE</v>
      </c>
      <c r="I25">
        <f>INDEX('TE_OA_20200805_INTRDY_2020-08-0'!$Q$2:$Q$870,MATCH(Filter!B25,'TE_OA_20200805_INTRDY_2020-08-0'!$G$2:$G$870))</f>
        <v>5488</v>
      </c>
      <c r="J25">
        <f>INDEX('TE_OA_20200805_INTRDY_2020-08-0'!$R$2:$R$870,MATCH(Filter!B25,'TE_OA_20200805_INTRDY_2020-08-0'!$G$2:$G$870))</f>
        <v>0</v>
      </c>
    </row>
    <row r="26" spans="1:15" x14ac:dyDescent="0.25">
      <c r="A26" t="str">
        <f>INDEX('Pipe Table'!$E$2:$E$10,MATCH(INDEX('TE_OA_20200805_INTRDY_2020-08-0'!$T$2:$T$870,MATCH(Filter!B26,'TE_OA_20200805_INTRDY_2020-08-0'!$G$2:$G$870,0)),'Pipe Table'!$D$2:$D$10,0))</f>
        <v>TETCO</v>
      </c>
      <c r="B26">
        <v>70030</v>
      </c>
      <c r="C26" t="str">
        <f>INDEX('TE_OA_20200805_INTRDY_2020-08-0'!$J$2:$J$870,MATCH(Filter!B26,'TE_OA_20200805_INTRDY_2020-08-0'!$G$2:$G$870))</f>
        <v>Delivery</v>
      </c>
      <c r="D26" t="str">
        <f>INDEX('Pipe Table'!$B$2:$B$14,MATCH(INDEX(TeAllPoints!$I$2:$I$957,MATCH(Filter!B26,TeAllPoints!$B$2:$B$957,0)),'Pipe Table'!$A$2:$A$14,0))</f>
        <v>LDC</v>
      </c>
      <c r="E26" t="str">
        <f>INDEX('TE_OA_20200805_INTRDY_2020-08-0'!$H$2:$H$870,MATCH(Filter!B26,'TE_OA_20200805_INTRDY_2020-08-0'!$G$2:$G$870))</f>
        <v>Philadelphia Gas Works - Point Breeze,PA</v>
      </c>
      <c r="F26" t="str">
        <f>INDEX('Pipe Table'!$H$2:$H$8,MATCH('TE_OA_20200805_INTRDY_2020-08-0'!I7,'Pipe Table'!$G$2:$G$8,0))</f>
        <v>TETCO-M3</v>
      </c>
      <c r="G26" t="str">
        <f>INDEX(TeAllPoints!$D$2:$D$957,MATCH(Filter!B26,TeAllPoints!$B$2:$B$957,0))</f>
        <v>PA</v>
      </c>
      <c r="H26" t="str">
        <f>INDEX(TeAllPoints!$E$2:$E$957,MATCH(Filter!B26,TeAllPoints!$B$2:$B$957,0))</f>
        <v>PHILADELPHIA</v>
      </c>
      <c r="I26">
        <f>INDEX('TE_OA_20200805_INTRDY_2020-08-0'!$Q$2:$Q$870,MATCH(Filter!B26,'TE_OA_20200805_INTRDY_2020-08-0'!$G$2:$G$870))</f>
        <v>222548</v>
      </c>
      <c r="J26">
        <f>INDEX('TE_OA_20200805_INTRDY_2020-08-0'!$R$2:$R$870,MATCH(Filter!B26,'TE_OA_20200805_INTRDY_2020-08-0'!$G$2:$G$870))</f>
        <v>32082</v>
      </c>
    </row>
    <row r="27" spans="1:15" x14ac:dyDescent="0.25">
      <c r="A27" t="str">
        <f>INDEX('Pipe Table'!$E$2:$E$10,MATCH(INDEX('TE_OA_20200805_INTRDY_2020-08-0'!$T$2:$T$870,MATCH(Filter!B27,'TE_OA_20200805_INTRDY_2020-08-0'!$G$2:$G$870,0)),'Pipe Table'!$D$2:$D$10,0))</f>
        <v>TETCO</v>
      </c>
      <c r="B27">
        <v>70033</v>
      </c>
      <c r="C27" t="str">
        <f>INDEX('TE_OA_20200805_INTRDY_2020-08-0'!$J$2:$J$870,MATCH(Filter!B27,'TE_OA_20200805_INTRDY_2020-08-0'!$G$2:$G$870))</f>
        <v>Delivery</v>
      </c>
      <c r="D27" t="str">
        <f>INDEX('Pipe Table'!$B$2:$B$14,MATCH(INDEX(TeAllPoints!$I$2:$I$957,MATCH(Filter!B27,TeAllPoints!$B$2:$B$957,0)),'Pipe Table'!$A$2:$A$14,0))</f>
        <v>LDC</v>
      </c>
      <c r="E27" t="str">
        <f>INDEX('TE_OA_20200805_INTRDY_2020-08-0'!$H$2:$H$870,MATCH(Filter!B27,'TE_OA_20200805_INTRDY_2020-08-0'!$G$2:$G$870))</f>
        <v>PECO Energy - Cromby Generation, PA</v>
      </c>
      <c r="F27" t="str">
        <f>INDEX('Pipe Table'!$H$2:$H$8,MATCH('TE_OA_20200805_INTRDY_2020-08-0'!I8,'Pipe Table'!$G$2:$G$8,0))</f>
        <v>TETCO-M3</v>
      </c>
      <c r="G27" t="str">
        <f>INDEX(TeAllPoints!$D$2:$D$957,MATCH(Filter!B27,TeAllPoints!$B$2:$B$957,0))</f>
        <v>PA</v>
      </c>
      <c r="H27" t="str">
        <f>INDEX(TeAllPoints!$E$2:$E$957,MATCH(Filter!B27,TeAllPoints!$B$2:$B$957,0))</f>
        <v>CHESTER</v>
      </c>
      <c r="I27">
        <f>INDEX('TE_OA_20200805_INTRDY_2020-08-0'!$Q$2:$Q$870,MATCH(Filter!B27,'TE_OA_20200805_INTRDY_2020-08-0'!$G$2:$G$870))</f>
        <v>119263</v>
      </c>
      <c r="J27">
        <f>INDEX('TE_OA_20200805_INTRDY_2020-08-0'!$R$2:$R$870,MATCH(Filter!B27,'TE_OA_20200805_INTRDY_2020-08-0'!$G$2:$G$870))</f>
        <v>0</v>
      </c>
    </row>
    <row r="28" spans="1:15" x14ac:dyDescent="0.25">
      <c r="A28" t="str">
        <f>INDEX('Pipe Table'!$E$2:$E$10,MATCH(INDEX('TE_OA_20200805_INTRDY_2020-08-0'!$T$2:$T$870,MATCH(Filter!B28,'TE_OA_20200805_INTRDY_2020-08-0'!$G$2:$G$870,0)),'Pipe Table'!$D$2:$D$10,0))</f>
        <v>TETCO</v>
      </c>
      <c r="B28">
        <v>70034</v>
      </c>
      <c r="C28" t="str">
        <f>INDEX('TE_OA_20200805_INTRDY_2020-08-0'!$J$2:$J$870,MATCH(Filter!B28,'TE_OA_20200805_INTRDY_2020-08-0'!$G$2:$G$870))</f>
        <v>Delivery</v>
      </c>
      <c r="D28" t="str">
        <f>INDEX('Pipe Table'!$B$2:$B$14,MATCH(INDEX(TeAllPoints!$I$2:$I$957,MATCH(Filter!B28,TeAllPoints!$B$2:$B$957,0)),'Pipe Table'!$A$2:$A$14,0))</f>
        <v>LDC</v>
      </c>
      <c r="E28" t="str">
        <f>INDEX('TE_OA_20200805_INTRDY_2020-08-0'!$H$2:$H$870,MATCH(Filter!B28,'TE_OA_20200805_INTRDY_2020-08-0'!$G$2:$G$870))</f>
        <v>Philadelphia Gas Works - Levick St., PA</v>
      </c>
      <c r="F28" t="str">
        <f>INDEX('Pipe Table'!$H$2:$H$8,MATCH('TE_OA_20200805_INTRDY_2020-08-0'!I9,'Pipe Table'!$G$2:$G$8,0))</f>
        <v>TETCO-M3</v>
      </c>
      <c r="G28" t="str">
        <f>INDEX(TeAllPoints!$D$2:$D$957,MATCH(Filter!B28,TeAllPoints!$B$2:$B$957,0))</f>
        <v>PA</v>
      </c>
      <c r="H28" t="str">
        <f>INDEX(TeAllPoints!$E$2:$E$957,MATCH(Filter!B28,TeAllPoints!$B$2:$B$957,0))</f>
        <v>MONTGOMERY</v>
      </c>
      <c r="I28">
        <f>INDEX('TE_OA_20200805_INTRDY_2020-08-0'!$Q$2:$Q$870,MATCH(Filter!B28,'TE_OA_20200805_INTRDY_2020-08-0'!$G$2:$G$870))</f>
        <v>287378</v>
      </c>
      <c r="J28">
        <f>INDEX('TE_OA_20200805_INTRDY_2020-08-0'!$R$2:$R$870,MATCH(Filter!B28,'TE_OA_20200805_INTRDY_2020-08-0'!$G$2:$G$870))</f>
        <v>2005</v>
      </c>
    </row>
    <row r="29" spans="1:15" x14ac:dyDescent="0.25">
      <c r="A29" t="str">
        <f>INDEX('Pipe Table'!$E$2:$E$10,MATCH(INDEX('TE_OA_20200805_INTRDY_2020-08-0'!$T$2:$T$870,MATCH(Filter!B29,'TE_OA_20200805_INTRDY_2020-08-0'!$G$2:$G$870,0)),'Pipe Table'!$D$2:$D$10,0))</f>
        <v>TETCO</v>
      </c>
      <c r="B29">
        <v>70035</v>
      </c>
      <c r="C29" t="str">
        <f>INDEX('TE_OA_20200805_INTRDY_2020-08-0'!$J$2:$J$870,MATCH(Filter!B29,'TE_OA_20200805_INTRDY_2020-08-0'!$G$2:$G$870))</f>
        <v>Delivery</v>
      </c>
      <c r="D29" t="str">
        <f>INDEX('Pipe Table'!$B$2:$B$14,MATCH(INDEX(TeAllPoints!$I$2:$I$957,MATCH(Filter!B29,TeAllPoints!$B$2:$B$957,0)),'Pipe Table'!$A$2:$A$14,0))</f>
        <v>LDC</v>
      </c>
      <c r="E29" t="str">
        <f>INDEX('TE_OA_20200805_INTRDY_2020-08-0'!$H$2:$H$870,MATCH(Filter!B29,'TE_OA_20200805_INTRDY_2020-08-0'!$G$2:$G$870))</f>
        <v>PECO Energy - Tilghman St. - Chester, PA</v>
      </c>
      <c r="F29" t="str">
        <f>INDEX('Pipe Table'!$H$2:$H$8,MATCH('TE_OA_20200805_INTRDY_2020-08-0'!I10,'Pipe Table'!$G$2:$G$8,0))</f>
        <v>TETCO-M3</v>
      </c>
      <c r="G29" t="str">
        <f>INDEX(TeAllPoints!$D$2:$D$957,MATCH(Filter!B29,TeAllPoints!$B$2:$B$957,0))</f>
        <v>PA</v>
      </c>
      <c r="H29" t="str">
        <f>INDEX(TeAllPoints!$E$2:$E$957,MATCH(Filter!B29,TeAllPoints!$B$2:$B$957,0))</f>
        <v>DELAWARE</v>
      </c>
      <c r="I29">
        <f>INDEX('TE_OA_20200805_INTRDY_2020-08-0'!$Q$2:$Q$870,MATCH(Filter!B29,'TE_OA_20200805_INTRDY_2020-08-0'!$G$2:$G$870))</f>
        <v>249434</v>
      </c>
      <c r="J29">
        <f>INDEX('TE_OA_20200805_INTRDY_2020-08-0'!$R$2:$R$870,MATCH(Filter!B29,'TE_OA_20200805_INTRDY_2020-08-0'!$G$2:$G$870))</f>
        <v>0</v>
      </c>
    </row>
    <row r="30" spans="1:15" x14ac:dyDescent="0.25">
      <c r="A30" t="str">
        <f>INDEX('Pipe Table'!$E$2:$E$10,MATCH(INDEX('TE_OA_20200805_INTRDY_2020-08-0'!$T$2:$T$870,MATCH(Filter!B30,'TE_OA_20200805_INTRDY_2020-08-0'!$G$2:$G$870,0)),'Pipe Table'!$D$2:$D$10,0))</f>
        <v>TETCO</v>
      </c>
      <c r="B30">
        <v>70036</v>
      </c>
      <c r="C30" t="str">
        <f>INDEX('TE_OA_20200805_INTRDY_2020-08-0'!$J$2:$J$870,MATCH(Filter!B30,'TE_OA_20200805_INTRDY_2020-08-0'!$G$2:$G$870))</f>
        <v>Delivery</v>
      </c>
      <c r="D30" t="str">
        <f>INDEX('Pipe Table'!$B$2:$B$14,MATCH(INDEX(TeAllPoints!$I$2:$I$957,MATCH(Filter!B30,TeAllPoints!$B$2:$B$957,0)),'Pipe Table'!$A$2:$A$14,0))</f>
        <v>LDC</v>
      </c>
      <c r="E30" t="str">
        <f>INDEX('TE_OA_20200805_INTRDY_2020-08-0'!$H$2:$H$870,MATCH(Filter!B30,'TE_OA_20200805_INTRDY_2020-08-0'!$G$2:$G$870))</f>
        <v>PECO Energy - West Conshohocken, PA</v>
      </c>
      <c r="F30" t="str">
        <f>INDEX('Pipe Table'!$H$2:$H$8,MATCH('TE_OA_20200805_INTRDY_2020-08-0'!I11,'Pipe Table'!$G$2:$G$8,0))</f>
        <v>TETCO-M3</v>
      </c>
      <c r="G30" t="str">
        <f>INDEX(TeAllPoints!$D$2:$D$957,MATCH(Filter!B30,TeAllPoints!$B$2:$B$957,0))</f>
        <v>PA</v>
      </c>
      <c r="H30" t="str">
        <f>INDEX(TeAllPoints!$E$2:$E$957,MATCH(Filter!B30,TeAllPoints!$B$2:$B$957,0))</f>
        <v>MONTGOMERY</v>
      </c>
      <c r="I30">
        <f>INDEX('TE_OA_20200805_INTRDY_2020-08-0'!$Q$2:$Q$870,MATCH(Filter!B30,'TE_OA_20200805_INTRDY_2020-08-0'!$G$2:$G$870))</f>
        <v>246546</v>
      </c>
      <c r="J30">
        <f>INDEX('TE_OA_20200805_INTRDY_2020-08-0'!$R$2:$R$870,MATCH(Filter!B30,'TE_OA_20200805_INTRDY_2020-08-0'!$G$2:$G$870))</f>
        <v>60358</v>
      </c>
    </row>
    <row r="31" spans="1:15" x14ac:dyDescent="0.25">
      <c r="A31" t="str">
        <f>INDEX('Pipe Table'!$E$2:$E$10,MATCH(INDEX('TE_OA_20200805_INTRDY_2020-08-0'!$T$2:$T$870,MATCH(Filter!B31,'TE_OA_20200805_INTRDY_2020-08-0'!$G$2:$G$870,0)),'Pipe Table'!$D$2:$D$10,0))</f>
        <v>TETCO</v>
      </c>
      <c r="B31">
        <v>70039</v>
      </c>
      <c r="C31" t="str">
        <f>INDEX('TE_OA_20200805_INTRDY_2020-08-0'!$J$2:$J$870,MATCH(Filter!B31,'TE_OA_20200805_INTRDY_2020-08-0'!$G$2:$G$870))</f>
        <v>Delivery</v>
      </c>
      <c r="D31" t="str">
        <f>INDEX('Pipe Table'!$B$2:$B$14,MATCH(INDEX(TeAllPoints!$I$2:$I$957,MATCH(Filter!B31,TeAllPoints!$B$2:$B$957,0)),'Pipe Table'!$A$2:$A$14,0))</f>
        <v>LDC</v>
      </c>
      <c r="E31" t="str">
        <f>INDEX('TE_OA_20200805_INTRDY_2020-08-0'!$H$2:$H$870,MATCH(Filter!B31,'TE_OA_20200805_INTRDY_2020-08-0'!$G$2:$G$870))</f>
        <v>United Cities - Harrisburg, IL</v>
      </c>
      <c r="F31" t="str">
        <f>INDEX('Pipe Table'!$H$2:$H$8,MATCH('TE_OA_20200805_INTRDY_2020-08-0'!I12,'Pipe Table'!$G$2:$G$8,0))</f>
        <v>TETCO-M1</v>
      </c>
      <c r="G31" t="str">
        <f>INDEX(TeAllPoints!$D$2:$D$957,MATCH(Filter!B31,TeAllPoints!$B$2:$B$957,0))</f>
        <v>IL</v>
      </c>
      <c r="H31" t="str">
        <f>INDEX(TeAllPoints!$E$2:$E$957,MATCH(Filter!B31,TeAllPoints!$B$2:$B$957,0))</f>
        <v>SALINE</v>
      </c>
      <c r="I31">
        <f>INDEX('TE_OA_20200805_INTRDY_2020-08-0'!$Q$2:$Q$870,MATCH(Filter!B31,'TE_OA_20200805_INTRDY_2020-08-0'!$G$2:$G$870))</f>
        <v>20738</v>
      </c>
      <c r="J31">
        <f>INDEX('TE_OA_20200805_INTRDY_2020-08-0'!$R$2:$R$870,MATCH(Filter!B31,'TE_OA_20200805_INTRDY_2020-08-0'!$G$2:$G$870))</f>
        <v>2000</v>
      </c>
    </row>
    <row r="32" spans="1:15" x14ac:dyDescent="0.25">
      <c r="A32" t="str">
        <f>INDEX('Pipe Table'!$E$2:$E$10,MATCH(INDEX('TE_OA_20200805_INTRDY_2020-08-0'!$T$2:$T$870,MATCH(Filter!B32,'TE_OA_20200805_INTRDY_2020-08-0'!$G$2:$G$870,0)),'Pipe Table'!$D$2:$D$10,0))</f>
        <v>TETCO</v>
      </c>
      <c r="B32">
        <v>70040</v>
      </c>
      <c r="C32" t="str">
        <f>INDEX('TE_OA_20200805_INTRDY_2020-08-0'!$J$2:$J$870,MATCH(Filter!B32,'TE_OA_20200805_INTRDY_2020-08-0'!$G$2:$G$870))</f>
        <v>Delivery</v>
      </c>
      <c r="D32" t="e">
        <f>INDEX('Pipe Table'!$B$2:$B$14,MATCH(INDEX(TeAllPoints!$I$2:$I$957,MATCH(Filter!B32,TeAllPoints!$B$2:$B$957,0)),'Pipe Table'!$A$2:$A$14,0))</f>
        <v>#N/A</v>
      </c>
      <c r="E32" t="str">
        <f>INDEX('TE_OA_20200805_INTRDY_2020-08-0'!$H$2:$H$870,MATCH(Filter!B32,'TE_OA_20200805_INTRDY_2020-08-0'!$G$2:$G$870))</f>
        <v>Central Il. - New Dennison, IL</v>
      </c>
      <c r="F32" t="str">
        <f>INDEX('Pipe Table'!$H$2:$H$8,MATCH('TE_OA_20200805_INTRDY_2020-08-0'!I13,'Pipe Table'!$G$2:$G$8,0))</f>
        <v>TETCO-M1</v>
      </c>
      <c r="G32" t="e">
        <f>INDEX(TeAllPoints!$D$2:$D$957,MATCH(Filter!B32,TeAllPoints!$B$2:$B$957,0))</f>
        <v>#N/A</v>
      </c>
      <c r="H32" t="e">
        <f>INDEX(TeAllPoints!$E$2:$E$957,MATCH(Filter!B32,TeAllPoints!$B$2:$B$957,0))</f>
        <v>#N/A</v>
      </c>
      <c r="I32">
        <f>INDEX('TE_OA_20200805_INTRDY_2020-08-0'!$Q$2:$Q$870,MATCH(Filter!B32,'TE_OA_20200805_INTRDY_2020-08-0'!$G$2:$G$870))</f>
        <v>63989</v>
      </c>
      <c r="J32">
        <f>INDEX('TE_OA_20200805_INTRDY_2020-08-0'!$R$2:$R$870,MATCH(Filter!B32,'TE_OA_20200805_INTRDY_2020-08-0'!$G$2:$G$870))</f>
        <v>0</v>
      </c>
    </row>
    <row r="33" spans="1:10" x14ac:dyDescent="0.25">
      <c r="A33" t="str">
        <f>INDEX('Pipe Table'!$E$2:$E$10,MATCH(INDEX('TE_OA_20200805_INTRDY_2020-08-0'!$T$2:$T$870,MATCH(Filter!B33,'TE_OA_20200805_INTRDY_2020-08-0'!$G$2:$G$870,0)),'Pipe Table'!$D$2:$D$10,0))</f>
        <v>TETCO</v>
      </c>
      <c r="B33">
        <v>70041</v>
      </c>
      <c r="C33" t="str">
        <f>INDEX('TE_OA_20200805_INTRDY_2020-08-0'!$J$2:$J$870,MATCH(Filter!B33,'TE_OA_20200805_INTRDY_2020-08-0'!$G$2:$G$870))</f>
        <v>Delivery</v>
      </c>
      <c r="D33" t="str">
        <f>INDEX('Pipe Table'!$B$2:$B$14,MATCH(INDEX(TeAllPoints!$I$2:$I$957,MATCH(Filter!B33,TeAllPoints!$B$2:$B$957,0)),'Pipe Table'!$A$2:$A$14,0))</f>
        <v>Intrcnnct</v>
      </c>
      <c r="E33" t="str">
        <f>INDEX('TE_OA_20200805_INTRDY_2020-08-0'!$H$2:$H$870,MATCH(Filter!B33,'TE_OA_20200805_INTRDY_2020-08-0'!$G$2:$G$870))</f>
        <v>Columbia Gas - Lebanon, OH</v>
      </c>
      <c r="F33" t="str">
        <f>INDEX('Pipe Table'!$H$2:$H$8,MATCH('TE_OA_20200805_INTRDY_2020-08-0'!I14,'Pipe Table'!$G$2:$G$8,0))</f>
        <v>TETCO-M2</v>
      </c>
      <c r="G33" t="str">
        <f>INDEX(TeAllPoints!$D$2:$D$957,MATCH(Filter!B33,TeAllPoints!$B$2:$B$957,0))</f>
        <v>OH</v>
      </c>
      <c r="H33" t="str">
        <f>INDEX(TeAllPoints!$E$2:$E$957,MATCH(Filter!B33,TeAllPoints!$B$2:$B$957,0))</f>
        <v>WARREN</v>
      </c>
      <c r="I33">
        <f>INDEX('TE_OA_20200805_INTRDY_2020-08-0'!$Q$2:$Q$870,MATCH(Filter!B33,'TE_OA_20200805_INTRDY_2020-08-0'!$G$2:$G$870))</f>
        <v>248781</v>
      </c>
      <c r="J33">
        <f>INDEX('TE_OA_20200805_INTRDY_2020-08-0'!$R$2:$R$870,MATCH(Filter!B33,'TE_OA_20200805_INTRDY_2020-08-0'!$G$2:$G$870))</f>
        <v>15000</v>
      </c>
    </row>
    <row r="34" spans="1:10" x14ac:dyDescent="0.25">
      <c r="A34" t="str">
        <f>INDEX('Pipe Table'!$E$2:$E$10,MATCH(INDEX('TE_OA_20200805_INTRDY_2020-08-0'!$T$2:$T$870,MATCH(Filter!B34,'TE_OA_20200805_INTRDY_2020-08-0'!$G$2:$G$870,0)),'Pipe Table'!$D$2:$D$10,0))</f>
        <v>TETCO</v>
      </c>
      <c r="B34">
        <v>70042</v>
      </c>
      <c r="C34" t="str">
        <f>INDEX('TE_OA_20200805_INTRDY_2020-08-0'!$J$2:$J$870,MATCH(Filter!B34,'TE_OA_20200805_INTRDY_2020-08-0'!$G$2:$G$870))</f>
        <v>Delivery</v>
      </c>
      <c r="D34" t="str">
        <f>INDEX('Pipe Table'!$B$2:$B$14,MATCH(INDEX(TeAllPoints!$I$2:$I$957,MATCH(Filter!B34,TeAllPoints!$B$2:$B$957,0)),'Pipe Table'!$A$2:$A$14,0))</f>
        <v>LDC</v>
      </c>
      <c r="E34" t="str">
        <f>INDEX('TE_OA_20200805_INTRDY_2020-08-0'!$H$2:$H$870,MATCH(Filter!B34,'TE_OA_20200805_INTRDY_2020-08-0'!$G$2:$G$870))</f>
        <v>Union Elec -Cape Girardeau, MO</v>
      </c>
      <c r="F34" t="str">
        <f>INDEX('Pipe Table'!$H$2:$H$8,MATCH('TE_OA_20200805_INTRDY_2020-08-0'!I15,'Pipe Table'!$G$2:$G$8,0))</f>
        <v>TETCO-M1</v>
      </c>
      <c r="G34" t="str">
        <f>INDEX(TeAllPoints!$D$2:$D$957,MATCH(Filter!B34,TeAllPoints!$B$2:$B$957,0))</f>
        <v>MO</v>
      </c>
      <c r="H34" t="str">
        <f>INDEX(TeAllPoints!$E$2:$E$957,MATCH(Filter!B34,TeAllPoints!$B$2:$B$957,0))</f>
        <v>SCOTT</v>
      </c>
      <c r="I34">
        <f>INDEX('TE_OA_20200805_INTRDY_2020-08-0'!$Q$2:$Q$870,MATCH(Filter!B34,'TE_OA_20200805_INTRDY_2020-08-0'!$G$2:$G$870))</f>
        <v>63226</v>
      </c>
      <c r="J34">
        <f>INDEX('TE_OA_20200805_INTRDY_2020-08-0'!$R$2:$R$870,MATCH(Filter!B34,'TE_OA_20200805_INTRDY_2020-08-0'!$G$2:$G$870))</f>
        <v>6804</v>
      </c>
    </row>
    <row r="35" spans="1:10" x14ac:dyDescent="0.25">
      <c r="A35" t="str">
        <f>INDEX('Pipe Table'!$E$2:$E$10,MATCH(INDEX('TE_OA_20200805_INTRDY_2020-08-0'!$T$2:$T$870,MATCH(Filter!B35,'TE_OA_20200805_INTRDY_2020-08-0'!$G$2:$G$870,0)),'Pipe Table'!$D$2:$D$10,0))</f>
        <v>TETCO</v>
      </c>
      <c r="B35">
        <v>70043</v>
      </c>
      <c r="C35" t="str">
        <f>INDEX('TE_OA_20200805_INTRDY_2020-08-0'!$J$2:$J$870,MATCH(Filter!B35,'TE_OA_20200805_INTRDY_2020-08-0'!$G$2:$G$870))</f>
        <v>Delivery</v>
      </c>
      <c r="D35" t="str">
        <f>INDEX('Pipe Table'!$B$2:$B$14,MATCH(INDEX(TeAllPoints!$I$2:$I$957,MATCH(Filter!B35,TeAllPoints!$B$2:$B$957,0)),'Pipe Table'!$A$2:$A$14,0))</f>
        <v>LDC</v>
      </c>
      <c r="E35" t="str">
        <f>INDEX('TE_OA_20200805_INTRDY_2020-08-0'!$H$2:$H$870,MATCH(Filter!B35,'TE_OA_20200805_INTRDY_2020-08-0'!$G$2:$G$870))</f>
        <v>Union Electric - Dexter, MO</v>
      </c>
      <c r="F35" t="str">
        <f>INDEX('Pipe Table'!$H$2:$H$8,MATCH('TE_OA_20200805_INTRDY_2020-08-0'!I16,'Pipe Table'!$G$2:$G$8,0))</f>
        <v>TETCO-M1</v>
      </c>
      <c r="G35" t="str">
        <f>INDEX(TeAllPoints!$D$2:$D$957,MATCH(Filter!B35,TeAllPoints!$B$2:$B$957,0))</f>
        <v>MO</v>
      </c>
      <c r="H35" t="str">
        <f>INDEX(TeAllPoints!$E$2:$E$957,MATCH(Filter!B35,TeAllPoints!$B$2:$B$957,0))</f>
        <v>STODDARD</v>
      </c>
      <c r="I35">
        <f>INDEX('TE_OA_20200805_INTRDY_2020-08-0'!$Q$2:$Q$870,MATCH(Filter!B35,'TE_OA_20200805_INTRDY_2020-08-0'!$G$2:$G$870))</f>
        <v>10692</v>
      </c>
      <c r="J35">
        <f>INDEX('TE_OA_20200805_INTRDY_2020-08-0'!$R$2:$R$870,MATCH(Filter!B35,'TE_OA_20200805_INTRDY_2020-08-0'!$G$2:$G$870))</f>
        <v>0</v>
      </c>
    </row>
    <row r="36" spans="1:10" x14ac:dyDescent="0.25">
      <c r="A36" t="str">
        <f>INDEX('Pipe Table'!$E$2:$E$10,MATCH(INDEX('TE_OA_20200805_INTRDY_2020-08-0'!$T$2:$T$870,MATCH(Filter!B36,'TE_OA_20200805_INTRDY_2020-08-0'!$G$2:$G$870,0)),'Pipe Table'!$D$2:$D$10,0))</f>
        <v>TETCO</v>
      </c>
      <c r="B36">
        <v>70051</v>
      </c>
      <c r="C36" t="str">
        <f>INDEX('TE_OA_20200805_INTRDY_2020-08-0'!$J$2:$J$870,MATCH(Filter!B36,'TE_OA_20200805_INTRDY_2020-08-0'!$G$2:$G$870))</f>
        <v>Delivery</v>
      </c>
      <c r="D36" t="str">
        <f>INDEX('Pipe Table'!$B$2:$B$14,MATCH(INDEX(TeAllPoints!$I$2:$I$957,MATCH(Filter!B36,TeAllPoints!$B$2:$B$957,0)),'Pipe Table'!$A$2:$A$14,0))</f>
        <v>LDC</v>
      </c>
      <c r="E36" t="str">
        <f>INDEX('TE_OA_20200805_INTRDY_2020-08-0'!$H$2:$H$870,MATCH(Filter!B36,'TE_OA_20200805_INTRDY_2020-08-0'!$G$2:$G$870))</f>
        <v>PEOPLES NAT - Somerset, PA</v>
      </c>
      <c r="F36" t="str">
        <f>INDEX('Pipe Table'!$H$2:$H$8,MATCH('TE_OA_20200805_INTRDY_2020-08-0'!I17,'Pipe Table'!$G$2:$G$8,0))</f>
        <v>TETCO-M2</v>
      </c>
      <c r="G36" t="str">
        <f>INDEX(TeAllPoints!$D$2:$D$957,MATCH(Filter!B36,TeAllPoints!$B$2:$B$957,0))</f>
        <v>PA</v>
      </c>
      <c r="H36" t="str">
        <f>INDEX(TeAllPoints!$E$2:$E$957,MATCH(Filter!B36,TeAllPoints!$B$2:$B$957,0))</f>
        <v>SOMERSET</v>
      </c>
      <c r="I36">
        <f>INDEX('TE_OA_20200805_INTRDY_2020-08-0'!$Q$2:$Q$870,MATCH(Filter!B36,'TE_OA_20200805_INTRDY_2020-08-0'!$G$2:$G$870))</f>
        <v>55588</v>
      </c>
      <c r="J36">
        <f>INDEX('TE_OA_20200805_INTRDY_2020-08-0'!$R$2:$R$870,MATCH(Filter!B36,'TE_OA_20200805_INTRDY_2020-08-0'!$G$2:$G$870))</f>
        <v>1600</v>
      </c>
    </row>
    <row r="37" spans="1:10" x14ac:dyDescent="0.25">
      <c r="A37" t="str">
        <f>INDEX('Pipe Table'!$E$2:$E$10,MATCH(INDEX('TE_OA_20200805_INTRDY_2020-08-0'!$T$2:$T$870,MATCH(Filter!B37,'TE_OA_20200805_INTRDY_2020-08-0'!$G$2:$G$870,0)),'Pipe Table'!$D$2:$D$10,0))</f>
        <v>TETCO</v>
      </c>
      <c r="B37">
        <v>70056</v>
      </c>
      <c r="C37" t="str">
        <f>INDEX('TE_OA_20200805_INTRDY_2020-08-0'!$J$2:$J$870,MATCH(Filter!B37,'TE_OA_20200805_INTRDY_2020-08-0'!$G$2:$G$870))</f>
        <v>Delivery</v>
      </c>
      <c r="D37" t="str">
        <f>INDEX('Pipe Table'!$B$2:$B$14,MATCH(INDEX(TeAllPoints!$I$2:$I$957,MATCH(Filter!B37,TeAllPoints!$B$2:$B$957,0)),'Pipe Table'!$A$2:$A$14,0))</f>
        <v>Intrcnnct</v>
      </c>
      <c r="E37" t="str">
        <f>INDEX('TE_OA_20200805_INTRDY_2020-08-0'!$H$2:$H$870,MATCH(Filter!B37,'TE_OA_20200805_INTRDY_2020-08-0'!$G$2:$G$870))</f>
        <v>Columbia Gas of  PA. -  (Uniontown)</v>
      </c>
      <c r="F37" t="str">
        <f>INDEX('Pipe Table'!$H$2:$H$8,MATCH('TE_OA_20200805_INTRDY_2020-08-0'!I18,'Pipe Table'!$G$2:$G$8,0))</f>
        <v>TETCO-M2</v>
      </c>
      <c r="G37" t="str">
        <f>INDEX(TeAllPoints!$D$2:$D$957,MATCH(Filter!B37,TeAllPoints!$B$2:$B$957,0))</f>
        <v>PA</v>
      </c>
      <c r="H37" t="str">
        <f>INDEX(TeAllPoints!$E$2:$E$957,MATCH(Filter!B37,TeAllPoints!$B$2:$B$957,0))</f>
        <v>FAYETTE</v>
      </c>
      <c r="I37">
        <f>INDEX('TE_OA_20200805_INTRDY_2020-08-0'!$Q$2:$Q$870,MATCH(Filter!B37,'TE_OA_20200805_INTRDY_2020-08-0'!$G$2:$G$870))</f>
        <v>46989</v>
      </c>
      <c r="J37">
        <f>INDEX('TE_OA_20200805_INTRDY_2020-08-0'!$R$2:$R$870,MATCH(Filter!B37,'TE_OA_20200805_INTRDY_2020-08-0'!$G$2:$G$870))</f>
        <v>0</v>
      </c>
    </row>
    <row r="38" spans="1:10" x14ac:dyDescent="0.25">
      <c r="A38" t="str">
        <f>INDEX('Pipe Table'!$E$2:$E$10,MATCH(INDEX('TE_OA_20200805_INTRDY_2020-08-0'!$T$2:$T$870,MATCH(Filter!B38,'TE_OA_20200805_INTRDY_2020-08-0'!$G$2:$G$870,0)),'Pipe Table'!$D$2:$D$10,0))</f>
        <v>TETCO</v>
      </c>
      <c r="B38">
        <v>70057</v>
      </c>
      <c r="C38" t="str">
        <f>INDEX('TE_OA_20200805_INTRDY_2020-08-0'!$J$2:$J$870,MATCH(Filter!B38,'TE_OA_20200805_INTRDY_2020-08-0'!$G$2:$G$870))</f>
        <v>Delivery</v>
      </c>
      <c r="D38" t="str">
        <f>INDEX('Pipe Table'!$B$2:$B$14,MATCH(INDEX(TeAllPoints!$I$2:$I$957,MATCH(Filter!B38,TeAllPoints!$B$2:$B$957,0)),'Pipe Table'!$A$2:$A$14,0))</f>
        <v>LDC</v>
      </c>
      <c r="E38" t="str">
        <f>INDEX('TE_OA_20200805_INTRDY_2020-08-0'!$H$2:$H$870,MATCH(Filter!B38,'TE_OA_20200805_INTRDY_2020-08-0'!$G$2:$G$870))</f>
        <v>Public Service - South Plainfield, NJ</v>
      </c>
      <c r="F38" t="str">
        <f>INDEX('Pipe Table'!$H$2:$H$8,MATCH('TE_OA_20200805_INTRDY_2020-08-0'!I19,'Pipe Table'!$G$2:$G$8,0))</f>
        <v>TETCO-M3</v>
      </c>
      <c r="G38" t="str">
        <f>INDEX(TeAllPoints!$D$2:$D$957,MATCH(Filter!B38,TeAllPoints!$B$2:$B$957,0))</f>
        <v>NJ</v>
      </c>
      <c r="H38" t="str">
        <f>INDEX(TeAllPoints!$E$2:$E$957,MATCH(Filter!B38,TeAllPoints!$B$2:$B$957,0))</f>
        <v>MIDDLESEX</v>
      </c>
      <c r="I38">
        <f>INDEX('TE_OA_20200805_INTRDY_2020-08-0'!$Q$2:$Q$870,MATCH(Filter!B38,'TE_OA_20200805_INTRDY_2020-08-0'!$G$2:$G$870))</f>
        <v>90979</v>
      </c>
      <c r="J38">
        <f>INDEX('TE_OA_20200805_INTRDY_2020-08-0'!$R$2:$R$870,MATCH(Filter!B38,'TE_OA_20200805_INTRDY_2020-08-0'!$G$2:$G$870))</f>
        <v>6617</v>
      </c>
    </row>
    <row r="39" spans="1:10" x14ac:dyDescent="0.25">
      <c r="A39" t="str">
        <f>INDEX('Pipe Table'!$E$2:$E$10,MATCH(INDEX('TE_OA_20200805_INTRDY_2020-08-0'!$T$2:$T$870,MATCH(Filter!B39,'TE_OA_20200805_INTRDY_2020-08-0'!$G$2:$G$870,0)),'Pipe Table'!$D$2:$D$10,0))</f>
        <v>TETCO</v>
      </c>
      <c r="B39">
        <v>70058</v>
      </c>
      <c r="C39" t="str">
        <f>INDEX('TE_OA_20200805_INTRDY_2020-08-0'!$J$2:$J$870,MATCH(Filter!B39,'TE_OA_20200805_INTRDY_2020-08-0'!$G$2:$G$870))</f>
        <v>Delivery</v>
      </c>
      <c r="D39" t="str">
        <f>INDEX('Pipe Table'!$B$2:$B$14,MATCH(INDEX(TeAllPoints!$I$2:$I$957,MATCH(Filter!B39,TeAllPoints!$B$2:$B$957,0)),'Pipe Table'!$A$2:$A$14,0))</f>
        <v>LDC</v>
      </c>
      <c r="E39" t="str">
        <f>INDEX('TE_OA_20200805_INTRDY_2020-08-0'!$H$2:$H$870,MATCH(Filter!B39,'TE_OA_20200805_INTRDY_2020-08-0'!$G$2:$G$870))</f>
        <v>National Grid Metro NY, Goethals Rd., Staten Island, Richmond Co.,</v>
      </c>
      <c r="F39" t="str">
        <f>INDEX('Pipe Table'!$H$2:$H$8,MATCH('TE_OA_20200805_INTRDY_2020-08-0'!I20,'Pipe Table'!$G$2:$G$8,0))</f>
        <v>TETCO-M3</v>
      </c>
      <c r="G39" t="str">
        <f>INDEX(TeAllPoints!$D$2:$D$957,MATCH(Filter!B39,TeAllPoints!$B$2:$B$957,0))</f>
        <v>NY</v>
      </c>
      <c r="H39" t="str">
        <f>INDEX(TeAllPoints!$E$2:$E$957,MATCH(Filter!B39,TeAllPoints!$B$2:$B$957,0))</f>
        <v>RICHMOND</v>
      </c>
      <c r="I39">
        <f>INDEX('TE_OA_20200805_INTRDY_2020-08-0'!$Q$2:$Q$870,MATCH(Filter!B39,'TE_OA_20200805_INTRDY_2020-08-0'!$G$2:$G$870))</f>
        <v>793250</v>
      </c>
      <c r="J39">
        <f>INDEX('TE_OA_20200805_INTRDY_2020-08-0'!$R$2:$R$870,MATCH(Filter!B39,'TE_OA_20200805_INTRDY_2020-08-0'!$G$2:$G$870))</f>
        <v>64553</v>
      </c>
    </row>
    <row r="40" spans="1:10" x14ac:dyDescent="0.25">
      <c r="A40" t="str">
        <f>INDEX('Pipe Table'!$E$2:$E$10,MATCH(INDEX('TE_OA_20200805_INTRDY_2020-08-0'!$T$2:$T$870,MATCH(Filter!B40,'TE_OA_20200805_INTRDY_2020-08-0'!$G$2:$G$870,0)),'Pipe Table'!$D$2:$D$10,0))</f>
        <v>TETCO</v>
      </c>
      <c r="B40">
        <v>70059</v>
      </c>
      <c r="C40" t="str">
        <f>INDEX('TE_OA_20200805_INTRDY_2020-08-0'!$J$2:$J$870,MATCH(Filter!B40,'TE_OA_20200805_INTRDY_2020-08-0'!$G$2:$G$870))</f>
        <v>Delivery</v>
      </c>
      <c r="D40" t="e">
        <f>INDEX('Pipe Table'!$B$2:$B$14,MATCH(INDEX(TeAllPoints!$I$2:$I$957,MATCH(Filter!B40,TeAllPoints!$B$2:$B$957,0)),'Pipe Table'!$A$2:$A$14,0))</f>
        <v>#N/A</v>
      </c>
      <c r="E40" t="str">
        <f>INDEX('TE_OA_20200805_INTRDY_2020-08-0'!$H$2:$H$870,MATCH(Filter!B40,'TE_OA_20200805_INTRDY_2020-08-0'!$G$2:$G$870))</f>
        <v>Chevron - Perth Amboy, NJ</v>
      </c>
      <c r="F40" t="str">
        <f>INDEX('Pipe Table'!$H$2:$H$8,MATCH('TE_OA_20200805_INTRDY_2020-08-0'!I21,'Pipe Table'!$G$2:$G$8,0))</f>
        <v>TETCO-M3</v>
      </c>
      <c r="G40" t="e">
        <f>INDEX(TeAllPoints!$D$2:$D$957,MATCH(Filter!B40,TeAllPoints!$B$2:$B$957,0))</f>
        <v>#N/A</v>
      </c>
      <c r="H40" t="e">
        <f>INDEX(TeAllPoints!$E$2:$E$957,MATCH(Filter!B40,TeAllPoints!$B$2:$B$957,0))</f>
        <v>#N/A</v>
      </c>
      <c r="I40">
        <f>INDEX('TE_OA_20200805_INTRDY_2020-08-0'!$Q$2:$Q$870,MATCH(Filter!B40,'TE_OA_20200805_INTRDY_2020-08-0'!$G$2:$G$870))</f>
        <v>24228</v>
      </c>
      <c r="J40">
        <f>INDEX('TE_OA_20200805_INTRDY_2020-08-0'!$R$2:$R$870,MATCH(Filter!B40,'TE_OA_20200805_INTRDY_2020-08-0'!$G$2:$G$870))</f>
        <v>0</v>
      </c>
    </row>
    <row r="41" spans="1:10" x14ac:dyDescent="0.25">
      <c r="A41" t="str">
        <f>INDEX('Pipe Table'!$E$2:$E$10,MATCH(INDEX('TE_OA_20200805_INTRDY_2020-08-0'!$T$2:$T$870,MATCH(Filter!B41,'TE_OA_20200805_INTRDY_2020-08-0'!$G$2:$G$870,0)),'Pipe Table'!$D$2:$D$10,0))</f>
        <v>TETCO</v>
      </c>
      <c r="B41">
        <v>70061</v>
      </c>
      <c r="C41" t="str">
        <f>INDEX('TE_OA_20200805_INTRDY_2020-08-0'!$J$2:$J$870,MATCH(Filter!B41,'TE_OA_20200805_INTRDY_2020-08-0'!$G$2:$G$870))</f>
        <v>Delivery</v>
      </c>
      <c r="D41" t="str">
        <f>INDEX('Pipe Table'!$B$2:$B$14,MATCH(INDEX(TeAllPoints!$I$2:$I$957,MATCH(Filter!B41,TeAllPoints!$B$2:$B$957,0)),'Pipe Table'!$A$2:$A$14,0))</f>
        <v>LDC</v>
      </c>
      <c r="E41" t="str">
        <f>INDEX('TE_OA_20200805_INTRDY_2020-08-0'!$H$2:$H$870,MATCH(Filter!B41,'TE_OA_20200805_INTRDY_2020-08-0'!$G$2:$G$870))</f>
        <v>Atmos Energy Corporation - Scott Co, MO</v>
      </c>
      <c r="F41" t="str">
        <f>INDEX('Pipe Table'!$H$2:$H$8,MATCH('TE_OA_20200805_INTRDY_2020-08-0'!I22,'Pipe Table'!$G$2:$G$8,0))</f>
        <v>TETCO-M1</v>
      </c>
      <c r="G41" t="str">
        <f>INDEX(TeAllPoints!$D$2:$D$957,MATCH(Filter!B41,TeAllPoints!$B$2:$B$957,0))</f>
        <v>MO</v>
      </c>
      <c r="H41" t="str">
        <f>INDEX(TeAllPoints!$E$2:$E$957,MATCH(Filter!B41,TeAllPoints!$B$2:$B$957,0))</f>
        <v>SCOTT</v>
      </c>
      <c r="I41">
        <f>INDEX('TE_OA_20200805_INTRDY_2020-08-0'!$Q$2:$Q$870,MATCH(Filter!B41,'TE_OA_20200805_INTRDY_2020-08-0'!$G$2:$G$870))</f>
        <v>52353</v>
      </c>
      <c r="J41">
        <f>INDEX('TE_OA_20200805_INTRDY_2020-08-0'!$R$2:$R$870,MATCH(Filter!B41,'TE_OA_20200805_INTRDY_2020-08-0'!$G$2:$G$870))</f>
        <v>0</v>
      </c>
    </row>
    <row r="42" spans="1:10" x14ac:dyDescent="0.25">
      <c r="A42" t="str">
        <f>INDEX('Pipe Table'!$E$2:$E$10,MATCH(INDEX('TE_OA_20200805_INTRDY_2020-08-0'!$T$2:$T$870,MATCH(Filter!B42,'TE_OA_20200805_INTRDY_2020-08-0'!$G$2:$G$870,0)),'Pipe Table'!$D$2:$D$10,0))</f>
        <v>TETCO</v>
      </c>
      <c r="B42">
        <v>70062</v>
      </c>
      <c r="C42" t="str">
        <f>INDEX('TE_OA_20200805_INTRDY_2020-08-0'!$J$2:$J$870,MATCH(Filter!B42,'TE_OA_20200805_INTRDY_2020-08-0'!$G$2:$G$870))</f>
        <v>Delivery</v>
      </c>
      <c r="D42" t="str">
        <f>INDEX('Pipe Table'!$B$2:$B$14,MATCH(INDEX(TeAllPoints!$I$2:$I$957,MATCH(Filter!B42,TeAllPoints!$B$2:$B$957,0)),'Pipe Table'!$A$2:$A$14,0))</f>
        <v>LDC</v>
      </c>
      <c r="E42" t="str">
        <f>INDEX('TE_OA_20200805_INTRDY_2020-08-0'!$H$2:$H$870,MATCH(Filter!B42,'TE_OA_20200805_INTRDY_2020-08-0'!$G$2:$G$870))</f>
        <v>Nat Gas &amp; Oil - Somerset, OH</v>
      </c>
      <c r="F42" t="str">
        <f>INDEX('Pipe Table'!$H$2:$H$8,MATCH('TE_OA_20200805_INTRDY_2020-08-0'!I23,'Pipe Table'!$G$2:$G$8,0))</f>
        <v>TETCO-M2</v>
      </c>
      <c r="G42" t="str">
        <f>INDEX(TeAllPoints!$D$2:$D$957,MATCH(Filter!B42,TeAllPoints!$B$2:$B$957,0))</f>
        <v>OH</v>
      </c>
      <c r="H42" t="str">
        <f>INDEX(TeAllPoints!$E$2:$E$957,MATCH(Filter!B42,TeAllPoints!$B$2:$B$957,0))</f>
        <v>PERRY</v>
      </c>
      <c r="I42">
        <f>INDEX('TE_OA_20200805_INTRDY_2020-08-0'!$Q$2:$Q$870,MATCH(Filter!B42,'TE_OA_20200805_INTRDY_2020-08-0'!$G$2:$G$870))</f>
        <v>35521</v>
      </c>
      <c r="J42">
        <f>INDEX('TE_OA_20200805_INTRDY_2020-08-0'!$R$2:$R$870,MATCH(Filter!B42,'TE_OA_20200805_INTRDY_2020-08-0'!$G$2:$G$870))</f>
        <v>10989</v>
      </c>
    </row>
    <row r="43" spans="1:10" x14ac:dyDescent="0.25">
      <c r="A43" t="str">
        <f>INDEX('Pipe Table'!$E$2:$E$10,MATCH(INDEX('TE_OA_20200805_INTRDY_2020-08-0'!$T$2:$T$870,MATCH(Filter!B43,'TE_OA_20200805_INTRDY_2020-08-0'!$G$2:$G$870,0)),'Pipe Table'!$D$2:$D$10,0))</f>
        <v>TETCO</v>
      </c>
      <c r="B43">
        <v>70063</v>
      </c>
      <c r="C43" t="str">
        <f>INDEX('TE_OA_20200805_INTRDY_2020-08-0'!$J$2:$J$870,MATCH(Filter!B43,'TE_OA_20200805_INTRDY_2020-08-0'!$G$2:$G$870))</f>
        <v>Delivery</v>
      </c>
      <c r="D43" t="str">
        <f>INDEX('Pipe Table'!$B$2:$B$14,MATCH(INDEX(TeAllPoints!$I$2:$I$957,MATCH(Filter!B43,TeAllPoints!$B$2:$B$957,0)),'Pipe Table'!$A$2:$A$14,0))</f>
        <v>LDC</v>
      </c>
      <c r="E43" t="str">
        <f>INDEX('TE_OA_20200805_INTRDY_2020-08-0'!$H$2:$H$870,MATCH(Filter!B43,'TE_OA_20200805_INTRDY_2020-08-0'!$G$2:$G$870))</f>
        <v>Huntingburg, IN</v>
      </c>
      <c r="F43" t="str">
        <f>INDEX('Pipe Table'!$H$2:$H$8,MATCH('TE_OA_20200805_INTRDY_2020-08-0'!I24,'Pipe Table'!$G$2:$G$8,0))</f>
        <v>TETCO-M2</v>
      </c>
      <c r="G43" t="str">
        <f>INDEX(TeAllPoints!$D$2:$D$957,MATCH(Filter!B43,TeAllPoints!$B$2:$B$957,0))</f>
        <v>IN</v>
      </c>
      <c r="H43" t="str">
        <f>INDEX(TeAllPoints!$E$2:$E$957,MATCH(Filter!B43,TeAllPoints!$B$2:$B$957,0))</f>
        <v>DUBOIS</v>
      </c>
      <c r="I43">
        <f>INDEX('TE_OA_20200805_INTRDY_2020-08-0'!$Q$2:$Q$870,MATCH(Filter!B43,'TE_OA_20200805_INTRDY_2020-08-0'!$G$2:$G$870))</f>
        <v>10016</v>
      </c>
      <c r="J43">
        <f>INDEX('TE_OA_20200805_INTRDY_2020-08-0'!$R$2:$R$870,MATCH(Filter!B43,'TE_OA_20200805_INTRDY_2020-08-0'!$G$2:$G$870))</f>
        <v>1</v>
      </c>
    </row>
    <row r="44" spans="1:10" x14ac:dyDescent="0.25">
      <c r="A44" t="str">
        <f>INDEX('Pipe Table'!$E$2:$E$10,MATCH(INDEX('TE_OA_20200805_INTRDY_2020-08-0'!$T$2:$T$870,MATCH(Filter!B44,'TE_OA_20200805_INTRDY_2020-08-0'!$G$2:$G$870,0)),'Pipe Table'!$D$2:$D$10,0))</f>
        <v>TETCO</v>
      </c>
      <c r="B44">
        <v>70065</v>
      </c>
      <c r="C44" t="str">
        <f>INDEX('TE_OA_20200805_INTRDY_2020-08-0'!$J$2:$J$870,MATCH(Filter!B44,'TE_OA_20200805_INTRDY_2020-08-0'!$G$2:$G$870))</f>
        <v>Delivery</v>
      </c>
      <c r="D44" t="str">
        <f>INDEX('Pipe Table'!$B$2:$B$14,MATCH(INDEX(TeAllPoints!$I$2:$I$957,MATCH(Filter!B44,TeAllPoints!$B$2:$B$957,0)),'Pipe Table'!$A$2:$A$14,0))</f>
        <v>Intrcnnct</v>
      </c>
      <c r="E44" t="str">
        <f>INDEX('TE_OA_20200805_INTRDY_2020-08-0'!$H$2:$H$870,MATCH(Filter!B44,'TE_OA_20200805_INTRDY_2020-08-0'!$G$2:$G$870))</f>
        <v>Texas Gas Transmission - Lisbon, LA  (Delivery)</v>
      </c>
      <c r="F44" t="str">
        <f>INDEX('Pipe Table'!$H$2:$H$8,MATCH('TE_OA_20200805_INTRDY_2020-08-0'!I25,'Pipe Table'!$G$2:$G$8,0))</f>
        <v>TETCO-ETX</v>
      </c>
      <c r="G44" t="str">
        <f>INDEX(TeAllPoints!$D$2:$D$957,MATCH(Filter!B44,TeAllPoints!$B$2:$B$957,0))</f>
        <v>LA</v>
      </c>
      <c r="H44" t="str">
        <f>INDEX(TeAllPoints!$E$2:$E$957,MATCH(Filter!B44,TeAllPoints!$B$2:$B$957,0))</f>
        <v>CLAIBORNE</v>
      </c>
      <c r="I44">
        <f>INDEX('TE_OA_20200805_INTRDY_2020-08-0'!$Q$2:$Q$870,MATCH(Filter!B44,'TE_OA_20200805_INTRDY_2020-08-0'!$G$2:$G$870))</f>
        <v>374724</v>
      </c>
      <c r="J44">
        <f>INDEX('TE_OA_20200805_INTRDY_2020-08-0'!$R$2:$R$870,MATCH(Filter!B44,'TE_OA_20200805_INTRDY_2020-08-0'!$G$2:$G$870))</f>
        <v>0</v>
      </c>
    </row>
    <row r="45" spans="1:10" x14ac:dyDescent="0.25">
      <c r="A45" t="str">
        <f>INDEX('Pipe Table'!$E$2:$E$10,MATCH(INDEX('TE_OA_20200805_INTRDY_2020-08-0'!$T$2:$T$870,MATCH(Filter!B45,'TE_OA_20200805_INTRDY_2020-08-0'!$G$2:$G$870,0)),'Pipe Table'!$D$2:$D$10,0))</f>
        <v>TETCO</v>
      </c>
      <c r="B45">
        <v>70066</v>
      </c>
      <c r="C45" t="str">
        <f>INDEX('TE_OA_20200805_INTRDY_2020-08-0'!$J$2:$J$870,MATCH(Filter!B45,'TE_OA_20200805_INTRDY_2020-08-0'!$G$2:$G$870))</f>
        <v>Delivery</v>
      </c>
      <c r="D45" t="str">
        <f>INDEX('Pipe Table'!$B$2:$B$14,MATCH(INDEX(TeAllPoints!$I$2:$I$957,MATCH(Filter!B45,TeAllPoints!$B$2:$B$957,0)),'Pipe Table'!$A$2:$A$14,0))</f>
        <v>LDC</v>
      </c>
      <c r="E45" t="str">
        <f>INDEX('TE_OA_20200805_INTRDY_2020-08-0'!$H$2:$H$870,MATCH(Filter!B45,'TE_OA_20200805_INTRDY_2020-08-0'!$G$2:$G$870))</f>
        <v>Public Service - Sewaren, NJ</v>
      </c>
      <c r="F45" t="str">
        <f>INDEX('Pipe Table'!$H$2:$H$8,MATCH('TE_OA_20200805_INTRDY_2020-08-0'!I26,'Pipe Table'!$G$2:$G$8,0))</f>
        <v>TETCO-M3</v>
      </c>
      <c r="G45" t="str">
        <f>INDEX(TeAllPoints!$D$2:$D$957,MATCH(Filter!B45,TeAllPoints!$B$2:$B$957,0))</f>
        <v>NJ</v>
      </c>
      <c r="H45" t="str">
        <f>INDEX(TeAllPoints!$E$2:$E$957,MATCH(Filter!B45,TeAllPoints!$B$2:$B$957,0))</f>
        <v>MIDDLESEX</v>
      </c>
      <c r="I45">
        <f>INDEX('TE_OA_20200805_INTRDY_2020-08-0'!$Q$2:$Q$870,MATCH(Filter!B45,'TE_OA_20200805_INTRDY_2020-08-0'!$G$2:$G$870))</f>
        <v>145137</v>
      </c>
      <c r="J45">
        <f>INDEX('TE_OA_20200805_INTRDY_2020-08-0'!$R$2:$R$870,MATCH(Filter!B45,'TE_OA_20200805_INTRDY_2020-08-0'!$G$2:$G$870))</f>
        <v>11242</v>
      </c>
    </row>
    <row r="46" spans="1:10" x14ac:dyDescent="0.25">
      <c r="A46" t="str">
        <f>INDEX('Pipe Table'!$E$2:$E$10,MATCH(INDEX('TE_OA_20200805_INTRDY_2020-08-0'!$T$2:$T$870,MATCH(Filter!B46,'TE_OA_20200805_INTRDY_2020-08-0'!$G$2:$G$870,0)),'Pipe Table'!$D$2:$D$10,0))</f>
        <v>TETCO</v>
      </c>
      <c r="B46">
        <v>70069</v>
      </c>
      <c r="C46" t="str">
        <f>INDEX('TE_OA_20200805_INTRDY_2020-08-0'!$J$2:$J$870,MATCH(Filter!B46,'TE_OA_20200805_INTRDY_2020-08-0'!$G$2:$G$870))</f>
        <v>Delivery</v>
      </c>
      <c r="D46" t="str">
        <f>INDEX('Pipe Table'!$B$2:$B$14,MATCH(INDEX(TeAllPoints!$I$2:$I$957,MATCH(Filter!B46,TeAllPoints!$B$2:$B$957,0)),'Pipe Table'!$A$2:$A$14,0))</f>
        <v>LDC</v>
      </c>
      <c r="E46" t="str">
        <f>INDEX('TE_OA_20200805_INTRDY_2020-08-0'!$H$2:$H$870,MATCH(Filter!B46,'TE_OA_20200805_INTRDY_2020-08-0'!$G$2:$G$870))</f>
        <v>UGI Utilities, Inc. (Columbia Gas)  - Columbia, PA</v>
      </c>
      <c r="F46" t="str">
        <f>INDEX('Pipe Table'!$H$2:$H$8,MATCH('TE_OA_20200805_INTRDY_2020-08-0'!I27,'Pipe Table'!$G$2:$G$8,0))</f>
        <v>TETCO-M3</v>
      </c>
      <c r="G46" t="str">
        <f>INDEX(TeAllPoints!$D$2:$D$957,MATCH(Filter!B46,TeAllPoints!$B$2:$B$957,0))</f>
        <v>PA</v>
      </c>
      <c r="H46" t="str">
        <f>INDEX(TeAllPoints!$E$2:$E$957,MATCH(Filter!B46,TeAllPoints!$B$2:$B$957,0))</f>
        <v>LANCASTER</v>
      </c>
      <c r="I46">
        <f>INDEX('TE_OA_20200805_INTRDY_2020-08-0'!$Q$2:$Q$870,MATCH(Filter!B46,'TE_OA_20200805_INTRDY_2020-08-0'!$G$2:$G$870))</f>
        <v>14434</v>
      </c>
      <c r="J46">
        <f>INDEX('TE_OA_20200805_INTRDY_2020-08-0'!$R$2:$R$870,MATCH(Filter!B46,'TE_OA_20200805_INTRDY_2020-08-0'!$G$2:$G$870))</f>
        <v>744</v>
      </c>
    </row>
    <row r="47" spans="1:10" x14ac:dyDescent="0.25">
      <c r="A47" t="str">
        <f>INDEX('Pipe Table'!$E$2:$E$10,MATCH(INDEX('TE_OA_20200805_INTRDY_2020-08-0'!$T$2:$T$870,MATCH(Filter!B47,'TE_OA_20200805_INTRDY_2020-08-0'!$G$2:$G$870,0)),'Pipe Table'!$D$2:$D$10,0))</f>
        <v>TETCO</v>
      </c>
      <c r="B47">
        <v>70070</v>
      </c>
      <c r="C47" t="str">
        <f>INDEX('TE_OA_20200805_INTRDY_2020-08-0'!$J$2:$J$870,MATCH(Filter!B47,'TE_OA_20200805_INTRDY_2020-08-0'!$G$2:$G$870))</f>
        <v>Delivery</v>
      </c>
      <c r="D47" t="str">
        <f>INDEX('Pipe Table'!$B$2:$B$14,MATCH(INDEX(TeAllPoints!$I$2:$I$957,MATCH(Filter!B47,TeAllPoints!$B$2:$B$957,0)),'Pipe Table'!$A$2:$A$14,0))</f>
        <v>LDC</v>
      </c>
      <c r="E47" t="str">
        <f>INDEX('TE_OA_20200805_INTRDY_2020-08-0'!$H$2:$H$870,MATCH(Filter!B47,'TE_OA_20200805_INTRDY_2020-08-0'!$G$2:$G$870))</f>
        <v>UGI Utilities, Inc. (Columbia Gas) -Lancaster, PA</v>
      </c>
      <c r="F47" t="str">
        <f>INDEX('Pipe Table'!$H$2:$H$8,MATCH('TE_OA_20200805_INTRDY_2020-08-0'!I28,'Pipe Table'!$G$2:$G$8,0))</f>
        <v>TETCO-M3</v>
      </c>
      <c r="G47" t="str">
        <f>INDEX(TeAllPoints!$D$2:$D$957,MATCH(Filter!B47,TeAllPoints!$B$2:$B$957,0))</f>
        <v>PA</v>
      </c>
      <c r="H47" t="str">
        <f>INDEX(TeAllPoints!$E$2:$E$957,MATCH(Filter!B47,TeAllPoints!$B$2:$B$957,0))</f>
        <v>LANCASTER</v>
      </c>
      <c r="I47">
        <f>INDEX('TE_OA_20200805_INTRDY_2020-08-0'!$Q$2:$Q$870,MATCH(Filter!B47,'TE_OA_20200805_INTRDY_2020-08-0'!$G$2:$G$870))</f>
        <v>80641</v>
      </c>
      <c r="J47">
        <f>INDEX('TE_OA_20200805_INTRDY_2020-08-0'!$R$2:$R$870,MATCH(Filter!B47,'TE_OA_20200805_INTRDY_2020-08-0'!$G$2:$G$870))</f>
        <v>20992</v>
      </c>
    </row>
    <row r="48" spans="1:10" x14ac:dyDescent="0.25">
      <c r="A48" t="str">
        <f>INDEX('Pipe Table'!$E$2:$E$10,MATCH(INDEX('TE_OA_20200805_INTRDY_2020-08-0'!$T$2:$T$870,MATCH(Filter!B48,'TE_OA_20200805_INTRDY_2020-08-0'!$G$2:$G$870,0)),'Pipe Table'!$D$2:$D$10,0))</f>
        <v>TETCO</v>
      </c>
      <c r="B48">
        <v>70077</v>
      </c>
      <c r="C48" t="str">
        <f>INDEX('TE_OA_20200805_INTRDY_2020-08-0'!$J$2:$J$870,MATCH(Filter!B48,'TE_OA_20200805_INTRDY_2020-08-0'!$G$2:$G$870))</f>
        <v>Delivery</v>
      </c>
      <c r="D48" t="str">
        <f>INDEX('Pipe Table'!$B$2:$B$14,MATCH(INDEX(TeAllPoints!$I$2:$I$957,MATCH(Filter!B48,TeAllPoints!$B$2:$B$957,0)),'Pipe Table'!$A$2:$A$14,0))</f>
        <v>Intrcnnct</v>
      </c>
      <c r="E48" t="str">
        <f>INDEX('TE_OA_20200805_INTRDY_2020-08-0'!$H$2:$H$870,MATCH(Filter!B48,'TE_OA_20200805_INTRDY_2020-08-0'!$G$2:$G$870))</f>
        <v>Columbia Gas - Hooker, OH</v>
      </c>
      <c r="F48" t="str">
        <f>INDEX('Pipe Table'!$H$2:$H$8,MATCH('TE_OA_20200805_INTRDY_2020-08-0'!I29,'Pipe Table'!$G$2:$G$8,0))</f>
        <v>TETCO-M2</v>
      </c>
      <c r="G48" t="str">
        <f>INDEX(TeAllPoints!$D$2:$D$957,MATCH(Filter!B48,TeAllPoints!$B$2:$B$957,0))</f>
        <v>OH</v>
      </c>
      <c r="H48" t="str">
        <f>INDEX(TeAllPoints!$E$2:$E$957,MATCH(Filter!B48,TeAllPoints!$B$2:$B$957,0))</f>
        <v>FAIRFIELD</v>
      </c>
      <c r="I48">
        <f>INDEX('TE_OA_20200805_INTRDY_2020-08-0'!$Q$2:$Q$870,MATCH(Filter!B48,'TE_OA_20200805_INTRDY_2020-08-0'!$G$2:$G$870))</f>
        <v>300949</v>
      </c>
      <c r="J48">
        <f>INDEX('TE_OA_20200805_INTRDY_2020-08-0'!$R$2:$R$870,MATCH(Filter!B48,'TE_OA_20200805_INTRDY_2020-08-0'!$G$2:$G$870))</f>
        <v>0</v>
      </c>
    </row>
    <row r="49" spans="1:10" x14ac:dyDescent="0.25">
      <c r="A49" t="str">
        <f>INDEX('Pipe Table'!$E$2:$E$10,MATCH(INDEX('TE_OA_20200805_INTRDY_2020-08-0'!$T$2:$T$870,MATCH(Filter!B49,'TE_OA_20200805_INTRDY_2020-08-0'!$G$2:$G$870,0)),'Pipe Table'!$D$2:$D$10,0))</f>
        <v>TETCO</v>
      </c>
      <c r="B49">
        <v>70079</v>
      </c>
      <c r="C49" t="str">
        <f>INDEX('TE_OA_20200805_INTRDY_2020-08-0'!$J$2:$J$870,MATCH(Filter!B49,'TE_OA_20200805_INTRDY_2020-08-0'!$G$2:$G$870))</f>
        <v>Delivery</v>
      </c>
      <c r="D49" t="str">
        <f>INDEX('Pipe Table'!$B$2:$B$14,MATCH(INDEX(TeAllPoints!$I$2:$I$957,MATCH(Filter!B49,TeAllPoints!$B$2:$B$957,0)),'Pipe Table'!$A$2:$A$14,0))</f>
        <v>LDC</v>
      </c>
      <c r="E49" t="str">
        <f>INDEX('TE_OA_20200805_INTRDY_2020-08-0'!$H$2:$H$870,MATCH(Filter!B49,'TE_OA_20200805_INTRDY_2020-08-0'!$G$2:$G$870))</f>
        <v>Atmos Energy Corporation- Jim Hill, MO</v>
      </c>
      <c r="F49" t="str">
        <f>INDEX('Pipe Table'!$H$2:$H$8,MATCH('TE_OA_20200805_INTRDY_2020-08-0'!I30,'Pipe Table'!$G$2:$G$8,0))</f>
        <v>TETCO-M1</v>
      </c>
      <c r="G49" t="str">
        <f>INDEX(TeAllPoints!$D$2:$D$957,MATCH(Filter!B49,TeAllPoints!$B$2:$B$957,0))</f>
        <v>MO</v>
      </c>
      <c r="H49" t="str">
        <f>INDEX(TeAllPoints!$E$2:$E$957,MATCH(Filter!B49,TeAllPoints!$B$2:$B$957,0))</f>
        <v>DUNKLIN</v>
      </c>
      <c r="I49">
        <f>INDEX('TE_OA_20200805_INTRDY_2020-08-0'!$Q$2:$Q$870,MATCH(Filter!B49,'TE_OA_20200805_INTRDY_2020-08-0'!$G$2:$G$870))</f>
        <v>79987</v>
      </c>
      <c r="J49">
        <f>INDEX('TE_OA_20200805_INTRDY_2020-08-0'!$R$2:$R$870,MATCH(Filter!B49,'TE_OA_20200805_INTRDY_2020-08-0'!$G$2:$G$870))</f>
        <v>2851</v>
      </c>
    </row>
    <row r="50" spans="1:10" x14ac:dyDescent="0.25">
      <c r="A50" t="str">
        <f>INDEX('Pipe Table'!$E$2:$E$10,MATCH(INDEX('TE_OA_20200805_INTRDY_2020-08-0'!$T$2:$T$870,MATCH(Filter!B50,'TE_OA_20200805_INTRDY_2020-08-0'!$G$2:$G$870,0)),'Pipe Table'!$D$2:$D$10,0))</f>
        <v>TETCO</v>
      </c>
      <c r="B50">
        <v>70081</v>
      </c>
      <c r="C50" t="str">
        <f>INDEX('TE_OA_20200805_INTRDY_2020-08-0'!$J$2:$J$870,MATCH(Filter!B50,'TE_OA_20200805_INTRDY_2020-08-0'!$G$2:$G$870))</f>
        <v>Delivery</v>
      </c>
      <c r="D50" t="str">
        <f>INDEX('Pipe Table'!$B$2:$B$14,MATCH(INDEX(TeAllPoints!$I$2:$I$957,MATCH(Filter!B50,TeAllPoints!$B$2:$B$957,0)),'Pipe Table'!$A$2:$A$14,0))</f>
        <v>Intrcnnct</v>
      </c>
      <c r="E50" t="str">
        <f>INDEX('TE_OA_20200805_INTRDY_2020-08-0'!$H$2:$H$870,MATCH(Filter!B50,'TE_OA_20200805_INTRDY_2020-08-0'!$G$2:$G$870))</f>
        <v>Columbia Gas - Sabina, OH</v>
      </c>
      <c r="F50" t="str">
        <f>INDEX('Pipe Table'!$H$2:$H$8,MATCH('TE_OA_20200805_INTRDY_2020-08-0'!I31,'Pipe Table'!$G$2:$G$8,0))</f>
        <v>TETCO-M2</v>
      </c>
      <c r="G50" t="str">
        <f>INDEX(TeAllPoints!$D$2:$D$957,MATCH(Filter!B50,TeAllPoints!$B$2:$B$957,0))</f>
        <v>OH</v>
      </c>
      <c r="H50" t="str">
        <f>INDEX(TeAllPoints!$E$2:$E$957,MATCH(Filter!B50,TeAllPoints!$B$2:$B$957,0))</f>
        <v>FAYETTE</v>
      </c>
      <c r="I50">
        <f>INDEX('TE_OA_20200805_INTRDY_2020-08-0'!$Q$2:$Q$870,MATCH(Filter!B50,'TE_OA_20200805_INTRDY_2020-08-0'!$G$2:$G$870))</f>
        <v>36372</v>
      </c>
      <c r="J50">
        <f>INDEX('TE_OA_20200805_INTRDY_2020-08-0'!$R$2:$R$870,MATCH(Filter!B50,'TE_OA_20200805_INTRDY_2020-08-0'!$G$2:$G$870))</f>
        <v>6000</v>
      </c>
    </row>
    <row r="51" spans="1:10" x14ac:dyDescent="0.25">
      <c r="A51" t="str">
        <f>INDEX('Pipe Table'!$E$2:$E$10,MATCH(INDEX('TE_OA_20200805_INTRDY_2020-08-0'!$T$2:$T$870,MATCH(Filter!B51,'TE_OA_20200805_INTRDY_2020-08-0'!$G$2:$G$870,0)),'Pipe Table'!$D$2:$D$10,0))</f>
        <v>TETCO</v>
      </c>
      <c r="B51">
        <v>70087</v>
      </c>
      <c r="C51" t="str">
        <f>INDEX('TE_OA_20200805_INTRDY_2020-08-0'!$J$2:$J$870,MATCH(Filter!B51,'TE_OA_20200805_INTRDY_2020-08-0'!$G$2:$G$870))</f>
        <v>Delivery</v>
      </c>
      <c r="D51" t="str">
        <f>INDEX('Pipe Table'!$B$2:$B$14,MATCH(INDEX(TeAllPoints!$I$2:$I$957,MATCH(Filter!B51,TeAllPoints!$B$2:$B$957,0)),'Pipe Table'!$A$2:$A$14,0))</f>
        <v>Intrcnnct</v>
      </c>
      <c r="E51" t="str">
        <f>INDEX('TE_OA_20200805_INTRDY_2020-08-0'!$H$2:$H$870,MATCH(Filter!B51,'TE_OA_20200805_INTRDY_2020-08-0'!$G$2:$G$870))</f>
        <v>Algonquin - Lambertville, NJ</v>
      </c>
      <c r="F51" t="str">
        <f>INDEX('Pipe Table'!$H$2:$H$8,MATCH('TE_OA_20200805_INTRDY_2020-08-0'!I32,'Pipe Table'!$G$2:$G$8,0))</f>
        <v>TETCO-M3</v>
      </c>
      <c r="G51" t="str">
        <f>INDEX(TeAllPoints!$D$2:$D$957,MATCH(Filter!B51,TeAllPoints!$B$2:$B$957,0))</f>
        <v>NJ</v>
      </c>
      <c r="H51" t="str">
        <f>INDEX(TeAllPoints!$E$2:$E$957,MATCH(Filter!B51,TeAllPoints!$B$2:$B$957,0))</f>
        <v>HUNTERDON</v>
      </c>
      <c r="I51">
        <f>INDEX('TE_OA_20200805_INTRDY_2020-08-0'!$Q$2:$Q$870,MATCH(Filter!B51,'TE_OA_20200805_INTRDY_2020-08-0'!$G$2:$G$870))</f>
        <v>1171501</v>
      </c>
      <c r="J51">
        <f>INDEX('TE_OA_20200805_INTRDY_2020-08-0'!$R$2:$R$870,MATCH(Filter!B51,'TE_OA_20200805_INTRDY_2020-08-0'!$G$2:$G$870))</f>
        <v>157137</v>
      </c>
    </row>
    <row r="52" spans="1:10" x14ac:dyDescent="0.25">
      <c r="A52" t="str">
        <f>INDEX('Pipe Table'!$E$2:$E$10,MATCH(INDEX('TE_OA_20200805_INTRDY_2020-08-0'!$T$2:$T$870,MATCH(Filter!B52,'TE_OA_20200805_INTRDY_2020-08-0'!$G$2:$G$870,0)),'Pipe Table'!$D$2:$D$10,0))</f>
        <v>TETCO</v>
      </c>
      <c r="B52">
        <v>70089</v>
      </c>
      <c r="C52" t="str">
        <f>INDEX('TE_OA_20200805_INTRDY_2020-08-0'!$J$2:$J$870,MATCH(Filter!B52,'TE_OA_20200805_INTRDY_2020-08-0'!$G$2:$G$870))</f>
        <v>Delivery</v>
      </c>
      <c r="D52" t="str">
        <f>INDEX('Pipe Table'!$B$2:$B$14,MATCH(INDEX(TeAllPoints!$I$2:$I$957,MATCH(Filter!B52,TeAllPoints!$B$2:$B$957,0)),'Pipe Table'!$A$2:$A$14,0))</f>
        <v>LDC</v>
      </c>
      <c r="E52" t="str">
        <f>INDEX('TE_OA_20200805_INTRDY_2020-08-0'!$H$2:$H$870,MATCH(Filter!B52,'TE_OA_20200805_INTRDY_2020-08-0'!$G$2:$G$870))</f>
        <v>Consumers Gas Co. - Carmi, IL</v>
      </c>
      <c r="F52" t="str">
        <f>INDEX('Pipe Table'!$H$2:$H$8,MATCH('TE_OA_20200805_INTRDY_2020-08-0'!I33,'Pipe Table'!$G$2:$G$8,0))</f>
        <v>TETCO-M1</v>
      </c>
      <c r="G52" t="str">
        <f>INDEX(TeAllPoints!$D$2:$D$957,MATCH(Filter!B52,TeAllPoints!$B$2:$B$957,0))</f>
        <v>IL</v>
      </c>
      <c r="H52" t="str">
        <f>INDEX(TeAllPoints!$E$2:$E$957,MATCH(Filter!B52,TeAllPoints!$B$2:$B$957,0))</f>
        <v>WHITE</v>
      </c>
      <c r="I52">
        <f>INDEX('TE_OA_20200805_INTRDY_2020-08-0'!$Q$2:$Q$870,MATCH(Filter!B52,'TE_OA_20200805_INTRDY_2020-08-0'!$G$2:$G$870))</f>
        <v>18561</v>
      </c>
      <c r="J52">
        <f>INDEX('TE_OA_20200805_INTRDY_2020-08-0'!$R$2:$R$870,MATCH(Filter!B52,'TE_OA_20200805_INTRDY_2020-08-0'!$G$2:$G$870))</f>
        <v>115</v>
      </c>
    </row>
    <row r="53" spans="1:10" x14ac:dyDescent="0.25">
      <c r="A53" t="str">
        <f>INDEX('Pipe Table'!$E$2:$E$10,MATCH(INDEX('TE_OA_20200805_INTRDY_2020-08-0'!$T$2:$T$870,MATCH(Filter!B53,'TE_OA_20200805_INTRDY_2020-08-0'!$G$2:$G$870,0)),'Pipe Table'!$D$2:$D$10,0))</f>
        <v>TETCO</v>
      </c>
      <c r="B53">
        <v>70090</v>
      </c>
      <c r="C53" t="str">
        <f>INDEX('TE_OA_20200805_INTRDY_2020-08-0'!$J$2:$J$870,MATCH(Filter!B53,'TE_OA_20200805_INTRDY_2020-08-0'!$G$2:$G$870))</f>
        <v>Delivery</v>
      </c>
      <c r="D53" t="str">
        <f>INDEX('Pipe Table'!$B$2:$B$14,MATCH(INDEX(TeAllPoints!$I$2:$I$957,MATCH(Filter!B53,TeAllPoints!$B$2:$B$957,0)),'Pipe Table'!$A$2:$A$14,0))</f>
        <v>LDC</v>
      </c>
      <c r="E53" t="str">
        <f>INDEX('TE_OA_20200805_INTRDY_2020-08-0'!$H$2:$H$870,MATCH(Filter!B53,'TE_OA_20200805_INTRDY_2020-08-0'!$G$2:$G$870))</f>
        <v>Somerset Gas - Casey Co., KY</v>
      </c>
      <c r="F53" t="str">
        <f>INDEX('Pipe Table'!$H$2:$H$8,MATCH('TE_OA_20200805_INTRDY_2020-08-0'!I34,'Pipe Table'!$G$2:$G$8,0))</f>
        <v>TETCO-M2</v>
      </c>
      <c r="G53" t="str">
        <f>INDEX(TeAllPoints!$D$2:$D$957,MATCH(Filter!B53,TeAllPoints!$B$2:$B$957,0))</f>
        <v>KY</v>
      </c>
      <c r="H53" t="str">
        <f>INDEX(TeAllPoints!$E$2:$E$957,MATCH(Filter!B53,TeAllPoints!$B$2:$B$957,0))</f>
        <v>CASEY</v>
      </c>
      <c r="I53">
        <f>INDEX('TE_OA_20200805_INTRDY_2020-08-0'!$Q$2:$Q$870,MATCH(Filter!B53,'TE_OA_20200805_INTRDY_2020-08-0'!$G$2:$G$870))</f>
        <v>10922</v>
      </c>
      <c r="J53">
        <f>INDEX('TE_OA_20200805_INTRDY_2020-08-0'!$R$2:$R$870,MATCH(Filter!B53,'TE_OA_20200805_INTRDY_2020-08-0'!$G$2:$G$870))</f>
        <v>0</v>
      </c>
    </row>
    <row r="54" spans="1:10" x14ac:dyDescent="0.25">
      <c r="A54" t="str">
        <f>INDEX('Pipe Table'!$E$2:$E$10,MATCH(INDEX('TE_OA_20200805_INTRDY_2020-08-0'!$T$2:$T$870,MATCH(Filter!B54,'TE_OA_20200805_INTRDY_2020-08-0'!$G$2:$G$870,0)),'Pipe Table'!$D$2:$D$10,0))</f>
        <v>TETCO</v>
      </c>
      <c r="B54">
        <v>70092</v>
      </c>
      <c r="C54" t="str">
        <f>INDEX('TE_OA_20200805_INTRDY_2020-08-0'!$J$2:$J$870,MATCH(Filter!B54,'TE_OA_20200805_INTRDY_2020-08-0'!$G$2:$G$870))</f>
        <v>Delivery</v>
      </c>
      <c r="D54" t="str">
        <f>INDEX('Pipe Table'!$B$2:$B$14,MATCH(INDEX(TeAllPoints!$I$2:$I$957,MATCH(Filter!B54,TeAllPoints!$B$2:$B$957,0)),'Pipe Table'!$A$2:$A$14,0))</f>
        <v>LDC</v>
      </c>
      <c r="E54" t="str">
        <f>INDEX('TE_OA_20200805_INTRDY_2020-08-0'!$H$2:$H$870,MATCH(Filter!B54,'TE_OA_20200805_INTRDY_2020-08-0'!$G$2:$G$870))</f>
        <v>Norris City, IL</v>
      </c>
      <c r="F54" t="str">
        <f>INDEX('Pipe Table'!$H$2:$H$8,MATCH('TE_OA_20200805_INTRDY_2020-08-0'!I35,'Pipe Table'!$G$2:$G$8,0))</f>
        <v>TETCO-M1</v>
      </c>
      <c r="G54" t="str">
        <f>INDEX(TeAllPoints!$D$2:$D$957,MATCH(Filter!B54,TeAllPoints!$B$2:$B$957,0))</f>
        <v>IL</v>
      </c>
      <c r="H54" t="str">
        <f>INDEX(TeAllPoints!$E$2:$E$957,MATCH(Filter!B54,TeAllPoints!$B$2:$B$957,0))</f>
        <v>WHITE</v>
      </c>
      <c r="I54">
        <f>INDEX('TE_OA_20200805_INTRDY_2020-08-0'!$Q$2:$Q$870,MATCH(Filter!B54,'TE_OA_20200805_INTRDY_2020-08-0'!$G$2:$G$870))</f>
        <v>3265</v>
      </c>
      <c r="J54">
        <f>INDEX('TE_OA_20200805_INTRDY_2020-08-0'!$R$2:$R$870,MATCH(Filter!B54,'TE_OA_20200805_INTRDY_2020-08-0'!$G$2:$G$870))</f>
        <v>23</v>
      </c>
    </row>
    <row r="55" spans="1:10" x14ac:dyDescent="0.25">
      <c r="A55" t="str">
        <f>INDEX('Pipe Table'!$E$2:$E$10,MATCH(INDEX('TE_OA_20200805_INTRDY_2020-08-0'!$T$2:$T$870,MATCH(Filter!B55,'TE_OA_20200805_INTRDY_2020-08-0'!$G$2:$G$870,0)),'Pipe Table'!$D$2:$D$10,0))</f>
        <v>TETCO</v>
      </c>
      <c r="B55">
        <v>70093</v>
      </c>
      <c r="C55" t="str">
        <f>INDEX('TE_OA_20200805_INTRDY_2020-08-0'!$J$2:$J$870,MATCH(Filter!B55,'TE_OA_20200805_INTRDY_2020-08-0'!$G$2:$G$870))</f>
        <v>Delivery</v>
      </c>
      <c r="D55" t="str">
        <f>INDEX('Pipe Table'!$B$2:$B$14,MATCH(INDEX(TeAllPoints!$I$2:$I$957,MATCH(Filter!B55,TeAllPoints!$B$2:$B$957,0)),'Pipe Table'!$A$2:$A$14,0))</f>
        <v>LDC</v>
      </c>
      <c r="E55" t="str">
        <f>INDEX('TE_OA_20200805_INTRDY_2020-08-0'!$H$2:$H$870,MATCH(Filter!B55,'TE_OA_20200805_INTRDY_2020-08-0'!$G$2:$G$870))</f>
        <v>Jasper, IN</v>
      </c>
      <c r="F55" t="str">
        <f>INDEX('Pipe Table'!$H$2:$H$8,MATCH('TE_OA_20200805_INTRDY_2020-08-0'!I36,'Pipe Table'!$G$2:$G$8,0))</f>
        <v>TETCO-M2</v>
      </c>
      <c r="G55" t="str">
        <f>INDEX(TeAllPoints!$D$2:$D$957,MATCH(Filter!B55,TeAllPoints!$B$2:$B$957,0))</f>
        <v>IN</v>
      </c>
      <c r="H55" t="str">
        <f>INDEX(TeAllPoints!$E$2:$E$957,MATCH(Filter!B55,TeAllPoints!$B$2:$B$957,0))</f>
        <v>DUBOIS</v>
      </c>
      <c r="I55">
        <f>INDEX('TE_OA_20200805_INTRDY_2020-08-0'!$Q$2:$Q$870,MATCH(Filter!B55,'TE_OA_20200805_INTRDY_2020-08-0'!$G$2:$G$870))</f>
        <v>11343</v>
      </c>
      <c r="J55">
        <f>INDEX('TE_OA_20200805_INTRDY_2020-08-0'!$R$2:$R$870,MATCH(Filter!B55,'TE_OA_20200805_INTRDY_2020-08-0'!$G$2:$G$870))</f>
        <v>54</v>
      </c>
    </row>
    <row r="56" spans="1:10" x14ac:dyDescent="0.25">
      <c r="A56" t="str">
        <f>INDEX('Pipe Table'!$E$2:$E$10,MATCH(INDEX('TE_OA_20200805_INTRDY_2020-08-0'!$T$2:$T$870,MATCH(Filter!B56,'TE_OA_20200805_INTRDY_2020-08-0'!$G$2:$G$870,0)),'Pipe Table'!$D$2:$D$10,0))</f>
        <v>TETCO</v>
      </c>
      <c r="B56">
        <v>70095</v>
      </c>
      <c r="C56" t="str">
        <f>INDEX('TE_OA_20200805_INTRDY_2020-08-0'!$J$2:$J$870,MATCH(Filter!B56,'TE_OA_20200805_INTRDY_2020-08-0'!$G$2:$G$870))</f>
        <v>Delivery</v>
      </c>
      <c r="D56" t="str">
        <f>INDEX('Pipe Table'!$B$2:$B$14,MATCH(INDEX(TeAllPoints!$I$2:$I$957,MATCH(Filter!B56,TeAllPoints!$B$2:$B$957,0)),'Pipe Table'!$A$2:$A$14,0))</f>
        <v>LDC</v>
      </c>
      <c r="E56" t="str">
        <f>INDEX('TE_OA_20200805_INTRDY_2020-08-0'!$H$2:$H$870,MATCH(Filter!B56,'TE_OA_20200805_INTRDY_2020-08-0'!$G$2:$G$870))</f>
        <v>Nat Gas - Caldwell, OH</v>
      </c>
      <c r="F56" t="str">
        <f>INDEX('Pipe Table'!$H$2:$H$8,MATCH('TE_OA_20200805_INTRDY_2020-08-0'!I37,'Pipe Table'!$G$2:$G$8,0))</f>
        <v>TETCO-M2</v>
      </c>
      <c r="G56" t="str">
        <f>INDEX(TeAllPoints!$D$2:$D$957,MATCH(Filter!B56,TeAllPoints!$B$2:$B$957,0))</f>
        <v>OH</v>
      </c>
      <c r="H56" t="str">
        <f>INDEX(TeAllPoints!$E$2:$E$957,MATCH(Filter!B56,TeAllPoints!$B$2:$B$957,0))</f>
        <v>NOBLE</v>
      </c>
      <c r="I56">
        <f>INDEX('TE_OA_20200805_INTRDY_2020-08-0'!$Q$2:$Q$870,MATCH(Filter!B56,'TE_OA_20200805_INTRDY_2020-08-0'!$G$2:$G$870))</f>
        <v>8272</v>
      </c>
      <c r="J56">
        <f>INDEX('TE_OA_20200805_INTRDY_2020-08-0'!$R$2:$R$870,MATCH(Filter!B56,'TE_OA_20200805_INTRDY_2020-08-0'!$G$2:$G$870))</f>
        <v>300</v>
      </c>
    </row>
    <row r="57" spans="1:10" x14ac:dyDescent="0.25">
      <c r="A57" t="str">
        <f>INDEX('Pipe Table'!$E$2:$E$10,MATCH(INDEX('TE_OA_20200805_INTRDY_2020-08-0'!$T$2:$T$870,MATCH(Filter!B57,'TE_OA_20200805_INTRDY_2020-08-0'!$G$2:$G$870,0)),'Pipe Table'!$D$2:$D$10,0))</f>
        <v>TETCO</v>
      </c>
      <c r="B57">
        <v>70096</v>
      </c>
      <c r="C57" t="str">
        <f>INDEX('TE_OA_20200805_INTRDY_2020-08-0'!$J$2:$J$870,MATCH(Filter!B57,'TE_OA_20200805_INTRDY_2020-08-0'!$G$2:$G$870))</f>
        <v>Delivery</v>
      </c>
      <c r="D57" t="str">
        <f>INDEX('Pipe Table'!$B$2:$B$14,MATCH(INDEX(TeAllPoints!$I$2:$I$957,MATCH(Filter!B57,TeAllPoints!$B$2:$B$957,0)),'Pipe Table'!$A$2:$A$14,0))</f>
        <v>LDC</v>
      </c>
      <c r="E57" t="str">
        <f>INDEX('TE_OA_20200805_INTRDY_2020-08-0'!$H$2:$H$870,MATCH(Filter!B57,'TE_OA_20200805_INTRDY_2020-08-0'!$G$2:$G$870))</f>
        <v>UGI CENTRAL - Shippensburg - Oxford, PA</v>
      </c>
      <c r="F57" t="str">
        <f>INDEX('Pipe Table'!$H$2:$H$8,MATCH('TE_OA_20200805_INTRDY_2020-08-0'!I38,'Pipe Table'!$G$2:$G$8,0))</f>
        <v>TETCO-M3</v>
      </c>
      <c r="G57" t="str">
        <f>INDEX(TeAllPoints!$D$2:$D$957,MATCH(Filter!B57,TeAllPoints!$B$2:$B$957,0))</f>
        <v>PA</v>
      </c>
      <c r="H57" t="str">
        <f>INDEX(TeAllPoints!$E$2:$E$957,MATCH(Filter!B57,TeAllPoints!$B$2:$B$957,0))</f>
        <v>FRANKLIN</v>
      </c>
      <c r="I57">
        <f>INDEX('TE_OA_20200805_INTRDY_2020-08-0'!$Q$2:$Q$870,MATCH(Filter!B57,'TE_OA_20200805_INTRDY_2020-08-0'!$G$2:$G$870))</f>
        <v>33722</v>
      </c>
      <c r="J57">
        <f>INDEX('TE_OA_20200805_INTRDY_2020-08-0'!$R$2:$R$870,MATCH(Filter!B57,'TE_OA_20200805_INTRDY_2020-08-0'!$G$2:$G$870))</f>
        <v>0</v>
      </c>
    </row>
    <row r="58" spans="1:10" x14ac:dyDescent="0.25">
      <c r="A58" t="str">
        <f>INDEX('Pipe Table'!$E$2:$E$10,MATCH(INDEX('TE_OA_20200805_INTRDY_2020-08-0'!$T$2:$T$870,MATCH(Filter!B58,'TE_OA_20200805_INTRDY_2020-08-0'!$G$2:$G$870,0)),'Pipe Table'!$D$2:$D$10,0))</f>
        <v>TETCO</v>
      </c>
      <c r="B58">
        <v>70098</v>
      </c>
      <c r="C58" t="str">
        <f>INDEX('TE_OA_20200805_INTRDY_2020-08-0'!$J$2:$J$870,MATCH(Filter!B58,'TE_OA_20200805_INTRDY_2020-08-0'!$G$2:$G$870))</f>
        <v>Delivery</v>
      </c>
      <c r="D58" t="str">
        <f>INDEX('Pipe Table'!$B$2:$B$14,MATCH(INDEX(TeAllPoints!$I$2:$I$957,MATCH(Filter!B58,TeAllPoints!$B$2:$B$957,0)),'Pipe Table'!$A$2:$A$14,0))</f>
        <v>LDC</v>
      </c>
      <c r="E58" t="str">
        <f>INDEX('TE_OA_20200805_INTRDY_2020-08-0'!$H$2:$H$870,MATCH(Filter!B58,'TE_OA_20200805_INTRDY_2020-08-0'!$G$2:$G$870))</f>
        <v>Fulton, MS</v>
      </c>
      <c r="F58" t="str">
        <f>INDEX('Pipe Table'!$H$2:$H$8,MATCH('TE_OA_20200805_INTRDY_2020-08-0'!I39,'Pipe Table'!$G$2:$G$8,0))</f>
        <v>TETCO-M1</v>
      </c>
      <c r="G58" t="str">
        <f>INDEX(TeAllPoints!$D$2:$D$957,MATCH(Filter!B58,TeAllPoints!$B$2:$B$957,0))</f>
        <v>MS</v>
      </c>
      <c r="H58" t="str">
        <f>INDEX(TeAllPoints!$E$2:$E$957,MATCH(Filter!B58,TeAllPoints!$B$2:$B$957,0))</f>
        <v>ITAWAMBA</v>
      </c>
      <c r="I58">
        <f>INDEX('TE_OA_20200805_INTRDY_2020-08-0'!$Q$2:$Q$870,MATCH(Filter!B58,'TE_OA_20200805_INTRDY_2020-08-0'!$G$2:$G$870))</f>
        <v>5080</v>
      </c>
      <c r="J58">
        <f>INDEX('TE_OA_20200805_INTRDY_2020-08-0'!$R$2:$R$870,MATCH(Filter!B58,'TE_OA_20200805_INTRDY_2020-08-0'!$G$2:$G$870))</f>
        <v>345</v>
      </c>
    </row>
    <row r="59" spans="1:10" x14ac:dyDescent="0.25">
      <c r="A59" t="str">
        <f>INDEX('Pipe Table'!$E$2:$E$10,MATCH(INDEX('TE_OA_20200805_INTRDY_2020-08-0'!$T$2:$T$870,MATCH(Filter!B59,'TE_OA_20200805_INTRDY_2020-08-0'!$G$2:$G$870,0)),'Pipe Table'!$D$2:$D$10,0))</f>
        <v>TETCO</v>
      </c>
      <c r="B59">
        <v>70099</v>
      </c>
      <c r="C59" t="str">
        <f>INDEX('TE_OA_20200805_INTRDY_2020-08-0'!$J$2:$J$870,MATCH(Filter!B59,'TE_OA_20200805_INTRDY_2020-08-0'!$G$2:$G$870))</f>
        <v>Delivery</v>
      </c>
      <c r="D59" t="str">
        <f>INDEX('Pipe Table'!$B$2:$B$14,MATCH(INDEX(TeAllPoints!$I$2:$I$957,MATCH(Filter!B59,TeAllPoints!$B$2:$B$957,0)),'Pipe Table'!$A$2:$A$14,0))</f>
        <v>LDC</v>
      </c>
      <c r="E59" t="str">
        <f>INDEX('TE_OA_20200805_INTRDY_2020-08-0'!$H$2:$H$870,MATCH(Filter!B59,'TE_OA_20200805_INTRDY_2020-08-0'!$G$2:$G$870))</f>
        <v>Belmont, MS</v>
      </c>
      <c r="F59" t="str">
        <f>INDEX('Pipe Table'!$H$2:$H$8,MATCH('TE_OA_20200805_INTRDY_2020-08-0'!I40,'Pipe Table'!$G$2:$G$8,0))</f>
        <v>TETCO-M1</v>
      </c>
      <c r="G59" t="str">
        <f>INDEX(TeAllPoints!$D$2:$D$957,MATCH(Filter!B59,TeAllPoints!$B$2:$B$957,0))</f>
        <v>MS</v>
      </c>
      <c r="H59" t="str">
        <f>INDEX(TeAllPoints!$E$2:$E$957,MATCH(Filter!B59,TeAllPoints!$B$2:$B$957,0))</f>
        <v>FRANKLIN</v>
      </c>
      <c r="I59">
        <f>INDEX('TE_OA_20200805_INTRDY_2020-08-0'!$Q$2:$Q$870,MATCH(Filter!B59,'TE_OA_20200805_INTRDY_2020-08-0'!$G$2:$G$870))</f>
        <v>3884</v>
      </c>
      <c r="J59">
        <f>INDEX('TE_OA_20200805_INTRDY_2020-08-0'!$R$2:$R$870,MATCH(Filter!B59,'TE_OA_20200805_INTRDY_2020-08-0'!$G$2:$G$870))</f>
        <v>69</v>
      </c>
    </row>
    <row r="60" spans="1:10" x14ac:dyDescent="0.25">
      <c r="A60" t="str">
        <f>INDEX('Pipe Table'!$E$2:$E$10,MATCH(INDEX('TE_OA_20200805_INTRDY_2020-08-0'!$T$2:$T$870,MATCH(Filter!B60,'TE_OA_20200805_INTRDY_2020-08-0'!$G$2:$G$870,0)),'Pipe Table'!$D$2:$D$10,0))</f>
        <v>TETCO</v>
      </c>
      <c r="B60">
        <v>70100</v>
      </c>
      <c r="C60" t="str">
        <f>INDEX('TE_OA_20200805_INTRDY_2020-08-0'!$J$2:$J$870,MATCH(Filter!B60,'TE_OA_20200805_INTRDY_2020-08-0'!$G$2:$G$870))</f>
        <v>Delivery</v>
      </c>
      <c r="D60" t="str">
        <f>INDEX('Pipe Table'!$B$2:$B$14,MATCH(INDEX(TeAllPoints!$I$2:$I$957,MATCH(Filter!B60,TeAllPoints!$B$2:$B$957,0)),'Pipe Table'!$A$2:$A$14,0))</f>
        <v>LDC</v>
      </c>
      <c r="E60" t="str">
        <f>INDEX('TE_OA_20200805_INTRDY_2020-08-0'!$H$2:$H$870,MATCH(Filter!B60,'TE_OA_20200805_INTRDY_2020-08-0'!$G$2:$G$870))</f>
        <v>Red Bay, AL</v>
      </c>
      <c r="F60" t="str">
        <f>INDEX('Pipe Table'!$H$2:$H$8,MATCH('TE_OA_20200805_INTRDY_2020-08-0'!I41,'Pipe Table'!$G$2:$G$8,0))</f>
        <v>TETCO-M1</v>
      </c>
      <c r="G60" t="str">
        <f>INDEX(TeAllPoints!$D$2:$D$957,MATCH(Filter!B60,TeAllPoints!$B$2:$B$957,0))</f>
        <v>AL</v>
      </c>
      <c r="H60" t="str">
        <f>INDEX(TeAllPoints!$E$2:$E$957,MATCH(Filter!B60,TeAllPoints!$B$2:$B$957,0))</f>
        <v>FRANKLIN</v>
      </c>
      <c r="I60">
        <f>INDEX('TE_OA_20200805_INTRDY_2020-08-0'!$Q$2:$Q$870,MATCH(Filter!B60,'TE_OA_20200805_INTRDY_2020-08-0'!$G$2:$G$870))</f>
        <v>2786</v>
      </c>
      <c r="J60">
        <f>INDEX('TE_OA_20200805_INTRDY_2020-08-0'!$R$2:$R$870,MATCH(Filter!B60,'TE_OA_20200805_INTRDY_2020-08-0'!$G$2:$G$870))</f>
        <v>75</v>
      </c>
    </row>
    <row r="61" spans="1:10" x14ac:dyDescent="0.25">
      <c r="A61" t="str">
        <f>INDEX('Pipe Table'!$E$2:$E$10,MATCH(INDEX('TE_OA_20200805_INTRDY_2020-08-0'!$T$2:$T$870,MATCH(Filter!B61,'TE_OA_20200805_INTRDY_2020-08-0'!$G$2:$G$870,0)),'Pipe Table'!$D$2:$D$10,0))</f>
        <v>TETCO</v>
      </c>
      <c r="B61">
        <v>70101</v>
      </c>
      <c r="C61" t="str">
        <f>INDEX('TE_OA_20200805_INTRDY_2020-08-0'!$J$2:$J$870,MATCH(Filter!B61,'TE_OA_20200805_INTRDY_2020-08-0'!$G$2:$G$870))</f>
        <v>Delivery</v>
      </c>
      <c r="D61" t="str">
        <f>INDEX('Pipe Table'!$B$2:$B$14,MATCH(INDEX(TeAllPoints!$I$2:$I$957,MATCH(Filter!B61,TeAllPoints!$B$2:$B$957,0)),'Pipe Table'!$A$2:$A$14,0))</f>
        <v>LDC</v>
      </c>
      <c r="E61" t="str">
        <f>INDEX('TE_OA_20200805_INTRDY_2020-08-0'!$H$2:$H$870,MATCH(Filter!B61,'TE_OA_20200805_INTRDY_2020-08-0'!$G$2:$G$870))</f>
        <v>Lawrenceburg Gas - TN</v>
      </c>
      <c r="F61" t="str">
        <f>INDEX('Pipe Table'!$H$2:$H$8,MATCH('TE_OA_20200805_INTRDY_2020-08-0'!I42,'Pipe Table'!$G$2:$G$8,0))</f>
        <v>TETCO-M1</v>
      </c>
      <c r="G61" t="str">
        <f>INDEX(TeAllPoints!$D$2:$D$957,MATCH(Filter!B61,TeAllPoints!$B$2:$B$957,0))</f>
        <v>TN</v>
      </c>
      <c r="H61" t="str">
        <f>INDEX(TeAllPoints!$E$2:$E$957,MATCH(Filter!B61,TeAllPoints!$B$2:$B$957,0))</f>
        <v>LAWRENCE</v>
      </c>
      <c r="I61">
        <f>INDEX('TE_OA_20200805_INTRDY_2020-08-0'!$Q$2:$Q$870,MATCH(Filter!B61,'TE_OA_20200805_INTRDY_2020-08-0'!$G$2:$G$870))</f>
        <v>19467</v>
      </c>
      <c r="J61">
        <f>INDEX('TE_OA_20200805_INTRDY_2020-08-0'!$R$2:$R$870,MATCH(Filter!B61,'TE_OA_20200805_INTRDY_2020-08-0'!$G$2:$G$870))</f>
        <v>550</v>
      </c>
    </row>
    <row r="62" spans="1:10" x14ac:dyDescent="0.25">
      <c r="A62" t="str">
        <f>INDEX('Pipe Table'!$E$2:$E$10,MATCH(INDEX('TE_OA_20200805_INTRDY_2020-08-0'!$T$2:$T$870,MATCH(Filter!B62,'TE_OA_20200805_INTRDY_2020-08-0'!$G$2:$G$870,0)),'Pipe Table'!$D$2:$D$10,0))</f>
        <v>TETCO</v>
      </c>
      <c r="B62">
        <v>70102</v>
      </c>
      <c r="C62" t="str">
        <f>INDEX('TE_OA_20200805_INTRDY_2020-08-0'!$J$2:$J$870,MATCH(Filter!B62,'TE_OA_20200805_INTRDY_2020-08-0'!$G$2:$G$870))</f>
        <v>Delivery</v>
      </c>
      <c r="D62" t="str">
        <f>INDEX('Pipe Table'!$B$2:$B$14,MATCH(INDEX(TeAllPoints!$I$2:$I$957,MATCH(Filter!B62,TeAllPoints!$B$2:$B$957,0)),'Pipe Table'!$A$2:$A$14,0))</f>
        <v>LDC</v>
      </c>
      <c r="E62" t="str">
        <f>INDEX('TE_OA_20200805_INTRDY_2020-08-0'!$H$2:$H$870,MATCH(Filter!B62,'TE_OA_20200805_INTRDY_2020-08-0'!$G$2:$G$870))</f>
        <v>Unit Cities - Murfreesboro, TN</v>
      </c>
      <c r="F62" t="str">
        <f>INDEX('Pipe Table'!$H$2:$H$8,MATCH('TE_OA_20200805_INTRDY_2020-08-0'!I43,'Pipe Table'!$G$2:$G$8,0))</f>
        <v>TETCO-M1</v>
      </c>
      <c r="G62" t="str">
        <f>INDEX(TeAllPoints!$D$2:$D$957,MATCH(Filter!B62,TeAllPoints!$B$2:$B$957,0))</f>
        <v>TN</v>
      </c>
      <c r="H62" t="str">
        <f>INDEX(TeAllPoints!$E$2:$E$957,MATCH(Filter!B62,TeAllPoints!$B$2:$B$957,0))</f>
        <v>RUTHERFORD</v>
      </c>
      <c r="I62">
        <f>INDEX('TE_OA_20200805_INTRDY_2020-08-0'!$Q$2:$Q$870,MATCH(Filter!B62,'TE_OA_20200805_INTRDY_2020-08-0'!$G$2:$G$870))</f>
        <v>29166</v>
      </c>
      <c r="J62">
        <f>INDEX('TE_OA_20200805_INTRDY_2020-08-0'!$R$2:$R$870,MATCH(Filter!B62,'TE_OA_20200805_INTRDY_2020-08-0'!$G$2:$G$870))</f>
        <v>0</v>
      </c>
    </row>
    <row r="63" spans="1:10" x14ac:dyDescent="0.25">
      <c r="A63" t="str">
        <f>INDEX('Pipe Table'!$E$2:$E$10,MATCH(INDEX('TE_OA_20200805_INTRDY_2020-08-0'!$T$2:$T$870,MATCH(Filter!B63,'TE_OA_20200805_INTRDY_2020-08-0'!$G$2:$G$870,0)),'Pipe Table'!$D$2:$D$10,0))</f>
        <v>TETCO</v>
      </c>
      <c r="B63">
        <v>70104</v>
      </c>
      <c r="C63" t="str">
        <f>INDEX('TE_OA_20200805_INTRDY_2020-08-0'!$J$2:$J$870,MATCH(Filter!B63,'TE_OA_20200805_INTRDY_2020-08-0'!$G$2:$G$870))</f>
        <v>Delivery</v>
      </c>
      <c r="D63" t="str">
        <f>INDEX('Pipe Table'!$B$2:$B$14,MATCH(INDEX(TeAllPoints!$I$2:$I$957,MATCH(Filter!B63,TeAllPoints!$B$2:$B$957,0)),'Pipe Table'!$A$2:$A$14,0))</f>
        <v>LDC</v>
      </c>
      <c r="E63" t="str">
        <f>INDEX('TE_OA_20200805_INTRDY_2020-08-0'!$H$2:$H$870,MATCH(Filter!B63,'TE_OA_20200805_INTRDY_2020-08-0'!$G$2:$G$870))</f>
        <v>Lafayette, TN</v>
      </c>
      <c r="F63" t="str">
        <f>INDEX('Pipe Table'!$H$2:$H$8,MATCH('TE_OA_20200805_INTRDY_2020-08-0'!I44,'Pipe Table'!$G$2:$G$8,0))</f>
        <v>TETCO-M1</v>
      </c>
      <c r="G63" t="str">
        <f>INDEX(TeAllPoints!$D$2:$D$957,MATCH(Filter!B63,TeAllPoints!$B$2:$B$957,0))</f>
        <v>TN</v>
      </c>
      <c r="H63" t="str">
        <f>INDEX(TeAllPoints!$E$2:$E$957,MATCH(Filter!B63,TeAllPoints!$B$2:$B$957,0))</f>
        <v>MACON</v>
      </c>
      <c r="I63">
        <f>INDEX('TE_OA_20200805_INTRDY_2020-08-0'!$Q$2:$Q$870,MATCH(Filter!B63,'TE_OA_20200805_INTRDY_2020-08-0'!$G$2:$G$870))</f>
        <v>2786</v>
      </c>
      <c r="J63">
        <f>INDEX('TE_OA_20200805_INTRDY_2020-08-0'!$R$2:$R$870,MATCH(Filter!B63,'TE_OA_20200805_INTRDY_2020-08-0'!$G$2:$G$870))</f>
        <v>100</v>
      </c>
    </row>
    <row r="64" spans="1:10" x14ac:dyDescent="0.25">
      <c r="A64" t="str">
        <f>INDEX('Pipe Table'!$E$2:$E$10,MATCH(INDEX('TE_OA_20200805_INTRDY_2020-08-0'!$T$2:$T$870,MATCH(Filter!B64,'TE_OA_20200805_INTRDY_2020-08-0'!$G$2:$G$870,0)),'Pipe Table'!$D$2:$D$10,0))</f>
        <v>TETCO</v>
      </c>
      <c r="B64">
        <v>70107</v>
      </c>
      <c r="C64" t="str">
        <f>INDEX('TE_OA_20200805_INTRDY_2020-08-0'!$J$2:$J$870,MATCH(Filter!B64,'TE_OA_20200805_INTRDY_2020-08-0'!$G$2:$G$870))</f>
        <v>Delivery</v>
      </c>
      <c r="D64" t="str">
        <f>INDEX('Pipe Table'!$B$2:$B$14,MATCH(INDEX(TeAllPoints!$I$2:$I$957,MATCH(Filter!B64,TeAllPoints!$B$2:$B$957,0)),'Pipe Table'!$A$2:$A$14,0))</f>
        <v>LDC</v>
      </c>
      <c r="E64" t="str">
        <f>INDEX('TE_OA_20200805_INTRDY_2020-08-0'!$H$2:$H$870,MATCH(Filter!B64,'TE_OA_20200805_INTRDY_2020-08-0'!$G$2:$G$870))</f>
        <v>Arkla Inc. - Cabot, AR</v>
      </c>
      <c r="F64" t="str">
        <f>INDEX('Pipe Table'!$H$2:$H$8,MATCH('TE_OA_20200805_INTRDY_2020-08-0'!I45,'Pipe Table'!$G$2:$G$8,0))</f>
        <v>TETCO-M1</v>
      </c>
      <c r="G64" t="str">
        <f>INDEX(TeAllPoints!$D$2:$D$957,MATCH(Filter!B64,TeAllPoints!$B$2:$B$957,0))</f>
        <v>AR</v>
      </c>
      <c r="H64" t="str">
        <f>INDEX(TeAllPoints!$E$2:$E$957,MATCH(Filter!B64,TeAllPoints!$B$2:$B$957,0))</f>
        <v>LONOKE</v>
      </c>
      <c r="I64">
        <f>INDEX('TE_OA_20200805_INTRDY_2020-08-0'!$Q$2:$Q$870,MATCH(Filter!B64,'TE_OA_20200805_INTRDY_2020-08-0'!$G$2:$G$870))</f>
        <v>9268</v>
      </c>
      <c r="J64">
        <f>INDEX('TE_OA_20200805_INTRDY_2020-08-0'!$R$2:$R$870,MATCH(Filter!B64,'TE_OA_20200805_INTRDY_2020-08-0'!$G$2:$G$870))</f>
        <v>265</v>
      </c>
    </row>
    <row r="65" spans="1:10" x14ac:dyDescent="0.25">
      <c r="A65" t="str">
        <f>INDEX('Pipe Table'!$E$2:$E$10,MATCH(INDEX('TE_OA_20200805_INTRDY_2020-08-0'!$T$2:$T$870,MATCH(Filter!B65,'TE_OA_20200805_INTRDY_2020-08-0'!$G$2:$G$870,0)),'Pipe Table'!$D$2:$D$10,0))</f>
        <v>TETCO</v>
      </c>
      <c r="B65">
        <v>70108</v>
      </c>
      <c r="C65" t="str">
        <f>INDEX('TE_OA_20200805_INTRDY_2020-08-0'!$J$2:$J$870,MATCH(Filter!B65,'TE_OA_20200805_INTRDY_2020-08-0'!$G$2:$G$870))</f>
        <v>Delivery</v>
      </c>
      <c r="D65" t="str">
        <f>INDEX('Pipe Table'!$B$2:$B$14,MATCH(INDEX(TeAllPoints!$I$2:$I$957,MATCH(Filter!B65,TeAllPoints!$B$2:$B$957,0)),'Pipe Table'!$A$2:$A$14,0))</f>
        <v>LDC</v>
      </c>
      <c r="E65" t="str">
        <f>INDEX('TE_OA_20200805_INTRDY_2020-08-0'!$H$2:$H$870,MATCH(Filter!B65,'TE_OA_20200805_INTRDY_2020-08-0'!$G$2:$G$870))</f>
        <v>Arkla Inc. - Beebe, AR</v>
      </c>
      <c r="F65" t="str">
        <f>INDEX('Pipe Table'!$H$2:$H$8,MATCH('TE_OA_20200805_INTRDY_2020-08-0'!I46,'Pipe Table'!$G$2:$G$8,0))</f>
        <v>TETCO-M1</v>
      </c>
      <c r="G65" t="str">
        <f>INDEX(TeAllPoints!$D$2:$D$957,MATCH(Filter!B65,TeAllPoints!$B$2:$B$957,0))</f>
        <v>AR</v>
      </c>
      <c r="H65" t="str">
        <f>INDEX(TeAllPoints!$E$2:$E$957,MATCH(Filter!B65,TeAllPoints!$B$2:$B$957,0))</f>
        <v>WHITE</v>
      </c>
      <c r="I65">
        <f>INDEX('TE_OA_20200805_INTRDY_2020-08-0'!$Q$2:$Q$870,MATCH(Filter!B65,'TE_OA_20200805_INTRDY_2020-08-0'!$G$2:$G$870))</f>
        <v>6709</v>
      </c>
      <c r="J65">
        <f>INDEX('TE_OA_20200805_INTRDY_2020-08-0'!$R$2:$R$870,MATCH(Filter!B65,'TE_OA_20200805_INTRDY_2020-08-0'!$G$2:$G$870))</f>
        <v>90</v>
      </c>
    </row>
    <row r="66" spans="1:10" x14ac:dyDescent="0.25">
      <c r="A66" t="str">
        <f>INDEX('Pipe Table'!$E$2:$E$10,MATCH(INDEX('TE_OA_20200805_INTRDY_2020-08-0'!$T$2:$T$870,MATCH(Filter!B66,'TE_OA_20200805_INTRDY_2020-08-0'!$G$2:$G$870,0)),'Pipe Table'!$D$2:$D$10,0))</f>
        <v>TETCO</v>
      </c>
      <c r="B66">
        <v>70109</v>
      </c>
      <c r="C66" t="str">
        <f>INDEX('TE_OA_20200805_INTRDY_2020-08-0'!$J$2:$J$870,MATCH(Filter!B66,'TE_OA_20200805_INTRDY_2020-08-0'!$G$2:$G$870))</f>
        <v>Delivery</v>
      </c>
      <c r="D66" t="str">
        <f>INDEX('Pipe Table'!$B$2:$B$14,MATCH(INDEX(TeAllPoints!$I$2:$I$957,MATCH(Filter!B66,TeAllPoints!$B$2:$B$957,0)),'Pipe Table'!$A$2:$A$14,0))</f>
        <v>LDC</v>
      </c>
      <c r="E66" t="str">
        <f>INDEX('TE_OA_20200805_INTRDY_2020-08-0'!$H$2:$H$870,MATCH(Filter!B66,'TE_OA_20200805_INTRDY_2020-08-0'!$G$2:$G$870))</f>
        <v>Arkla Inc. - Light, AR</v>
      </c>
      <c r="F66" t="str">
        <f>INDEX('Pipe Table'!$H$2:$H$8,MATCH('TE_OA_20200805_INTRDY_2020-08-0'!I47,'Pipe Table'!$G$2:$G$8,0))</f>
        <v>TETCO-M1</v>
      </c>
      <c r="G66" t="str">
        <f>INDEX(TeAllPoints!$D$2:$D$957,MATCH(Filter!B66,TeAllPoints!$B$2:$B$957,0))</f>
        <v>AR</v>
      </c>
      <c r="H66" t="str">
        <f>INDEX(TeAllPoints!$E$2:$E$957,MATCH(Filter!B66,TeAllPoints!$B$2:$B$957,0))</f>
        <v>GREENE</v>
      </c>
      <c r="I66">
        <f>INDEX('TE_OA_20200805_INTRDY_2020-08-0'!$Q$2:$Q$870,MATCH(Filter!B66,'TE_OA_20200805_INTRDY_2020-08-0'!$G$2:$G$870))</f>
        <v>10602</v>
      </c>
      <c r="J66">
        <f>INDEX('TE_OA_20200805_INTRDY_2020-08-0'!$R$2:$R$870,MATCH(Filter!B66,'TE_OA_20200805_INTRDY_2020-08-0'!$G$2:$G$870))</f>
        <v>186</v>
      </c>
    </row>
    <row r="67" spans="1:10" x14ac:dyDescent="0.25">
      <c r="A67" t="str">
        <f>INDEX('Pipe Table'!$E$2:$E$10,MATCH(INDEX('TE_OA_20200805_INTRDY_2020-08-0'!$T$2:$T$870,MATCH(Filter!B67,'TE_OA_20200805_INTRDY_2020-08-0'!$G$2:$G$870,0)),'Pipe Table'!$D$2:$D$10,0))</f>
        <v>TETCO</v>
      </c>
      <c r="B67">
        <v>70110</v>
      </c>
      <c r="C67" t="str">
        <f>INDEX('TE_OA_20200805_INTRDY_2020-08-0'!$J$2:$J$870,MATCH(Filter!B67,'TE_OA_20200805_INTRDY_2020-08-0'!$G$2:$G$870))</f>
        <v>Delivery</v>
      </c>
      <c r="D67" t="str">
        <f>INDEX('Pipe Table'!$B$2:$B$14,MATCH(INDEX(TeAllPoints!$I$2:$I$957,MATCH(Filter!B67,TeAllPoints!$B$2:$B$957,0)),'Pipe Table'!$A$2:$A$14,0))</f>
        <v>LDC</v>
      </c>
      <c r="E67" t="str">
        <f>INDEX('TE_OA_20200805_INTRDY_2020-08-0'!$H$2:$H$870,MATCH(Filter!B67,'TE_OA_20200805_INTRDY_2020-08-0'!$G$2:$G$870))</f>
        <v>Assoc Nat Gas - Piggott, AR</v>
      </c>
      <c r="F67" t="str">
        <f>INDEX('Pipe Table'!$H$2:$H$8,MATCH('TE_OA_20200805_INTRDY_2020-08-0'!I48,'Pipe Table'!$G$2:$G$8,0))</f>
        <v>TETCO-M1</v>
      </c>
      <c r="G67" t="str">
        <f>INDEX(TeAllPoints!$D$2:$D$957,MATCH(Filter!B67,TeAllPoints!$B$2:$B$957,0))</f>
        <v>AR</v>
      </c>
      <c r="H67" t="str">
        <f>INDEX(TeAllPoints!$E$2:$E$957,MATCH(Filter!B67,TeAllPoints!$B$2:$B$957,0))</f>
        <v>CLAY</v>
      </c>
      <c r="I67">
        <f>INDEX('TE_OA_20200805_INTRDY_2020-08-0'!$Q$2:$Q$870,MATCH(Filter!B67,'TE_OA_20200805_INTRDY_2020-08-0'!$G$2:$G$870))</f>
        <v>26886</v>
      </c>
      <c r="J67">
        <f>INDEX('TE_OA_20200805_INTRDY_2020-08-0'!$R$2:$R$870,MATCH(Filter!B67,'TE_OA_20200805_INTRDY_2020-08-0'!$G$2:$G$870))</f>
        <v>0</v>
      </c>
    </row>
    <row r="68" spans="1:10" x14ac:dyDescent="0.25">
      <c r="A68" t="str">
        <f>INDEX('Pipe Table'!$E$2:$E$10,MATCH(INDEX('TE_OA_20200805_INTRDY_2020-08-0'!$T$2:$T$870,MATCH(Filter!B68,'TE_OA_20200805_INTRDY_2020-08-0'!$G$2:$G$870,0)),'Pipe Table'!$D$2:$D$10,0))</f>
        <v>TETCO</v>
      </c>
      <c r="B68">
        <v>70119</v>
      </c>
      <c r="C68" t="str">
        <f>INDEX('TE_OA_20200805_INTRDY_2020-08-0'!$J$2:$J$870,MATCH(Filter!B68,'TE_OA_20200805_INTRDY_2020-08-0'!$G$2:$G$870))</f>
        <v>Delivery</v>
      </c>
      <c r="D68" t="str">
        <f>INDEX('Pipe Table'!$B$2:$B$14,MATCH(INDEX(TeAllPoints!$I$2:$I$957,MATCH(Filter!B68,TeAllPoints!$B$2:$B$957,0)),'Pipe Table'!$A$2:$A$14,0))</f>
        <v>LDC</v>
      </c>
      <c r="E68" t="str">
        <f>INDEX('TE_OA_20200805_INTRDY_2020-08-0'!$H$2:$H$870,MATCH(Filter!B68,'TE_OA_20200805_INTRDY_2020-08-0'!$G$2:$G$870))</f>
        <v>Chambersburg, PA</v>
      </c>
      <c r="F68" t="str">
        <f>INDEX('Pipe Table'!$H$2:$H$8,MATCH('TE_OA_20200805_INTRDY_2020-08-0'!I49,'Pipe Table'!$G$2:$G$8,0))</f>
        <v>TETCO-M3</v>
      </c>
      <c r="G68" t="str">
        <f>INDEX(TeAllPoints!$D$2:$D$957,MATCH(Filter!B68,TeAllPoints!$B$2:$B$957,0))</f>
        <v>PA</v>
      </c>
      <c r="H68" t="str">
        <f>INDEX(TeAllPoints!$E$2:$E$957,MATCH(Filter!B68,TeAllPoints!$B$2:$B$957,0))</f>
        <v>FRANKLIN</v>
      </c>
      <c r="I68">
        <f>INDEX('TE_OA_20200805_INTRDY_2020-08-0'!$Q$2:$Q$870,MATCH(Filter!B68,'TE_OA_20200805_INTRDY_2020-08-0'!$G$2:$G$870))</f>
        <v>16031</v>
      </c>
      <c r="J68">
        <f>INDEX('TE_OA_20200805_INTRDY_2020-08-0'!$R$2:$R$870,MATCH(Filter!B68,'TE_OA_20200805_INTRDY_2020-08-0'!$G$2:$G$870))</f>
        <v>982</v>
      </c>
    </row>
    <row r="69" spans="1:10" x14ac:dyDescent="0.25">
      <c r="A69" t="str">
        <f>INDEX('Pipe Table'!$E$2:$E$10,MATCH(INDEX('TE_OA_20200805_INTRDY_2020-08-0'!$T$2:$T$870,MATCH(Filter!B69,'TE_OA_20200805_INTRDY_2020-08-0'!$G$2:$G$870,0)),'Pipe Table'!$D$2:$D$10,0))</f>
        <v>TETCO</v>
      </c>
      <c r="B69">
        <v>70122</v>
      </c>
      <c r="C69" t="str">
        <f>INDEX('TE_OA_20200805_INTRDY_2020-08-0'!$J$2:$J$870,MATCH(Filter!B69,'TE_OA_20200805_INTRDY_2020-08-0'!$G$2:$G$870))</f>
        <v>Delivery</v>
      </c>
      <c r="D69" t="str">
        <f>INDEX('Pipe Table'!$B$2:$B$14,MATCH(INDEX(TeAllPoints!$I$2:$I$957,MATCH(Filter!B69,TeAllPoints!$B$2:$B$957,0)),'Pipe Table'!$A$2:$A$14,0))</f>
        <v>LDC</v>
      </c>
      <c r="E69" t="str">
        <f>INDEX('TE_OA_20200805_INTRDY_2020-08-0'!$H$2:$H$870,MATCH(Filter!B69,'TE_OA_20200805_INTRDY_2020-08-0'!$G$2:$G$870))</f>
        <v>Cairo, Public</v>
      </c>
      <c r="F69" t="str">
        <f>INDEX('Pipe Table'!$H$2:$H$8,MATCH('TE_OA_20200805_INTRDY_2020-08-0'!I50,'Pipe Table'!$G$2:$G$8,0))</f>
        <v>TETCO-M1</v>
      </c>
      <c r="G69" t="str">
        <f>INDEX(TeAllPoints!$D$2:$D$957,MATCH(Filter!B69,TeAllPoints!$B$2:$B$957,0))</f>
        <v>IL</v>
      </c>
      <c r="H69" t="str">
        <f>INDEX(TeAllPoints!$E$2:$E$957,MATCH(Filter!B69,TeAllPoints!$B$2:$B$957,0))</f>
        <v>UNION</v>
      </c>
      <c r="I69">
        <f>INDEX('TE_OA_20200805_INTRDY_2020-08-0'!$Q$2:$Q$870,MATCH(Filter!B69,'TE_OA_20200805_INTRDY_2020-08-0'!$G$2:$G$870))</f>
        <v>20600</v>
      </c>
      <c r="J69">
        <f>INDEX('TE_OA_20200805_INTRDY_2020-08-0'!$R$2:$R$870,MATCH(Filter!B69,'TE_OA_20200805_INTRDY_2020-08-0'!$G$2:$G$870))</f>
        <v>3387</v>
      </c>
    </row>
    <row r="70" spans="1:10" x14ac:dyDescent="0.25">
      <c r="A70" t="str">
        <f>INDEX('Pipe Table'!$E$2:$E$10,MATCH(INDEX('TE_OA_20200805_INTRDY_2020-08-0'!$T$2:$T$870,MATCH(Filter!B70,'TE_OA_20200805_INTRDY_2020-08-0'!$G$2:$G$870,0)),'Pipe Table'!$D$2:$D$10,0))</f>
        <v>TETCO</v>
      </c>
      <c r="B70">
        <v>70123</v>
      </c>
      <c r="C70" t="str">
        <f>INDEX('TE_OA_20200805_INTRDY_2020-08-0'!$J$2:$J$870,MATCH(Filter!B70,'TE_OA_20200805_INTRDY_2020-08-0'!$G$2:$G$870))</f>
        <v>Receipt</v>
      </c>
      <c r="D70" t="str">
        <f>INDEX('Pipe Table'!$B$2:$B$14,MATCH(INDEX(TeAllPoints!$I$2:$I$957,MATCH(Filter!B70,TeAllPoints!$B$2:$B$957,0)),'Pipe Table'!$A$2:$A$14,0))</f>
        <v>Intrcnnct</v>
      </c>
      <c r="E70" t="str">
        <f>INDEX('TE_OA_20200805_INTRDY_2020-08-0'!$H$2:$H$870,MATCH(Filter!B70,'TE_OA_20200805_INTRDY_2020-08-0'!$G$2:$G$870))</f>
        <v>Miss River Fuel Transmission - Bald Knob, AR (REC)</v>
      </c>
      <c r="F70" t="str">
        <f>INDEX('Pipe Table'!$H$2:$H$8,MATCH('TE_OA_20200805_INTRDY_2020-08-0'!I51,'Pipe Table'!$G$2:$G$8,0))</f>
        <v>TETCO-M1</v>
      </c>
      <c r="G70" t="str">
        <f>INDEX(TeAllPoints!$D$2:$D$957,MATCH(Filter!B70,TeAllPoints!$B$2:$B$957,0))</f>
        <v>AR</v>
      </c>
      <c r="H70" t="str">
        <f>INDEX(TeAllPoints!$E$2:$E$957,MATCH(Filter!B70,TeAllPoints!$B$2:$B$957,0))</f>
        <v>WHITE</v>
      </c>
      <c r="I70">
        <f>INDEX('TE_OA_20200805_INTRDY_2020-08-0'!$Q$2:$Q$870,MATCH(Filter!B70,'TE_OA_20200805_INTRDY_2020-08-0'!$G$2:$G$870))</f>
        <v>114659</v>
      </c>
      <c r="J70">
        <f>INDEX('TE_OA_20200805_INTRDY_2020-08-0'!$R$2:$R$870,MATCH(Filter!B70,'TE_OA_20200805_INTRDY_2020-08-0'!$G$2:$G$870))</f>
        <v>0</v>
      </c>
    </row>
    <row r="71" spans="1:10" x14ac:dyDescent="0.25">
      <c r="A71" t="str">
        <f>INDEX('Pipe Table'!$E$2:$E$10,MATCH(INDEX('TE_OA_20200805_INTRDY_2020-08-0'!$T$2:$T$870,MATCH(Filter!B71,'TE_OA_20200805_INTRDY_2020-08-0'!$G$2:$G$870,0)),'Pipe Table'!$D$2:$D$10,0))</f>
        <v>TETCO</v>
      </c>
      <c r="B71">
        <v>70128</v>
      </c>
      <c r="C71" t="str">
        <f>INDEX('TE_OA_20200805_INTRDY_2020-08-0'!$J$2:$J$870,MATCH(Filter!B71,'TE_OA_20200805_INTRDY_2020-08-0'!$G$2:$G$870))</f>
        <v>Delivery</v>
      </c>
      <c r="D71" t="str">
        <f>INDEX('Pipe Table'!$B$2:$B$14,MATCH(INDEX(TeAllPoints!$I$2:$I$957,MATCH(Filter!B71,TeAllPoints!$B$2:$B$957,0)),'Pipe Table'!$A$2:$A$14,0))</f>
        <v>LDC</v>
      </c>
      <c r="E71" t="str">
        <f>INDEX('TE_OA_20200805_INTRDY_2020-08-0'!$H$2:$H$870,MATCH(Filter!B71,'TE_OA_20200805_INTRDY_2020-08-0'!$G$2:$G$870))</f>
        <v>Public Service - Linden, NJ</v>
      </c>
      <c r="F71" t="str">
        <f>INDEX('Pipe Table'!$H$2:$H$8,MATCH('TE_OA_20200805_INTRDY_2020-08-0'!I52,'Pipe Table'!$G$2:$G$8,0))</f>
        <v>TETCO-M3</v>
      </c>
      <c r="G71" t="str">
        <f>INDEX(TeAllPoints!$D$2:$D$957,MATCH(Filter!B71,TeAllPoints!$B$2:$B$957,0))</f>
        <v>NJ</v>
      </c>
      <c r="H71" t="str">
        <f>INDEX(TeAllPoints!$E$2:$E$957,MATCH(Filter!B71,TeAllPoints!$B$2:$B$957,0))</f>
        <v>UNION</v>
      </c>
      <c r="I71">
        <f>INDEX('TE_OA_20200805_INTRDY_2020-08-0'!$Q$2:$Q$870,MATCH(Filter!B71,'TE_OA_20200805_INTRDY_2020-08-0'!$G$2:$G$870))</f>
        <v>820979</v>
      </c>
      <c r="J71">
        <f>INDEX('TE_OA_20200805_INTRDY_2020-08-0'!$R$2:$R$870,MATCH(Filter!B71,'TE_OA_20200805_INTRDY_2020-08-0'!$G$2:$G$870))</f>
        <v>86115</v>
      </c>
    </row>
    <row r="72" spans="1:10" x14ac:dyDescent="0.25">
      <c r="A72" t="str">
        <f>INDEX('Pipe Table'!$E$2:$E$10,MATCH(INDEX('TE_OA_20200805_INTRDY_2020-08-0'!$T$2:$T$870,MATCH(Filter!B72,'TE_OA_20200805_INTRDY_2020-08-0'!$G$2:$G$870,0)),'Pipe Table'!$D$2:$D$10,0))</f>
        <v>TETCO</v>
      </c>
      <c r="B72">
        <v>70190</v>
      </c>
      <c r="C72" t="str">
        <f>INDEX('TE_OA_20200805_INTRDY_2020-08-0'!$J$2:$J$870,MATCH(Filter!B72,'TE_OA_20200805_INTRDY_2020-08-0'!$G$2:$G$870))</f>
        <v>Receipt</v>
      </c>
      <c r="D72" t="str">
        <f>INDEX('Pipe Table'!$B$2:$B$14,MATCH(INDEX(TeAllPoints!$I$2:$I$957,MATCH(Filter!B72,TeAllPoints!$B$2:$B$957,0)),'Pipe Table'!$A$2:$A$14,0))</f>
        <v>Wellhead</v>
      </c>
      <c r="E72" t="str">
        <f>INDEX('TE_OA_20200805_INTRDY_2020-08-0'!$H$2:$H$870,MATCH(Filter!B72,'TE_OA_20200805_INTRDY_2020-08-0'!$G$2:$G$870))</f>
        <v>Newman Corp. - Harrison Co., TX (Receipt)</v>
      </c>
      <c r="F72" t="str">
        <f>INDEX('Pipe Table'!$H$2:$H$8,MATCH('TE_OA_20200805_INTRDY_2020-08-0'!I53,'Pipe Table'!$G$2:$G$8,0))</f>
        <v>TETCO-ETX</v>
      </c>
      <c r="G72" t="str">
        <f>INDEX(TeAllPoints!$D$2:$D$957,MATCH(Filter!B72,TeAllPoints!$B$2:$B$957,0))</f>
        <v>TX</v>
      </c>
      <c r="H72" t="str">
        <f>INDEX(TeAllPoints!$E$2:$E$957,MATCH(Filter!B72,TeAllPoints!$B$2:$B$957,0))</f>
        <v>HARRISON</v>
      </c>
      <c r="I72">
        <f>INDEX('TE_OA_20200805_INTRDY_2020-08-0'!$Q$2:$Q$870,MATCH(Filter!B72,'TE_OA_20200805_INTRDY_2020-08-0'!$G$2:$G$870))</f>
        <v>9359</v>
      </c>
      <c r="J72">
        <f>INDEX('TE_OA_20200805_INTRDY_2020-08-0'!$R$2:$R$870,MATCH(Filter!B72,'TE_OA_20200805_INTRDY_2020-08-0'!$G$2:$G$870))</f>
        <v>0</v>
      </c>
    </row>
    <row r="73" spans="1:10" x14ac:dyDescent="0.25">
      <c r="A73" t="str">
        <f>INDEX('Pipe Table'!$E$2:$E$10,MATCH(INDEX('TE_OA_20200805_INTRDY_2020-08-0'!$T$2:$T$870,MATCH(Filter!B73,'TE_OA_20200805_INTRDY_2020-08-0'!$G$2:$G$870,0)),'Pipe Table'!$D$2:$D$10,0))</f>
        <v>TETCO</v>
      </c>
      <c r="B73">
        <v>70192</v>
      </c>
      <c r="C73" t="str">
        <f>INDEX('TE_OA_20200805_INTRDY_2020-08-0'!$J$2:$J$870,MATCH(Filter!B73,'TE_OA_20200805_INTRDY_2020-08-0'!$G$2:$G$870))</f>
        <v>Receipt</v>
      </c>
      <c r="D73" t="str">
        <f>INDEX('Pipe Table'!$B$2:$B$14,MATCH(INDEX(TeAllPoints!$I$2:$I$957,MATCH(Filter!B73,TeAllPoints!$B$2:$B$957,0)),'Pipe Table'!$A$2:$A$14,0))</f>
        <v>Wellhead</v>
      </c>
      <c r="E73" t="str">
        <f>INDEX('TE_OA_20200805_INTRDY_2020-08-0'!$H$2:$H$870,MATCH(Filter!B73,'TE_OA_20200805_INTRDY_2020-08-0'!$G$2:$G$870))</f>
        <v>Smith (Harvey Broyle)#2 Murphy-Bryceland, Bienville Psh., LA</v>
      </c>
      <c r="F73" t="str">
        <f>INDEX('Pipe Table'!$H$2:$H$8,MATCH('TE_OA_20200805_INTRDY_2020-08-0'!I54,'Pipe Table'!$G$2:$G$8,0))</f>
        <v>TETCO-ETX</v>
      </c>
      <c r="G73" t="str">
        <f>INDEX(TeAllPoints!$D$2:$D$957,MATCH(Filter!B73,TeAllPoints!$B$2:$B$957,0))</f>
        <v>LA</v>
      </c>
      <c r="H73" t="str">
        <f>INDEX(TeAllPoints!$E$2:$E$957,MATCH(Filter!B73,TeAllPoints!$B$2:$B$957,0))</f>
        <v>BIENVILLE</v>
      </c>
      <c r="I73">
        <f>INDEX('TE_OA_20200805_INTRDY_2020-08-0'!$Q$2:$Q$870,MATCH(Filter!B73,'TE_OA_20200805_INTRDY_2020-08-0'!$G$2:$G$870))</f>
        <v>66657</v>
      </c>
      <c r="J73">
        <f>INDEX('TE_OA_20200805_INTRDY_2020-08-0'!$R$2:$R$870,MATCH(Filter!B73,'TE_OA_20200805_INTRDY_2020-08-0'!$G$2:$G$870))</f>
        <v>100</v>
      </c>
    </row>
    <row r="74" spans="1:10" x14ac:dyDescent="0.25">
      <c r="A74" t="str">
        <f>INDEX('Pipe Table'!$E$2:$E$10,MATCH(INDEX('TE_OA_20200805_INTRDY_2020-08-0'!$T$2:$T$870,MATCH(Filter!B74,'TE_OA_20200805_INTRDY_2020-08-0'!$G$2:$G$870,0)),'Pipe Table'!$D$2:$D$10,0))</f>
        <v>TETCO</v>
      </c>
      <c r="B74">
        <v>70215</v>
      </c>
      <c r="C74" t="str">
        <f>INDEX('TE_OA_20200805_INTRDY_2020-08-0'!$J$2:$J$870,MATCH(Filter!B74,'TE_OA_20200805_INTRDY_2020-08-0'!$G$2:$G$870))</f>
        <v>Receipt</v>
      </c>
      <c r="D74" t="str">
        <f>INDEX('Pipe Table'!$B$2:$B$14,MATCH(INDEX(TeAllPoints!$I$2:$I$957,MATCH(Filter!B74,TeAllPoints!$B$2:$B$957,0)),'Pipe Table'!$A$2:$A$14,0))</f>
        <v>Intrcnnct</v>
      </c>
      <c r="E74" t="str">
        <f>INDEX('TE_OA_20200805_INTRDY_2020-08-0'!$H$2:$H$870,MATCH(Filter!B74,'TE_OA_20200805_INTRDY_2020-08-0'!$G$2:$G$870))</f>
        <v>Texas Gas Transmission LLC - Lebanon, OH</v>
      </c>
      <c r="F74" t="str">
        <f>INDEX('Pipe Table'!$H$2:$H$8,MATCH('TE_OA_20200805_INTRDY_2020-08-0'!I55,'Pipe Table'!$G$2:$G$8,0))</f>
        <v>TETCO-M2</v>
      </c>
      <c r="G74" t="str">
        <f>INDEX(TeAllPoints!$D$2:$D$957,MATCH(Filter!B74,TeAllPoints!$B$2:$B$957,0))</f>
        <v>OH</v>
      </c>
      <c r="H74" t="str">
        <f>INDEX(TeAllPoints!$E$2:$E$957,MATCH(Filter!B74,TeAllPoints!$B$2:$B$957,0))</f>
        <v>WARREN</v>
      </c>
      <c r="I74">
        <f>INDEX('TE_OA_20200805_INTRDY_2020-08-0'!$Q$2:$Q$870,MATCH(Filter!B74,'TE_OA_20200805_INTRDY_2020-08-0'!$G$2:$G$870))</f>
        <v>328000</v>
      </c>
      <c r="J74">
        <f>INDEX('TE_OA_20200805_INTRDY_2020-08-0'!$R$2:$R$870,MATCH(Filter!B74,'TE_OA_20200805_INTRDY_2020-08-0'!$G$2:$G$870))</f>
        <v>0</v>
      </c>
    </row>
    <row r="75" spans="1:10" x14ac:dyDescent="0.25">
      <c r="A75" t="str">
        <f>INDEX('Pipe Table'!$E$2:$E$10,MATCH(INDEX('TE_OA_20200805_INTRDY_2020-08-0'!$T$2:$T$870,MATCH(Filter!B75,'TE_OA_20200805_INTRDY_2020-08-0'!$G$2:$G$870,0)),'Pipe Table'!$D$2:$D$10,0))</f>
        <v>TETCO</v>
      </c>
      <c r="B75">
        <v>70217</v>
      </c>
      <c r="C75" t="str">
        <f>INDEX('TE_OA_20200805_INTRDY_2020-08-0'!$J$2:$J$870,MATCH(Filter!B75,'TE_OA_20200805_INTRDY_2020-08-0'!$G$2:$G$870))</f>
        <v>Receipt</v>
      </c>
      <c r="D75" t="str">
        <f>INDEX('Pipe Table'!$B$2:$B$14,MATCH(INDEX(TeAllPoints!$I$2:$I$957,MATCH(Filter!B75,TeAllPoints!$B$2:$B$957,0)),'Pipe Table'!$A$2:$A$14,0))</f>
        <v>Intrcnnct</v>
      </c>
      <c r="E75" t="str">
        <f>INDEX('TE_OA_20200805_INTRDY_2020-08-0'!$H$2:$H$870,MATCH(Filter!B75,'TE_OA_20200805_INTRDY_2020-08-0'!$G$2:$G$870))</f>
        <v>GULF SOUTH PIPELINE COMPANY- KOSCIUSKO,  MS</v>
      </c>
      <c r="F75" t="str">
        <f>INDEX('Pipe Table'!$H$2:$H$8,MATCH('TE_OA_20200805_INTRDY_2020-08-0'!I56,'Pipe Table'!$G$2:$G$8,0))</f>
        <v>TETCO-M1</v>
      </c>
      <c r="G75" t="str">
        <f>INDEX(TeAllPoints!$D$2:$D$957,MATCH(Filter!B75,TeAllPoints!$B$2:$B$957,0))</f>
        <v>MS</v>
      </c>
      <c r="H75" t="str">
        <f>INDEX(TeAllPoints!$E$2:$E$957,MATCH(Filter!B75,TeAllPoints!$B$2:$B$957,0))</f>
        <v>ATTALA</v>
      </c>
      <c r="I75">
        <f>INDEX('TE_OA_20200805_INTRDY_2020-08-0'!$Q$2:$Q$870,MATCH(Filter!B75,'TE_OA_20200805_INTRDY_2020-08-0'!$G$2:$G$870))</f>
        <v>559739</v>
      </c>
      <c r="J75">
        <f>INDEX('TE_OA_20200805_INTRDY_2020-08-0'!$R$2:$R$870,MATCH(Filter!B75,'TE_OA_20200805_INTRDY_2020-08-0'!$G$2:$G$870))</f>
        <v>21755</v>
      </c>
    </row>
    <row r="76" spans="1:10" x14ac:dyDescent="0.25">
      <c r="A76" t="str">
        <f>INDEX('Pipe Table'!$E$2:$E$10,MATCH(INDEX('TE_OA_20200805_INTRDY_2020-08-0'!$T$2:$T$870,MATCH(Filter!B76,'TE_OA_20200805_INTRDY_2020-08-0'!$G$2:$G$870,0)),'Pipe Table'!$D$2:$D$10,0))</f>
        <v>TETCO</v>
      </c>
      <c r="B76">
        <v>70238</v>
      </c>
      <c r="C76" t="str">
        <f>INDEX('TE_OA_20200805_INTRDY_2020-08-0'!$J$2:$J$870,MATCH(Filter!B76,'TE_OA_20200805_INTRDY_2020-08-0'!$G$2:$G$870))</f>
        <v>Receipt</v>
      </c>
      <c r="D76" t="str">
        <f>INDEX('Pipe Table'!$B$2:$B$14,MATCH(INDEX(TeAllPoints!$I$2:$I$957,MATCH(Filter!B76,TeAllPoints!$B$2:$B$957,0)),'Pipe Table'!$A$2:$A$14,0))</f>
        <v>Wellhead</v>
      </c>
      <c r="E76" t="str">
        <f>INDEX('TE_OA_20200805_INTRDY_2020-08-0'!$H$2:$H$870,MATCH(Filter!B76,'TE_OA_20200805_INTRDY_2020-08-0'!$G$2:$G$870))</f>
        <v>Hughes Eastern - Chickasaw, MS</v>
      </c>
      <c r="F76" t="str">
        <f>INDEX('Pipe Table'!$H$2:$H$8,MATCH('TE_OA_20200805_INTRDY_2020-08-0'!I57,'Pipe Table'!$G$2:$G$8,0))</f>
        <v>TETCO-M1</v>
      </c>
      <c r="G76" t="str">
        <f>INDEX(TeAllPoints!$D$2:$D$957,MATCH(Filter!B76,TeAllPoints!$B$2:$B$957,0))</f>
        <v>MS</v>
      </c>
      <c r="H76" t="str">
        <f>INDEX(TeAllPoints!$E$2:$E$957,MATCH(Filter!B76,TeAllPoints!$B$2:$B$957,0))</f>
        <v>CHICKASAW</v>
      </c>
      <c r="I76">
        <f>INDEX('TE_OA_20200805_INTRDY_2020-08-0'!$Q$2:$Q$870,MATCH(Filter!B76,'TE_OA_20200805_INTRDY_2020-08-0'!$G$2:$G$870))</f>
        <v>10090</v>
      </c>
      <c r="J76">
        <f>INDEX('TE_OA_20200805_INTRDY_2020-08-0'!$R$2:$R$870,MATCH(Filter!B76,'TE_OA_20200805_INTRDY_2020-08-0'!$G$2:$G$870))</f>
        <v>75</v>
      </c>
    </row>
    <row r="77" spans="1:10" x14ac:dyDescent="0.25">
      <c r="A77" t="str">
        <f>INDEX('Pipe Table'!$E$2:$E$10,MATCH(INDEX('TE_OA_20200805_INTRDY_2020-08-0'!$T$2:$T$870,MATCH(Filter!B77,'TE_OA_20200805_INTRDY_2020-08-0'!$G$2:$G$870,0)),'Pipe Table'!$D$2:$D$10,0))</f>
        <v>TETCO</v>
      </c>
      <c r="B77">
        <v>70244</v>
      </c>
      <c r="C77" t="str">
        <f>INDEX('TE_OA_20200805_INTRDY_2020-08-0'!$J$2:$J$870,MATCH(Filter!B77,'TE_OA_20200805_INTRDY_2020-08-0'!$G$2:$G$870))</f>
        <v>Delivery</v>
      </c>
      <c r="D77" t="str">
        <f>INDEX('Pipe Table'!$B$2:$B$14,MATCH(INDEX(TeAllPoints!$I$2:$I$957,MATCH(Filter!B77,TeAllPoints!$B$2:$B$957,0)),'Pipe Table'!$A$2:$A$14,0))</f>
        <v>Intrcnnct</v>
      </c>
      <c r="E77" t="str">
        <f>INDEX('TE_OA_20200805_INTRDY_2020-08-0'!$H$2:$H$870,MATCH(Filter!B77,'TE_OA_20200805_INTRDY_2020-08-0'!$G$2:$G$870))</f>
        <v>Transco - Linden, NJ - DEL</v>
      </c>
      <c r="F77" t="str">
        <f>INDEX('Pipe Table'!$H$2:$H$8,MATCH('TE_OA_20200805_INTRDY_2020-08-0'!I58,'Pipe Table'!$G$2:$G$8,0))</f>
        <v>TETCO-M3</v>
      </c>
      <c r="G77" t="str">
        <f>INDEX(TeAllPoints!$D$2:$D$957,MATCH(Filter!B77,TeAllPoints!$B$2:$B$957,0))</f>
        <v>NJ</v>
      </c>
      <c r="H77" t="str">
        <f>INDEX(TeAllPoints!$E$2:$E$957,MATCH(Filter!B77,TeAllPoints!$B$2:$B$957,0))</f>
        <v>UNION</v>
      </c>
      <c r="I77">
        <f>INDEX('TE_OA_20200805_INTRDY_2020-08-0'!$Q$2:$Q$870,MATCH(Filter!B77,'TE_OA_20200805_INTRDY_2020-08-0'!$G$2:$G$870))</f>
        <v>365801</v>
      </c>
      <c r="J77">
        <f>INDEX('TE_OA_20200805_INTRDY_2020-08-0'!$R$2:$R$870,MATCH(Filter!B77,'TE_OA_20200805_INTRDY_2020-08-0'!$G$2:$G$870))</f>
        <v>0</v>
      </c>
    </row>
    <row r="78" spans="1:10" x14ac:dyDescent="0.25">
      <c r="A78" t="str">
        <f>INDEX('Pipe Table'!$E$2:$E$10,MATCH(INDEX('TE_OA_20200805_INTRDY_2020-08-0'!$T$2:$T$870,MATCH(Filter!B78,'TE_OA_20200805_INTRDY_2020-08-0'!$G$2:$G$870,0)),'Pipe Table'!$D$2:$D$10,0))</f>
        <v>TETCO</v>
      </c>
      <c r="B78">
        <v>70249</v>
      </c>
      <c r="C78" t="str">
        <f>INDEX('TE_OA_20200805_INTRDY_2020-08-0'!$J$2:$J$870,MATCH(Filter!B78,'TE_OA_20200805_INTRDY_2020-08-0'!$G$2:$G$870))</f>
        <v>Receipt</v>
      </c>
      <c r="D78" t="str">
        <f>INDEX('Pipe Table'!$B$2:$B$14,MATCH(INDEX(TeAllPoints!$I$2:$I$957,MATCH(Filter!B78,TeAllPoints!$B$2:$B$957,0)),'Pipe Table'!$A$2:$A$14,0))</f>
        <v>Intrcnnct</v>
      </c>
      <c r="E78" t="str">
        <f>INDEX('TE_OA_20200805_INTRDY_2020-08-0'!$H$2:$H$870,MATCH(Filter!B78,'TE_OA_20200805_INTRDY_2020-08-0'!$G$2:$G$870))</f>
        <v>Transco - Skippack, PA - REC</v>
      </c>
      <c r="F78" t="str">
        <f>INDEX('Pipe Table'!$H$2:$H$8,MATCH('TE_OA_20200805_INTRDY_2020-08-0'!I59,'Pipe Table'!$G$2:$G$8,0))</f>
        <v>TETCO-M3</v>
      </c>
      <c r="G78" t="str">
        <f>INDEX(TeAllPoints!$D$2:$D$957,MATCH(Filter!B78,TeAllPoints!$B$2:$B$957,0))</f>
        <v>PA</v>
      </c>
      <c r="H78" t="str">
        <f>INDEX(TeAllPoints!$E$2:$E$957,MATCH(Filter!B78,TeAllPoints!$B$2:$B$957,0))</f>
        <v>MONTGOMERY</v>
      </c>
      <c r="I78">
        <f>INDEX('TE_OA_20200805_INTRDY_2020-08-0'!$Q$2:$Q$870,MATCH(Filter!B78,'TE_OA_20200805_INTRDY_2020-08-0'!$G$2:$G$870))</f>
        <v>199035</v>
      </c>
      <c r="J78">
        <f>INDEX('TE_OA_20200805_INTRDY_2020-08-0'!$R$2:$R$870,MATCH(Filter!B78,'TE_OA_20200805_INTRDY_2020-08-0'!$G$2:$G$870))</f>
        <v>1000</v>
      </c>
    </row>
    <row r="79" spans="1:10" x14ac:dyDescent="0.25">
      <c r="A79" t="str">
        <f>INDEX('Pipe Table'!$E$2:$E$10,MATCH(INDEX('TE_OA_20200805_INTRDY_2020-08-0'!$T$2:$T$870,MATCH(Filter!B79,'TE_OA_20200805_INTRDY_2020-08-0'!$G$2:$G$870,0)),'Pipe Table'!$D$2:$D$10,0))</f>
        <v>TETCO</v>
      </c>
      <c r="B79">
        <v>70266</v>
      </c>
      <c r="C79" t="str">
        <f>INDEX('TE_OA_20200805_INTRDY_2020-08-0'!$J$2:$J$870,MATCH(Filter!B79,'TE_OA_20200805_INTRDY_2020-08-0'!$G$2:$G$870))</f>
        <v>Delivery</v>
      </c>
      <c r="D79" t="str">
        <f>INDEX('Pipe Table'!$B$2:$B$14,MATCH(INDEX(TeAllPoints!$I$2:$I$957,MATCH(Filter!B79,TeAllPoints!$B$2:$B$957,0)),'Pipe Table'!$A$2:$A$14,0))</f>
        <v>LDC</v>
      </c>
      <c r="E79" t="str">
        <f>INDEX('TE_OA_20200805_INTRDY_2020-08-0'!$H$2:$H$870,MATCH(Filter!B79,'TE_OA_20200805_INTRDY_2020-08-0'!$G$2:$G$870))</f>
        <v>UGI CENTRAL - Huntingdon Gas - Huntingdon, PA</v>
      </c>
      <c r="F79" t="str">
        <f>INDEX('Pipe Table'!$H$2:$H$8,MATCH('TE_OA_20200805_INTRDY_2020-08-0'!I60,'Pipe Table'!$G$2:$G$8,0))</f>
        <v>TETCO-M3</v>
      </c>
      <c r="G79" t="str">
        <f>INDEX(TeAllPoints!$D$2:$D$957,MATCH(Filter!B79,TeAllPoints!$B$2:$B$957,0))</f>
        <v>PA</v>
      </c>
      <c r="H79" t="str">
        <f>INDEX(TeAllPoints!$E$2:$E$957,MATCH(Filter!B79,TeAllPoints!$B$2:$B$957,0))</f>
        <v>HUNTINGDON</v>
      </c>
      <c r="I79">
        <f>INDEX('TE_OA_20200805_INTRDY_2020-08-0'!$Q$2:$Q$870,MATCH(Filter!B79,'TE_OA_20200805_INTRDY_2020-08-0'!$G$2:$G$870))</f>
        <v>5962</v>
      </c>
      <c r="J79">
        <f>INDEX('TE_OA_20200805_INTRDY_2020-08-0'!$R$2:$R$870,MATCH(Filter!B79,'TE_OA_20200805_INTRDY_2020-08-0'!$G$2:$G$870))</f>
        <v>0</v>
      </c>
    </row>
    <row r="80" spans="1:10" x14ac:dyDescent="0.25">
      <c r="A80" t="str">
        <f>INDEX('Pipe Table'!$E$2:$E$10,MATCH(INDEX('TE_OA_20200805_INTRDY_2020-08-0'!$T$2:$T$870,MATCH(Filter!B80,'TE_OA_20200805_INTRDY_2020-08-0'!$G$2:$G$870,0)),'Pipe Table'!$D$2:$D$10,0))</f>
        <v>TETCO</v>
      </c>
      <c r="B80">
        <v>70275</v>
      </c>
      <c r="C80" t="str">
        <f>INDEX('TE_OA_20200805_INTRDY_2020-08-0'!$J$2:$J$870,MATCH(Filter!B80,'TE_OA_20200805_INTRDY_2020-08-0'!$G$2:$G$870))</f>
        <v>Delivery</v>
      </c>
      <c r="D80" t="str">
        <f>INDEX('Pipe Table'!$B$2:$B$14,MATCH(INDEX(TeAllPoints!$I$2:$I$957,MATCH(Filter!B80,TeAllPoints!$B$2:$B$957,0)),'Pipe Table'!$A$2:$A$14,0))</f>
        <v>LDC</v>
      </c>
      <c r="E80" t="str">
        <f>INDEX('TE_OA_20200805_INTRDY_2020-08-0'!$H$2:$H$870,MATCH(Filter!B80,'TE_OA_20200805_INTRDY_2020-08-0'!$G$2:$G$870))</f>
        <v>Elizabethtown Gas Company - Elizabeth, NJ</v>
      </c>
      <c r="F80" t="str">
        <f>INDEX('Pipe Table'!$H$2:$H$8,MATCH('TE_OA_20200805_INTRDY_2020-08-0'!I61,'Pipe Table'!$G$2:$G$8,0))</f>
        <v>TETCO-M3</v>
      </c>
      <c r="G80" t="str">
        <f>INDEX(TeAllPoints!$D$2:$D$957,MATCH(Filter!B80,TeAllPoints!$B$2:$B$957,0))</f>
        <v>NJ</v>
      </c>
      <c r="H80" t="str">
        <f>INDEX(TeAllPoints!$E$2:$E$957,MATCH(Filter!B80,TeAllPoints!$B$2:$B$957,0))</f>
        <v>MIDDLESEX</v>
      </c>
      <c r="I80">
        <f>INDEX('TE_OA_20200805_INTRDY_2020-08-0'!$Q$2:$Q$870,MATCH(Filter!B80,'TE_OA_20200805_INTRDY_2020-08-0'!$G$2:$G$870))</f>
        <v>149319</v>
      </c>
      <c r="J80">
        <f>INDEX('TE_OA_20200805_INTRDY_2020-08-0'!$R$2:$R$870,MATCH(Filter!B80,'TE_OA_20200805_INTRDY_2020-08-0'!$G$2:$G$870))</f>
        <v>16286</v>
      </c>
    </row>
    <row r="81" spans="1:10" x14ac:dyDescent="0.25">
      <c r="A81" t="str">
        <f>INDEX('Pipe Table'!$E$2:$E$10,MATCH(INDEX('TE_OA_20200805_INTRDY_2020-08-0'!$T$2:$T$870,MATCH(Filter!B81,'TE_OA_20200805_INTRDY_2020-08-0'!$G$2:$G$870,0)),'Pipe Table'!$D$2:$D$10,0))</f>
        <v>TETCO</v>
      </c>
      <c r="B81">
        <v>70283</v>
      </c>
      <c r="C81" t="str">
        <f>INDEX('TE_OA_20200805_INTRDY_2020-08-0'!$J$2:$J$870,MATCH(Filter!B81,'TE_OA_20200805_INTRDY_2020-08-0'!$G$2:$G$870))</f>
        <v>Receipt</v>
      </c>
      <c r="D81" t="str">
        <f>INDEX('Pipe Table'!$B$2:$B$14,MATCH(INDEX(TeAllPoints!$I$2:$I$957,MATCH(Filter!B81,TeAllPoints!$B$2:$B$957,0)),'Pipe Table'!$A$2:$A$14,0))</f>
        <v>Intrcnnct</v>
      </c>
      <c r="E81" t="str">
        <f>INDEX('TE_OA_20200805_INTRDY_2020-08-0'!$H$2:$H$870,MATCH(Filter!B81,'TE_OA_20200805_INTRDY_2020-08-0'!$G$2:$G$870))</f>
        <v>TGC Lick Creek - Williamson Co., Il (To TE)</v>
      </c>
      <c r="F81" t="str">
        <f>INDEX('Pipe Table'!$H$2:$H$8,MATCH('TE_OA_20200805_INTRDY_2020-08-0'!I62,'Pipe Table'!$G$2:$G$8,0))</f>
        <v>TETCO-M1</v>
      </c>
      <c r="G81" t="str">
        <f>INDEX(TeAllPoints!$D$2:$D$957,MATCH(Filter!B81,TeAllPoints!$B$2:$B$957,0))</f>
        <v>IL</v>
      </c>
      <c r="H81" t="str">
        <f>INDEX(TeAllPoints!$E$2:$E$957,MATCH(Filter!B81,TeAllPoints!$B$2:$B$957,0))</f>
        <v>WILLIAMSON</v>
      </c>
      <c r="I81">
        <f>INDEX('TE_OA_20200805_INTRDY_2020-08-0'!$Q$2:$Q$870,MATCH(Filter!B81,'TE_OA_20200805_INTRDY_2020-08-0'!$G$2:$G$870))</f>
        <v>157425</v>
      </c>
      <c r="J81">
        <f>INDEX('TE_OA_20200805_INTRDY_2020-08-0'!$R$2:$R$870,MATCH(Filter!B81,'TE_OA_20200805_INTRDY_2020-08-0'!$G$2:$G$870))</f>
        <v>0</v>
      </c>
    </row>
    <row r="82" spans="1:10" x14ac:dyDescent="0.25">
      <c r="A82" t="str">
        <f>INDEX('Pipe Table'!$E$2:$E$10,MATCH(INDEX('TE_OA_20200805_INTRDY_2020-08-0'!$T$2:$T$870,MATCH(Filter!B82,'TE_OA_20200805_INTRDY_2020-08-0'!$G$2:$G$870,0)),'Pipe Table'!$D$2:$D$10,0))</f>
        <v>TETCO</v>
      </c>
      <c r="B82">
        <v>70295</v>
      </c>
      <c r="C82" t="str">
        <f>INDEX('TE_OA_20200805_INTRDY_2020-08-0'!$J$2:$J$870,MATCH(Filter!B82,'TE_OA_20200805_INTRDY_2020-08-0'!$G$2:$G$870))</f>
        <v>Delivery</v>
      </c>
      <c r="D82" t="str">
        <f>INDEX('Pipe Table'!$B$2:$B$14,MATCH(INDEX(TeAllPoints!$I$2:$I$957,MATCH(Filter!B82,TeAllPoints!$B$2:$B$957,0)),'Pipe Table'!$A$2:$A$14,0))</f>
        <v>LDC</v>
      </c>
      <c r="E82" t="str">
        <f>INDEX('TE_OA_20200805_INTRDY_2020-08-0'!$H$2:$H$870,MATCH(Filter!B82,'TE_OA_20200805_INTRDY_2020-08-0'!$G$2:$G$870))</f>
        <v>Anna, IL</v>
      </c>
      <c r="F82" t="str">
        <f>INDEX('Pipe Table'!$H$2:$H$8,MATCH('TE_OA_20200805_INTRDY_2020-08-0'!I63,'Pipe Table'!$G$2:$G$8,0))</f>
        <v>TETCO-M1</v>
      </c>
      <c r="G82" t="str">
        <f>INDEX(TeAllPoints!$D$2:$D$957,MATCH(Filter!B82,TeAllPoints!$B$2:$B$957,0))</f>
        <v>IL</v>
      </c>
      <c r="H82" t="str">
        <f>INDEX(TeAllPoints!$E$2:$E$957,MATCH(Filter!B82,TeAllPoints!$B$2:$B$957,0))</f>
        <v>UNION</v>
      </c>
      <c r="I82">
        <f>INDEX('TE_OA_20200805_INTRDY_2020-08-0'!$Q$2:$Q$870,MATCH(Filter!B82,'TE_OA_20200805_INTRDY_2020-08-0'!$G$2:$G$870))</f>
        <v>8624</v>
      </c>
      <c r="J82">
        <f>INDEX('TE_OA_20200805_INTRDY_2020-08-0'!$R$2:$R$870,MATCH(Filter!B82,'TE_OA_20200805_INTRDY_2020-08-0'!$G$2:$G$870))</f>
        <v>560</v>
      </c>
    </row>
    <row r="83" spans="1:10" x14ac:dyDescent="0.25">
      <c r="A83" t="str">
        <f>INDEX('Pipe Table'!$E$2:$E$10,MATCH(INDEX('TE_OA_20200805_INTRDY_2020-08-0'!$T$2:$T$870,MATCH(Filter!B83,'TE_OA_20200805_INTRDY_2020-08-0'!$G$2:$G$870,0)),'Pipe Table'!$D$2:$D$10,0))</f>
        <v>TETCO</v>
      </c>
      <c r="B83">
        <v>70297</v>
      </c>
      <c r="C83" t="str">
        <f>INDEX('TE_OA_20200805_INTRDY_2020-08-0'!$J$2:$J$870,MATCH(Filter!B83,'TE_OA_20200805_INTRDY_2020-08-0'!$G$2:$G$870))</f>
        <v>Delivery</v>
      </c>
      <c r="D83" t="str">
        <f>INDEX('Pipe Table'!$B$2:$B$14,MATCH(INDEX(TeAllPoints!$I$2:$I$957,MATCH(Filter!B83,TeAllPoints!$B$2:$B$957,0)),'Pipe Table'!$A$2:$A$14,0))</f>
        <v>LDC</v>
      </c>
      <c r="E83" t="str">
        <f>INDEX('TE_OA_20200805_INTRDY_2020-08-0'!$H$2:$H$870,MATCH(Filter!B83,'TE_OA_20200805_INTRDY_2020-08-0'!$G$2:$G$870))</f>
        <v>ATMOS ENERGY - ETHEL - ATTALA CO. MS</v>
      </c>
      <c r="F83" t="str">
        <f>INDEX('Pipe Table'!$H$2:$H$8,MATCH('TE_OA_20200805_INTRDY_2020-08-0'!I64,'Pipe Table'!$G$2:$G$8,0))</f>
        <v>TETCO-M1</v>
      </c>
      <c r="G83" t="str">
        <f>INDEX(TeAllPoints!$D$2:$D$957,MATCH(Filter!B83,TeAllPoints!$B$2:$B$957,0))</f>
        <v>MS</v>
      </c>
      <c r="H83" t="str">
        <f>INDEX(TeAllPoints!$E$2:$E$957,MATCH(Filter!B83,TeAllPoints!$B$2:$B$957,0))</f>
        <v>ATTALA</v>
      </c>
      <c r="I83">
        <f>INDEX('TE_OA_20200805_INTRDY_2020-08-0'!$Q$2:$Q$870,MATCH(Filter!B83,'TE_OA_20200805_INTRDY_2020-08-0'!$G$2:$G$870))</f>
        <v>1244</v>
      </c>
      <c r="J83">
        <f>INDEX('TE_OA_20200805_INTRDY_2020-08-0'!$R$2:$R$870,MATCH(Filter!B83,'TE_OA_20200805_INTRDY_2020-08-0'!$G$2:$G$870))</f>
        <v>0</v>
      </c>
    </row>
    <row r="84" spans="1:10" x14ac:dyDescent="0.25">
      <c r="A84" t="str">
        <f>INDEX('Pipe Table'!$E$2:$E$10,MATCH(INDEX('TE_OA_20200805_INTRDY_2020-08-0'!$T$2:$T$870,MATCH(Filter!B84,'TE_OA_20200805_INTRDY_2020-08-0'!$G$2:$G$870,0)),'Pipe Table'!$D$2:$D$10,0))</f>
        <v>TETCO</v>
      </c>
      <c r="B84">
        <v>70298</v>
      </c>
      <c r="C84" t="str">
        <f>INDEX('TE_OA_20200805_INTRDY_2020-08-0'!$J$2:$J$870,MATCH(Filter!B84,'TE_OA_20200805_INTRDY_2020-08-0'!$G$2:$G$870))</f>
        <v>Delivery</v>
      </c>
      <c r="D84" t="str">
        <f>INDEX('Pipe Table'!$B$2:$B$14,MATCH(INDEX(TeAllPoints!$I$2:$I$957,MATCH(Filter!B84,TeAllPoints!$B$2:$B$957,0)),'Pipe Table'!$A$2:$A$14,0))</f>
        <v>LDC</v>
      </c>
      <c r="E84" t="str">
        <f>INDEX('TE_OA_20200805_INTRDY_2020-08-0'!$H$2:$H$870,MATCH(Filter!B84,'TE_OA_20200805_INTRDY_2020-08-0'!$G$2:$G$870))</f>
        <v>Mississippi Valley - McCool, MS</v>
      </c>
      <c r="F84" t="str">
        <f>INDEX('Pipe Table'!$H$2:$H$8,MATCH('TE_OA_20200805_INTRDY_2020-08-0'!I65,'Pipe Table'!$G$2:$G$8,0))</f>
        <v>TETCO-M1</v>
      </c>
      <c r="G84" t="str">
        <f>INDEX(TeAllPoints!$D$2:$D$957,MATCH(Filter!B84,TeAllPoints!$B$2:$B$957,0))</f>
        <v>MS</v>
      </c>
      <c r="H84" t="str">
        <f>INDEX(TeAllPoints!$E$2:$E$957,MATCH(Filter!B84,TeAllPoints!$B$2:$B$957,0))</f>
        <v>ATTALA</v>
      </c>
      <c r="I84">
        <f>INDEX('TE_OA_20200805_INTRDY_2020-08-0'!$Q$2:$Q$870,MATCH(Filter!B84,'TE_OA_20200805_INTRDY_2020-08-0'!$G$2:$G$870))</f>
        <v>286</v>
      </c>
      <c r="J84">
        <f>INDEX('TE_OA_20200805_INTRDY_2020-08-0'!$R$2:$R$870,MATCH(Filter!B84,'TE_OA_20200805_INTRDY_2020-08-0'!$G$2:$G$870))</f>
        <v>0</v>
      </c>
    </row>
    <row r="85" spans="1:10" x14ac:dyDescent="0.25">
      <c r="A85" t="str">
        <f>INDEX('Pipe Table'!$E$2:$E$10,MATCH(INDEX('TE_OA_20200805_INTRDY_2020-08-0'!$T$2:$T$870,MATCH(Filter!B85,'TE_OA_20200805_INTRDY_2020-08-0'!$G$2:$G$870,0)),'Pipe Table'!$D$2:$D$10,0))</f>
        <v>TETCO</v>
      </c>
      <c r="B85">
        <v>70299</v>
      </c>
      <c r="C85" t="str">
        <f>INDEX('TE_OA_20200805_INTRDY_2020-08-0'!$J$2:$J$870,MATCH(Filter!B85,'TE_OA_20200805_INTRDY_2020-08-0'!$G$2:$G$870))</f>
        <v>Delivery</v>
      </c>
      <c r="D85" t="str">
        <f>INDEX('Pipe Table'!$B$2:$B$14,MATCH(INDEX(TeAllPoints!$I$2:$I$957,MATCH(Filter!B85,TeAllPoints!$B$2:$B$957,0)),'Pipe Table'!$A$2:$A$14,0))</f>
        <v>LDC</v>
      </c>
      <c r="E85" t="str">
        <f>INDEX('TE_OA_20200805_INTRDY_2020-08-0'!$H$2:$H$870,MATCH(Filter!B85,'TE_OA_20200805_INTRDY_2020-08-0'!$G$2:$G$870))</f>
        <v>Florence, AL</v>
      </c>
      <c r="F85" t="str">
        <f>INDEX('Pipe Table'!$H$2:$H$8,MATCH('TE_OA_20200805_INTRDY_2020-08-0'!I66,'Pipe Table'!$G$2:$G$8,0))</f>
        <v>TETCO-M1</v>
      </c>
      <c r="G85" t="str">
        <f>INDEX(TeAllPoints!$D$2:$D$957,MATCH(Filter!B85,TeAllPoints!$B$2:$B$957,0))</f>
        <v>AL</v>
      </c>
      <c r="H85" t="str">
        <f>INDEX(TeAllPoints!$E$2:$E$957,MATCH(Filter!B85,TeAllPoints!$B$2:$B$957,0))</f>
        <v>LAUDERDALE</v>
      </c>
      <c r="I85">
        <f>INDEX('TE_OA_20200805_INTRDY_2020-08-0'!$Q$2:$Q$870,MATCH(Filter!B85,'TE_OA_20200805_INTRDY_2020-08-0'!$G$2:$G$870))</f>
        <v>18044</v>
      </c>
      <c r="J85">
        <f>INDEX('TE_OA_20200805_INTRDY_2020-08-0'!$R$2:$R$870,MATCH(Filter!B85,'TE_OA_20200805_INTRDY_2020-08-0'!$G$2:$G$870))</f>
        <v>500</v>
      </c>
    </row>
    <row r="86" spans="1:10" x14ac:dyDescent="0.25">
      <c r="A86" t="str">
        <f>INDEX('Pipe Table'!$E$2:$E$10,MATCH(INDEX('TE_OA_20200805_INTRDY_2020-08-0'!$T$2:$T$870,MATCH(Filter!B86,'TE_OA_20200805_INTRDY_2020-08-0'!$G$2:$G$870,0)),'Pipe Table'!$D$2:$D$10,0))</f>
        <v>TETCO</v>
      </c>
      <c r="B86">
        <v>70308</v>
      </c>
      <c r="C86" t="str">
        <f>INDEX('TE_OA_20200805_INTRDY_2020-08-0'!$J$2:$J$870,MATCH(Filter!B86,'TE_OA_20200805_INTRDY_2020-08-0'!$G$2:$G$870))</f>
        <v>Delivery</v>
      </c>
      <c r="D86" t="str">
        <f>INDEX('Pipe Table'!$B$2:$B$14,MATCH(INDEX(TeAllPoints!$I$2:$I$957,MATCH(Filter!B86,TeAllPoints!$B$2:$B$957,0)),'Pipe Table'!$A$2:$A$14,0))</f>
        <v>LDC</v>
      </c>
      <c r="E86" t="str">
        <f>INDEX('TE_OA_20200805_INTRDY_2020-08-0'!$H$2:$H$870,MATCH(Filter!B86,'TE_OA_20200805_INTRDY_2020-08-0'!$G$2:$G$870))</f>
        <v>UGI CENTRAL - Lewistown - Juniata Co., PA</v>
      </c>
      <c r="F86" t="str">
        <f>INDEX('Pipe Table'!$H$2:$H$8,MATCH('TE_OA_20200805_INTRDY_2020-08-0'!I67,'Pipe Table'!$G$2:$G$8,0))</f>
        <v>TETCO-M3</v>
      </c>
      <c r="G86" t="str">
        <f>INDEX(TeAllPoints!$D$2:$D$957,MATCH(Filter!B86,TeAllPoints!$B$2:$B$957,0))</f>
        <v>PA</v>
      </c>
      <c r="H86" t="str">
        <f>INDEX(TeAllPoints!$E$2:$E$957,MATCH(Filter!B86,TeAllPoints!$B$2:$B$957,0))</f>
        <v>JUNIATA</v>
      </c>
      <c r="I86">
        <f>INDEX('TE_OA_20200805_INTRDY_2020-08-0'!$Q$2:$Q$870,MATCH(Filter!B86,'TE_OA_20200805_INTRDY_2020-08-0'!$G$2:$G$870))</f>
        <v>15693</v>
      </c>
      <c r="J86">
        <f>INDEX('TE_OA_20200805_INTRDY_2020-08-0'!$R$2:$R$870,MATCH(Filter!B86,'TE_OA_20200805_INTRDY_2020-08-0'!$G$2:$G$870))</f>
        <v>4725</v>
      </c>
    </row>
    <row r="87" spans="1:10" x14ac:dyDescent="0.25">
      <c r="A87" t="str">
        <f>INDEX('Pipe Table'!$E$2:$E$10,MATCH(INDEX('TE_OA_20200805_INTRDY_2020-08-0'!$T$2:$T$870,MATCH(Filter!B87,'TE_OA_20200805_INTRDY_2020-08-0'!$G$2:$G$870,0)),'Pipe Table'!$D$2:$D$10,0))</f>
        <v>TETCO</v>
      </c>
      <c r="B87">
        <v>70309</v>
      </c>
      <c r="C87" t="str">
        <f>INDEX('TE_OA_20200805_INTRDY_2020-08-0'!$J$2:$J$870,MATCH(Filter!B87,'TE_OA_20200805_INTRDY_2020-08-0'!$G$2:$G$870))</f>
        <v>Receipt</v>
      </c>
      <c r="D87" t="str">
        <f>INDEX('Pipe Table'!$B$2:$B$14,MATCH(INDEX(TeAllPoints!$I$2:$I$957,MATCH(Filter!B87,TeAllPoints!$B$2:$B$957,0)),'Pipe Table'!$A$2:$A$14,0))</f>
        <v>LDC</v>
      </c>
      <c r="E87" t="str">
        <f>INDEX('TE_OA_20200805_INTRDY_2020-08-0'!$H$2:$H$870,MATCH(Filter!B87,'TE_OA_20200805_INTRDY_2020-08-0'!$G$2:$G$870))</f>
        <v>UGI CENTRAL - Pottsville Gas - Berks Co., PA</v>
      </c>
      <c r="F87" t="str">
        <f>INDEX('Pipe Table'!$H$2:$H$8,MATCH('TE_OA_20200805_INTRDY_2020-08-0'!I68,'Pipe Table'!$G$2:$G$8,0))</f>
        <v>TETCO-M3</v>
      </c>
      <c r="G87" t="str">
        <f>INDEX(TeAllPoints!$D$2:$D$957,MATCH(Filter!B87,TeAllPoints!$B$2:$B$957,0))</f>
        <v>PA</v>
      </c>
      <c r="H87" t="str">
        <f>INDEX(TeAllPoints!$E$2:$E$957,MATCH(Filter!B87,TeAllPoints!$B$2:$B$957,0))</f>
        <v>BERKS</v>
      </c>
      <c r="I87">
        <f>INDEX('TE_OA_20200805_INTRDY_2020-08-0'!$Q$2:$Q$870,MATCH(Filter!B87,'TE_OA_20200805_INTRDY_2020-08-0'!$G$2:$G$870))</f>
        <v>34732</v>
      </c>
      <c r="J87">
        <f>INDEX('TE_OA_20200805_INTRDY_2020-08-0'!$R$2:$R$870,MATCH(Filter!B87,'TE_OA_20200805_INTRDY_2020-08-0'!$G$2:$G$870))</f>
        <v>-1509</v>
      </c>
    </row>
    <row r="88" spans="1:10" x14ac:dyDescent="0.25">
      <c r="A88" t="str">
        <f>INDEX('Pipe Table'!$E$2:$E$10,MATCH(INDEX('TE_OA_20200805_INTRDY_2020-08-0'!$T$2:$T$870,MATCH(Filter!B88,'TE_OA_20200805_INTRDY_2020-08-0'!$G$2:$G$870,0)),'Pipe Table'!$D$2:$D$10,0))</f>
        <v>TETCO</v>
      </c>
      <c r="B88">
        <v>70313</v>
      </c>
      <c r="C88" t="str">
        <f>INDEX('TE_OA_20200805_INTRDY_2020-08-0'!$J$2:$J$870,MATCH(Filter!B88,'TE_OA_20200805_INTRDY_2020-08-0'!$G$2:$G$870))</f>
        <v>Delivery</v>
      </c>
      <c r="D88" t="str">
        <f>INDEX('Pipe Table'!$B$2:$B$14,MATCH(INDEX(TeAllPoints!$I$2:$I$957,MATCH(Filter!B88,TeAllPoints!$B$2:$B$957,0)),'Pipe Table'!$A$2:$A$14,0))</f>
        <v>LDC</v>
      </c>
      <c r="E88" t="str">
        <f>INDEX('TE_OA_20200805_INTRDY_2020-08-0'!$H$2:$H$870,MATCH(Filter!B88,'TE_OA_20200805_INTRDY_2020-08-0'!$G$2:$G$870))</f>
        <v>Columbia, KY</v>
      </c>
      <c r="F88" t="str">
        <f>INDEX('Pipe Table'!$H$2:$H$8,MATCH('TE_OA_20200805_INTRDY_2020-08-0'!I69,'Pipe Table'!$G$2:$G$8,0))</f>
        <v>TETCO-M2</v>
      </c>
      <c r="G88" t="str">
        <f>INDEX(TeAllPoints!$D$2:$D$957,MATCH(Filter!B88,TeAllPoints!$B$2:$B$957,0))</f>
        <v>KY</v>
      </c>
      <c r="H88" t="str">
        <f>INDEX(TeAllPoints!$E$2:$E$957,MATCH(Filter!B88,TeAllPoints!$B$2:$B$957,0))</f>
        <v>ADAIR</v>
      </c>
      <c r="I88">
        <f>INDEX('TE_OA_20200805_INTRDY_2020-08-0'!$Q$2:$Q$870,MATCH(Filter!B88,'TE_OA_20200805_INTRDY_2020-08-0'!$G$2:$G$870))</f>
        <v>3850</v>
      </c>
      <c r="J88">
        <f>INDEX('TE_OA_20200805_INTRDY_2020-08-0'!$R$2:$R$870,MATCH(Filter!B88,'TE_OA_20200805_INTRDY_2020-08-0'!$G$2:$G$870))</f>
        <v>12</v>
      </c>
    </row>
    <row r="89" spans="1:10" x14ac:dyDescent="0.25">
      <c r="A89" t="str">
        <f>INDEX('Pipe Table'!$E$2:$E$10,MATCH(INDEX('TE_OA_20200805_INTRDY_2020-08-0'!$T$2:$T$870,MATCH(Filter!B89,'TE_OA_20200805_INTRDY_2020-08-0'!$G$2:$G$870,0)),'Pipe Table'!$D$2:$D$10,0))</f>
        <v>TETCO</v>
      </c>
      <c r="B89">
        <v>70315</v>
      </c>
      <c r="C89" t="str">
        <f>INDEX('TE_OA_20200805_INTRDY_2020-08-0'!$J$2:$J$870,MATCH(Filter!B89,'TE_OA_20200805_INTRDY_2020-08-0'!$G$2:$G$870))</f>
        <v>Delivery</v>
      </c>
      <c r="D89" t="str">
        <f>INDEX('Pipe Table'!$B$2:$B$14,MATCH(INDEX(TeAllPoints!$I$2:$I$957,MATCH(Filter!B89,TeAllPoints!$B$2:$B$957,0)),'Pipe Table'!$A$2:$A$14,0))</f>
        <v>LDC</v>
      </c>
      <c r="E89" t="str">
        <f>INDEX('TE_OA_20200805_INTRDY_2020-08-0'!$H$2:$H$870,MATCH(Filter!B89,'TE_OA_20200805_INTRDY_2020-08-0'!$G$2:$G$870))</f>
        <v>Smyrna, TN</v>
      </c>
      <c r="F89" t="str">
        <f>INDEX('Pipe Table'!$H$2:$H$8,MATCH('TE_OA_20200805_INTRDY_2020-08-0'!I70,'Pipe Table'!$G$2:$G$8,0))</f>
        <v>TETCO-M1</v>
      </c>
      <c r="G89" t="str">
        <f>INDEX(TeAllPoints!$D$2:$D$957,MATCH(Filter!B89,TeAllPoints!$B$2:$B$957,0))</f>
        <v>TN</v>
      </c>
      <c r="H89" t="str">
        <f>INDEX(TeAllPoints!$E$2:$E$957,MATCH(Filter!B89,TeAllPoints!$B$2:$B$957,0))</f>
        <v>RUTHERFORD</v>
      </c>
      <c r="I89">
        <f>INDEX('TE_OA_20200805_INTRDY_2020-08-0'!$Q$2:$Q$870,MATCH(Filter!B89,'TE_OA_20200805_INTRDY_2020-08-0'!$G$2:$G$870))</f>
        <v>217499</v>
      </c>
      <c r="J89">
        <f>INDEX('TE_OA_20200805_INTRDY_2020-08-0'!$R$2:$R$870,MATCH(Filter!B89,'TE_OA_20200805_INTRDY_2020-08-0'!$G$2:$G$870))</f>
        <v>4050</v>
      </c>
    </row>
    <row r="90" spans="1:10" x14ac:dyDescent="0.25">
      <c r="A90" t="str">
        <f>INDEX('Pipe Table'!$E$2:$E$10,MATCH(INDEX('TE_OA_20200805_INTRDY_2020-08-0'!$T$2:$T$870,MATCH(Filter!B90,'TE_OA_20200805_INTRDY_2020-08-0'!$G$2:$G$870,0)),'Pipe Table'!$D$2:$D$10,0))</f>
        <v>TETCO</v>
      </c>
      <c r="B90">
        <v>70316</v>
      </c>
      <c r="C90" t="str">
        <f>INDEX('TE_OA_20200805_INTRDY_2020-08-0'!$J$2:$J$870,MATCH(Filter!B90,'TE_OA_20200805_INTRDY_2020-08-0'!$G$2:$G$870))</f>
        <v>Delivery</v>
      </c>
      <c r="D90" t="str">
        <f>INDEX('Pipe Table'!$B$2:$B$14,MATCH(INDEX(TeAllPoints!$I$2:$I$957,MATCH(Filter!B90,TeAllPoints!$B$2:$B$957,0)),'Pipe Table'!$A$2:$A$14,0))</f>
        <v>LDC</v>
      </c>
      <c r="E90" t="str">
        <f>INDEX('TE_OA_20200805_INTRDY_2020-08-0'!$H$2:$H$870,MATCH(Filter!B90,'TE_OA_20200805_INTRDY_2020-08-0'!$G$2:$G$870))</f>
        <v>Hartsville Gas - Trousdale, TN</v>
      </c>
      <c r="F90" t="str">
        <f>INDEX('Pipe Table'!$H$2:$H$8,MATCH('TE_OA_20200805_INTRDY_2020-08-0'!I71,'Pipe Table'!$G$2:$G$8,0))</f>
        <v>TETCO-M1</v>
      </c>
      <c r="G90" t="str">
        <f>INDEX(TeAllPoints!$D$2:$D$957,MATCH(Filter!B90,TeAllPoints!$B$2:$B$957,0))</f>
        <v>TN</v>
      </c>
      <c r="H90" t="str">
        <f>INDEX(TeAllPoints!$E$2:$E$957,MATCH(Filter!B90,TeAllPoints!$B$2:$B$957,0))</f>
        <v>TROUSDALE</v>
      </c>
      <c r="I90">
        <f>INDEX('TE_OA_20200805_INTRDY_2020-08-0'!$Q$2:$Q$870,MATCH(Filter!B90,'TE_OA_20200805_INTRDY_2020-08-0'!$G$2:$G$870))</f>
        <v>3484</v>
      </c>
      <c r="J90">
        <f>INDEX('TE_OA_20200805_INTRDY_2020-08-0'!$R$2:$R$870,MATCH(Filter!B90,'TE_OA_20200805_INTRDY_2020-08-0'!$G$2:$G$870))</f>
        <v>0</v>
      </c>
    </row>
    <row r="91" spans="1:10" x14ac:dyDescent="0.25">
      <c r="A91" t="str">
        <f>INDEX('Pipe Table'!$E$2:$E$10,MATCH(INDEX('TE_OA_20200805_INTRDY_2020-08-0'!$T$2:$T$870,MATCH(Filter!B91,'TE_OA_20200805_INTRDY_2020-08-0'!$G$2:$G$870,0)),'Pipe Table'!$D$2:$D$10,0))</f>
        <v>TETCO</v>
      </c>
      <c r="B91">
        <v>70321</v>
      </c>
      <c r="C91" t="str">
        <f>INDEX('TE_OA_20200805_INTRDY_2020-08-0'!$J$2:$J$870,MATCH(Filter!B91,'TE_OA_20200805_INTRDY_2020-08-0'!$G$2:$G$870))</f>
        <v>Delivery</v>
      </c>
      <c r="D91" t="str">
        <f>INDEX('Pipe Table'!$B$2:$B$14,MATCH(INDEX(TeAllPoints!$I$2:$I$957,MATCH(Filter!B91,TeAllPoints!$B$2:$B$957,0)),'Pipe Table'!$A$2:$A$14,0))</f>
        <v>LDC</v>
      </c>
      <c r="E91" t="str">
        <f>INDEX('TE_OA_20200805_INTRDY_2020-08-0'!$H$2:$H$870,MATCH(Filter!B91,'TE_OA_20200805_INTRDY_2020-08-0'!$G$2:$G$870))</f>
        <v>UGI Utilities, Inc. (Columbia Gas) - Lebanon, PA</v>
      </c>
      <c r="F91" t="str">
        <f>INDEX('Pipe Table'!$H$2:$H$8,MATCH('TE_OA_20200805_INTRDY_2020-08-0'!I72,'Pipe Table'!$G$2:$G$8,0))</f>
        <v>TETCO-M3</v>
      </c>
      <c r="G91" t="str">
        <f>INDEX(TeAllPoints!$D$2:$D$957,MATCH(Filter!B91,TeAllPoints!$B$2:$B$957,0))</f>
        <v>PA</v>
      </c>
      <c r="H91" t="str">
        <f>INDEX(TeAllPoints!$E$2:$E$957,MATCH(Filter!B91,TeAllPoints!$B$2:$B$957,0))</f>
        <v>LEBANON</v>
      </c>
      <c r="I91">
        <f>INDEX('TE_OA_20200805_INTRDY_2020-08-0'!$Q$2:$Q$870,MATCH(Filter!B91,'TE_OA_20200805_INTRDY_2020-08-0'!$G$2:$G$870))</f>
        <v>37055</v>
      </c>
      <c r="J91">
        <f>INDEX('TE_OA_20200805_INTRDY_2020-08-0'!$R$2:$R$870,MATCH(Filter!B91,'TE_OA_20200805_INTRDY_2020-08-0'!$G$2:$G$870))</f>
        <v>1193</v>
      </c>
    </row>
    <row r="92" spans="1:10" x14ac:dyDescent="0.25">
      <c r="A92" t="str">
        <f>INDEX('Pipe Table'!$E$2:$E$10,MATCH(INDEX('TE_OA_20200805_INTRDY_2020-08-0'!$T$2:$T$870,MATCH(Filter!B92,'TE_OA_20200805_INTRDY_2020-08-0'!$G$2:$G$870,0)),'Pipe Table'!$D$2:$D$10,0))</f>
        <v>TETCO</v>
      </c>
      <c r="B92">
        <v>70322</v>
      </c>
      <c r="C92" t="str">
        <f>INDEX('TE_OA_20200805_INTRDY_2020-08-0'!$J$2:$J$870,MATCH(Filter!B92,'TE_OA_20200805_INTRDY_2020-08-0'!$G$2:$G$870))</f>
        <v>Delivery</v>
      </c>
      <c r="D92" t="str">
        <f>INDEX('Pipe Table'!$B$2:$B$14,MATCH(INDEX(TeAllPoints!$I$2:$I$957,MATCH(Filter!B92,TeAllPoints!$B$2:$B$957,0)),'Pipe Table'!$A$2:$A$14,0))</f>
        <v>LDC</v>
      </c>
      <c r="E92" t="str">
        <f>INDEX('TE_OA_20200805_INTRDY_2020-08-0'!$H$2:$H$870,MATCH(Filter!B92,'TE_OA_20200805_INTRDY_2020-08-0'!$G$2:$G$870))</f>
        <v>UGI UTIL (Columbia Gas) - Reading, PA</v>
      </c>
      <c r="F92" t="str">
        <f>INDEX('Pipe Table'!$H$2:$H$8,MATCH('TE_OA_20200805_INTRDY_2020-08-0'!I73,'Pipe Table'!$G$2:$G$8,0))</f>
        <v>TETCO-M3</v>
      </c>
      <c r="G92" t="str">
        <f>INDEX(TeAllPoints!$D$2:$D$957,MATCH(Filter!B92,TeAllPoints!$B$2:$B$957,0))</f>
        <v>PA</v>
      </c>
      <c r="H92" t="str">
        <f>INDEX(TeAllPoints!$E$2:$E$957,MATCH(Filter!B92,TeAllPoints!$B$2:$B$957,0))</f>
        <v>BERKS</v>
      </c>
      <c r="I92">
        <f>INDEX('TE_OA_20200805_INTRDY_2020-08-0'!$Q$2:$Q$870,MATCH(Filter!B92,'TE_OA_20200805_INTRDY_2020-08-0'!$G$2:$G$870))</f>
        <v>140745</v>
      </c>
      <c r="J92">
        <f>INDEX('TE_OA_20200805_INTRDY_2020-08-0'!$R$2:$R$870,MATCH(Filter!B92,'TE_OA_20200805_INTRDY_2020-08-0'!$G$2:$G$870))</f>
        <v>9074</v>
      </c>
    </row>
    <row r="93" spans="1:10" x14ac:dyDescent="0.25">
      <c r="A93" t="str">
        <f>INDEX('Pipe Table'!$E$2:$E$10,MATCH(INDEX('TE_OA_20200805_INTRDY_2020-08-0'!$T$2:$T$870,MATCH(Filter!B93,'TE_OA_20200805_INTRDY_2020-08-0'!$G$2:$G$870,0)),'Pipe Table'!$D$2:$D$10,0))</f>
        <v>TETCO</v>
      </c>
      <c r="B93">
        <v>70323</v>
      </c>
      <c r="C93" t="str">
        <f>INDEX('TE_OA_20200805_INTRDY_2020-08-0'!$J$2:$J$870,MATCH(Filter!B93,'TE_OA_20200805_INTRDY_2020-08-0'!$G$2:$G$870))</f>
        <v>Delivery</v>
      </c>
      <c r="D93" t="str">
        <f>INDEX('Pipe Table'!$B$2:$B$14,MATCH(INDEX(TeAllPoints!$I$2:$I$957,MATCH(Filter!B93,TeAllPoints!$B$2:$B$957,0)),'Pipe Table'!$A$2:$A$14,0))</f>
        <v>LDC</v>
      </c>
      <c r="E93" t="str">
        <f>INDEX('TE_OA_20200805_INTRDY_2020-08-0'!$H$2:$H$870,MATCH(Filter!B93,'TE_OA_20200805_INTRDY_2020-08-0'!$G$2:$G$870))</f>
        <v>PEOPLES NAT - Claysburg, PA</v>
      </c>
      <c r="F93" t="str">
        <f>INDEX('Pipe Table'!$H$2:$H$8,MATCH('TE_OA_20200805_INTRDY_2020-08-0'!I74,'Pipe Table'!$G$2:$G$8,0))</f>
        <v>TETCO-M3</v>
      </c>
      <c r="G93" t="str">
        <f>INDEX(TeAllPoints!$D$2:$D$957,MATCH(Filter!B93,TeAllPoints!$B$2:$B$957,0))</f>
        <v>PA</v>
      </c>
      <c r="H93" t="str">
        <f>INDEX(TeAllPoints!$E$2:$E$957,MATCH(Filter!B93,TeAllPoints!$B$2:$B$957,0))</f>
        <v>BLAIR</v>
      </c>
      <c r="I93">
        <f>INDEX('TE_OA_20200805_INTRDY_2020-08-0'!$Q$2:$Q$870,MATCH(Filter!B93,'TE_OA_20200805_INTRDY_2020-08-0'!$G$2:$G$870))</f>
        <v>18567</v>
      </c>
      <c r="J93">
        <f>INDEX('TE_OA_20200805_INTRDY_2020-08-0'!$R$2:$R$870,MATCH(Filter!B93,'TE_OA_20200805_INTRDY_2020-08-0'!$G$2:$G$870))</f>
        <v>110</v>
      </c>
    </row>
    <row r="94" spans="1:10" x14ac:dyDescent="0.25">
      <c r="A94" t="str">
        <f>INDEX('Pipe Table'!$E$2:$E$10,MATCH(INDEX('TE_OA_20200805_INTRDY_2020-08-0'!$T$2:$T$870,MATCH(Filter!B94,'TE_OA_20200805_INTRDY_2020-08-0'!$G$2:$G$870,0)),'Pipe Table'!$D$2:$D$10,0))</f>
        <v>TETCO</v>
      </c>
      <c r="B94">
        <v>70336</v>
      </c>
      <c r="C94" t="str">
        <f>INDEX('TE_OA_20200805_INTRDY_2020-08-0'!$J$2:$J$870,MATCH(Filter!B94,'TE_OA_20200805_INTRDY_2020-08-0'!$G$2:$G$870))</f>
        <v>Delivery</v>
      </c>
      <c r="D94" t="str">
        <f>INDEX('Pipe Table'!$B$2:$B$14,MATCH(INDEX(TeAllPoints!$I$2:$I$957,MATCH(Filter!B94,TeAllPoints!$B$2:$B$957,0)),'Pipe Table'!$A$2:$A$14,0))</f>
        <v>LDC</v>
      </c>
      <c r="E94" t="str">
        <f>INDEX('TE_OA_20200805_INTRDY_2020-08-0'!$H$2:$H$870,MATCH(Filter!B94,'TE_OA_20200805_INTRDY_2020-08-0'!$G$2:$G$870))</f>
        <v>Union Elec. - Bloomfield, MO</v>
      </c>
      <c r="F94" t="str">
        <f>INDEX('Pipe Table'!$H$2:$H$8,MATCH('TE_OA_20200805_INTRDY_2020-08-0'!I75,'Pipe Table'!$G$2:$G$8,0))</f>
        <v>TETCO-M1</v>
      </c>
      <c r="G94" t="str">
        <f>INDEX(TeAllPoints!$D$2:$D$957,MATCH(Filter!B94,TeAllPoints!$B$2:$B$957,0))</f>
        <v>MO</v>
      </c>
      <c r="H94" t="str">
        <f>INDEX(TeAllPoints!$E$2:$E$957,MATCH(Filter!B94,TeAllPoints!$B$2:$B$957,0))</f>
        <v>STODDARD</v>
      </c>
      <c r="I94">
        <f>INDEX('TE_OA_20200805_INTRDY_2020-08-0'!$Q$2:$Q$870,MATCH(Filter!B94,'TE_OA_20200805_INTRDY_2020-08-0'!$G$2:$G$870))</f>
        <v>10759</v>
      </c>
      <c r="J94">
        <f>INDEX('TE_OA_20200805_INTRDY_2020-08-0'!$R$2:$R$870,MATCH(Filter!B94,'TE_OA_20200805_INTRDY_2020-08-0'!$G$2:$G$870))</f>
        <v>0</v>
      </c>
    </row>
    <row r="95" spans="1:10" x14ac:dyDescent="0.25">
      <c r="A95" t="str">
        <f>INDEX('Pipe Table'!$E$2:$E$10,MATCH(INDEX('TE_OA_20200805_INTRDY_2020-08-0'!$T$2:$T$870,MATCH(Filter!B95,'TE_OA_20200805_INTRDY_2020-08-0'!$G$2:$G$870,0)),'Pipe Table'!$D$2:$D$10,0))</f>
        <v>TETCO</v>
      </c>
      <c r="B95">
        <v>70364</v>
      </c>
      <c r="C95" t="str">
        <f>INDEX('TE_OA_20200805_INTRDY_2020-08-0'!$J$2:$J$870,MATCH(Filter!B95,'TE_OA_20200805_INTRDY_2020-08-0'!$G$2:$G$870))</f>
        <v>Receipt</v>
      </c>
      <c r="D95" t="str">
        <f>INDEX('Pipe Table'!$B$2:$B$14,MATCH(INDEX(TeAllPoints!$I$2:$I$957,MATCH(Filter!B95,TeAllPoints!$B$2:$B$957,0)),'Pipe Table'!$A$2:$A$14,0))</f>
        <v>Wellhead</v>
      </c>
      <c r="E95" t="str">
        <f>INDEX('TE_OA_20200805_INTRDY_2020-08-0'!$H$2:$H$870,MATCH(Filter!B95,'TE_OA_20200805_INTRDY_2020-08-0'!$G$2:$G$870))</f>
        <v>Magnum Producing, LP - May, TX</v>
      </c>
      <c r="F95" t="str">
        <f>INDEX('Pipe Table'!$H$2:$H$8,MATCH('TE_OA_20200805_INTRDY_2020-08-0'!I76,'Pipe Table'!$G$2:$G$8,0))</f>
        <v>TETCO-STX</v>
      </c>
      <c r="G95" t="str">
        <f>INDEX(TeAllPoints!$D$2:$D$957,MATCH(Filter!B95,TeAllPoints!$B$2:$B$957,0))</f>
        <v>TX</v>
      </c>
      <c r="H95" t="str">
        <f>INDEX(TeAllPoints!$E$2:$E$957,MATCH(Filter!B95,TeAllPoints!$B$2:$B$957,0))</f>
        <v>KLEBERG</v>
      </c>
      <c r="I95">
        <f>INDEX('TE_OA_20200805_INTRDY_2020-08-0'!$Q$2:$Q$870,MATCH(Filter!B95,'TE_OA_20200805_INTRDY_2020-08-0'!$G$2:$G$870))</f>
        <v>17357</v>
      </c>
      <c r="J95">
        <f>INDEX('TE_OA_20200805_INTRDY_2020-08-0'!$R$2:$R$870,MATCH(Filter!B95,'TE_OA_20200805_INTRDY_2020-08-0'!$G$2:$G$870))</f>
        <v>100</v>
      </c>
    </row>
    <row r="96" spans="1:10" x14ac:dyDescent="0.25">
      <c r="A96" t="str">
        <f>INDEX('Pipe Table'!$E$2:$E$10,MATCH(INDEX('TE_OA_20200805_INTRDY_2020-08-0'!$T$2:$T$870,MATCH(Filter!B96,'TE_OA_20200805_INTRDY_2020-08-0'!$G$2:$G$870,0)),'Pipe Table'!$D$2:$D$10,0))</f>
        <v>TETCO</v>
      </c>
      <c r="B96">
        <v>70372</v>
      </c>
      <c r="C96" t="str">
        <f>INDEX('TE_OA_20200805_INTRDY_2020-08-0'!$J$2:$J$870,MATCH(Filter!B96,'TE_OA_20200805_INTRDY_2020-08-0'!$G$2:$G$870))</f>
        <v>Delivery</v>
      </c>
      <c r="D96" t="e">
        <f>INDEX('Pipe Table'!$B$2:$B$14,MATCH(INDEX(TeAllPoints!$I$2:$I$957,MATCH(Filter!B96,TeAllPoints!$B$2:$B$957,0)),'Pipe Table'!$A$2:$A$14,0))</f>
        <v>#N/A</v>
      </c>
      <c r="E96" t="str">
        <f>INDEX('TE_OA_20200805_INTRDY_2020-08-0'!$H$2:$H$870,MATCH(Filter!B96,'TE_OA_20200805_INTRDY_2020-08-0'!$G$2:$G$870))</f>
        <v>Dominion Energy Transmission, Inc - Moundsville, WV</v>
      </c>
      <c r="F96" t="str">
        <f>INDEX('Pipe Table'!$H$2:$H$8,MATCH('TE_OA_20200805_INTRDY_2020-08-0'!I77,'Pipe Table'!$G$2:$G$8,0))</f>
        <v>TETCO-M2</v>
      </c>
      <c r="G96" t="e">
        <f>INDEX(TeAllPoints!$D$2:$D$957,MATCH(Filter!B96,TeAllPoints!$B$2:$B$957,0))</f>
        <v>#N/A</v>
      </c>
      <c r="H96" t="e">
        <f>INDEX(TeAllPoints!$E$2:$E$957,MATCH(Filter!B96,TeAllPoints!$B$2:$B$957,0))</f>
        <v>#N/A</v>
      </c>
      <c r="I96">
        <f>INDEX('TE_OA_20200805_INTRDY_2020-08-0'!$Q$2:$Q$870,MATCH(Filter!B96,'TE_OA_20200805_INTRDY_2020-08-0'!$G$2:$G$870))</f>
        <v>152641</v>
      </c>
      <c r="J96">
        <f>INDEX('TE_OA_20200805_INTRDY_2020-08-0'!$R$2:$R$870,MATCH(Filter!B96,'TE_OA_20200805_INTRDY_2020-08-0'!$G$2:$G$870))</f>
        <v>0</v>
      </c>
    </row>
    <row r="97" spans="1:10" x14ac:dyDescent="0.25">
      <c r="A97" t="str">
        <f>INDEX('Pipe Table'!$E$2:$E$10,MATCH(INDEX('TE_OA_20200805_INTRDY_2020-08-0'!$T$2:$T$870,MATCH(Filter!B97,'TE_OA_20200805_INTRDY_2020-08-0'!$G$2:$G$870,0)),'Pipe Table'!$D$2:$D$10,0))</f>
        <v>TETCO</v>
      </c>
      <c r="B97">
        <v>70396</v>
      </c>
      <c r="C97" t="str">
        <f>INDEX('TE_OA_20200805_INTRDY_2020-08-0'!$J$2:$J$870,MATCH(Filter!B97,'TE_OA_20200805_INTRDY_2020-08-0'!$G$2:$G$870))</f>
        <v>Delivery</v>
      </c>
      <c r="D97" t="str">
        <f>INDEX('Pipe Table'!$B$2:$B$14,MATCH(INDEX(TeAllPoints!$I$2:$I$957,MATCH(Filter!B97,TeAllPoints!$B$2:$B$957,0)),'Pipe Table'!$A$2:$A$14,0))</f>
        <v>LDC</v>
      </c>
      <c r="E97" t="str">
        <f>INDEX('TE_OA_20200805_INTRDY_2020-08-0'!$H$2:$H$870,MATCH(Filter!B97,'TE_OA_20200805_INTRDY_2020-08-0'!$G$2:$G$870))</f>
        <v>United Cities - Franklin, TN</v>
      </c>
      <c r="F97" t="str">
        <f>INDEX('Pipe Table'!$H$2:$H$8,MATCH('TE_OA_20200805_INTRDY_2020-08-0'!I78,'Pipe Table'!$G$2:$G$8,0))</f>
        <v>TETCO-M1</v>
      </c>
      <c r="G97" t="str">
        <f>INDEX(TeAllPoints!$D$2:$D$957,MATCH(Filter!B97,TeAllPoints!$B$2:$B$957,0))</f>
        <v>TN</v>
      </c>
      <c r="H97" t="str">
        <f>INDEX(TeAllPoints!$E$2:$E$957,MATCH(Filter!B97,TeAllPoints!$B$2:$B$957,0))</f>
        <v>WILLIAMSON</v>
      </c>
      <c r="I97">
        <f>INDEX('TE_OA_20200805_INTRDY_2020-08-0'!$Q$2:$Q$870,MATCH(Filter!B97,'TE_OA_20200805_INTRDY_2020-08-0'!$G$2:$G$870))</f>
        <v>11976</v>
      </c>
      <c r="J97">
        <f>INDEX('TE_OA_20200805_INTRDY_2020-08-0'!$R$2:$R$870,MATCH(Filter!B97,'TE_OA_20200805_INTRDY_2020-08-0'!$G$2:$G$870))</f>
        <v>0</v>
      </c>
    </row>
    <row r="98" spans="1:10" x14ac:dyDescent="0.25">
      <c r="A98" t="str">
        <f>INDEX('Pipe Table'!$E$2:$E$10,MATCH(INDEX('TE_OA_20200805_INTRDY_2020-08-0'!$T$2:$T$870,MATCH(Filter!B98,'TE_OA_20200805_INTRDY_2020-08-0'!$G$2:$G$870,0)),'Pipe Table'!$D$2:$D$10,0))</f>
        <v>TETCO</v>
      </c>
      <c r="B98">
        <v>70397</v>
      </c>
      <c r="C98" t="str">
        <f>INDEX('TE_OA_20200805_INTRDY_2020-08-0'!$J$2:$J$870,MATCH(Filter!B98,'TE_OA_20200805_INTRDY_2020-08-0'!$G$2:$G$870))</f>
        <v>Delivery</v>
      </c>
      <c r="D98" t="str">
        <f>INDEX('Pipe Table'!$B$2:$B$14,MATCH(INDEX(TeAllPoints!$I$2:$I$957,MATCH(Filter!B98,TeAllPoints!$B$2:$B$957,0)),'Pipe Table'!$A$2:$A$14,0))</f>
        <v>LDC</v>
      </c>
      <c r="E98" t="str">
        <f>INDEX('TE_OA_20200805_INTRDY_2020-08-0'!$H$2:$H$870,MATCH(Filter!B98,'TE_OA_20200805_INTRDY_2020-08-0'!$G$2:$G$870))</f>
        <v>Smyrna, TN</v>
      </c>
      <c r="F98" t="str">
        <f>INDEX('Pipe Table'!$H$2:$H$8,MATCH('TE_OA_20200805_INTRDY_2020-08-0'!I79,'Pipe Table'!$G$2:$G$8,0))</f>
        <v>TETCO-M1</v>
      </c>
      <c r="G98" t="str">
        <f>INDEX(TeAllPoints!$D$2:$D$957,MATCH(Filter!B98,TeAllPoints!$B$2:$B$957,0))</f>
        <v>TN</v>
      </c>
      <c r="H98" t="str">
        <f>INDEX(TeAllPoints!$E$2:$E$957,MATCH(Filter!B98,TeAllPoints!$B$2:$B$957,0))</f>
        <v>RUTHERFORD</v>
      </c>
      <c r="I98">
        <f>INDEX('TE_OA_20200805_INTRDY_2020-08-0'!$Q$2:$Q$870,MATCH(Filter!B98,'TE_OA_20200805_INTRDY_2020-08-0'!$G$2:$G$870))</f>
        <v>10242</v>
      </c>
      <c r="J98">
        <f>INDEX('TE_OA_20200805_INTRDY_2020-08-0'!$R$2:$R$870,MATCH(Filter!B98,'TE_OA_20200805_INTRDY_2020-08-0'!$G$2:$G$870))</f>
        <v>0</v>
      </c>
    </row>
    <row r="99" spans="1:10" x14ac:dyDescent="0.25">
      <c r="A99" t="str">
        <f>INDEX('Pipe Table'!$E$2:$E$10,MATCH(INDEX('TE_OA_20200805_INTRDY_2020-08-0'!$T$2:$T$870,MATCH(Filter!B99,'TE_OA_20200805_INTRDY_2020-08-0'!$G$2:$G$870,0)),'Pipe Table'!$D$2:$D$10,0))</f>
        <v>TETCO</v>
      </c>
      <c r="B99">
        <v>70398</v>
      </c>
      <c r="C99" t="str">
        <f>INDEX('TE_OA_20200805_INTRDY_2020-08-0'!$J$2:$J$870,MATCH(Filter!B99,'TE_OA_20200805_INTRDY_2020-08-0'!$G$2:$G$870))</f>
        <v>Delivery</v>
      </c>
      <c r="D99" t="str">
        <f>INDEX('Pipe Table'!$B$2:$B$14,MATCH(INDEX(TeAllPoints!$I$2:$I$957,MATCH(Filter!B99,TeAllPoints!$B$2:$B$957,0)),'Pipe Table'!$A$2:$A$14,0))</f>
        <v>LDC</v>
      </c>
      <c r="E99" t="str">
        <f>INDEX('TE_OA_20200805_INTRDY_2020-08-0'!$H$2:$H$870,MATCH(Filter!B99,'TE_OA_20200805_INTRDY_2020-08-0'!$G$2:$G$870))</f>
        <v>Bernie, MO</v>
      </c>
      <c r="F99" t="str">
        <f>INDEX('Pipe Table'!$H$2:$H$8,MATCH('TE_OA_20200805_INTRDY_2020-08-0'!I80,'Pipe Table'!$G$2:$G$8,0))</f>
        <v>TETCO-M1</v>
      </c>
      <c r="G99" t="str">
        <f>INDEX(TeAllPoints!$D$2:$D$957,MATCH(Filter!B99,TeAllPoints!$B$2:$B$957,0))</f>
        <v>MO</v>
      </c>
      <c r="H99" t="str">
        <f>INDEX(TeAllPoints!$E$2:$E$957,MATCH(Filter!B99,TeAllPoints!$B$2:$B$957,0))</f>
        <v>STODDARD</v>
      </c>
      <c r="I99">
        <f>INDEX('TE_OA_20200805_INTRDY_2020-08-0'!$Q$2:$Q$870,MATCH(Filter!B99,'TE_OA_20200805_INTRDY_2020-08-0'!$G$2:$G$870))</f>
        <v>2240</v>
      </c>
      <c r="J99">
        <f>INDEX('TE_OA_20200805_INTRDY_2020-08-0'!$R$2:$R$870,MATCH(Filter!B99,'TE_OA_20200805_INTRDY_2020-08-0'!$G$2:$G$870))</f>
        <v>85</v>
      </c>
    </row>
    <row r="100" spans="1:10" x14ac:dyDescent="0.25">
      <c r="A100" t="str">
        <f>INDEX('Pipe Table'!$E$2:$E$10,MATCH(INDEX('TE_OA_20200805_INTRDY_2020-08-0'!$T$2:$T$870,MATCH(Filter!B100,'TE_OA_20200805_INTRDY_2020-08-0'!$G$2:$G$870,0)),'Pipe Table'!$D$2:$D$10,0))</f>
        <v>TETCO</v>
      </c>
      <c r="B100">
        <v>70418</v>
      </c>
      <c r="C100" t="str">
        <f>INDEX('TE_OA_20200805_INTRDY_2020-08-0'!$J$2:$J$870,MATCH(Filter!B100,'TE_OA_20200805_INTRDY_2020-08-0'!$G$2:$G$870))</f>
        <v>Delivery</v>
      </c>
      <c r="D100" t="str">
        <f>INDEX('Pipe Table'!$B$2:$B$14,MATCH(INDEX(TeAllPoints!$I$2:$I$957,MATCH(Filter!B100,TeAllPoints!$B$2:$B$957,0)),'Pipe Table'!$A$2:$A$14,0))</f>
        <v>LDC</v>
      </c>
      <c r="E100" t="str">
        <f>INDEX('TE_OA_20200805_INTRDY_2020-08-0'!$H$2:$H$870,MATCH(Filter!B100,'TE_OA_20200805_INTRDY_2020-08-0'!$G$2:$G$870))</f>
        <v>Gloster, MS</v>
      </c>
      <c r="F100" t="str">
        <f>INDEX('Pipe Table'!$H$2:$H$8,MATCH('TE_OA_20200805_INTRDY_2020-08-0'!I81,'Pipe Table'!$G$2:$G$8,0))</f>
        <v>TETCO-ELA</v>
      </c>
      <c r="G100" t="str">
        <f>INDEX(TeAllPoints!$D$2:$D$957,MATCH(Filter!B100,TeAllPoints!$B$2:$B$957,0))</f>
        <v>MS</v>
      </c>
      <c r="H100" t="str">
        <f>INDEX(TeAllPoints!$E$2:$E$957,MATCH(Filter!B100,TeAllPoints!$B$2:$B$957,0))</f>
        <v>AMITE</v>
      </c>
      <c r="I100">
        <f>INDEX('TE_OA_20200805_INTRDY_2020-08-0'!$Q$2:$Q$870,MATCH(Filter!B100,'TE_OA_20200805_INTRDY_2020-08-0'!$G$2:$G$870))</f>
        <v>1743</v>
      </c>
      <c r="J100">
        <f>INDEX('TE_OA_20200805_INTRDY_2020-08-0'!$R$2:$R$870,MATCH(Filter!B100,'TE_OA_20200805_INTRDY_2020-08-0'!$G$2:$G$870))</f>
        <v>265</v>
      </c>
    </row>
    <row r="101" spans="1:10" x14ac:dyDescent="0.25">
      <c r="A101" t="str">
        <f>INDEX('Pipe Table'!$E$2:$E$10,MATCH(INDEX('TE_OA_20200805_INTRDY_2020-08-0'!$T$2:$T$870,MATCH(Filter!B101,'TE_OA_20200805_INTRDY_2020-08-0'!$G$2:$G$870,0)),'Pipe Table'!$D$2:$D$10,0))</f>
        <v>TETCO</v>
      </c>
      <c r="B101">
        <v>70419</v>
      </c>
      <c r="C101" t="str">
        <f>INDEX('TE_OA_20200805_INTRDY_2020-08-0'!$J$2:$J$870,MATCH(Filter!B101,'TE_OA_20200805_INTRDY_2020-08-0'!$G$2:$G$870))</f>
        <v>Delivery</v>
      </c>
      <c r="D101" t="str">
        <f>INDEX('Pipe Table'!$B$2:$B$14,MATCH(INDEX(TeAllPoints!$I$2:$I$957,MATCH(Filter!B101,TeAllPoints!$B$2:$B$957,0)),'Pipe Table'!$A$2:$A$14,0))</f>
        <v>LDC</v>
      </c>
      <c r="E101" t="str">
        <f>INDEX('TE_OA_20200805_INTRDY_2020-08-0'!$H$2:$H$870,MATCH(Filter!B101,'TE_OA_20200805_INTRDY_2020-08-0'!$G$2:$G$870))</f>
        <v>Meadville, MS</v>
      </c>
      <c r="F101" t="str">
        <f>INDEX('Pipe Table'!$H$2:$H$8,MATCH('TE_OA_20200805_INTRDY_2020-08-0'!I82,'Pipe Table'!$G$2:$G$8,0))</f>
        <v>TETCO-ELA</v>
      </c>
      <c r="G101" t="str">
        <f>INDEX(TeAllPoints!$D$2:$D$957,MATCH(Filter!B101,TeAllPoints!$B$2:$B$957,0))</f>
        <v>MS</v>
      </c>
      <c r="H101" t="str">
        <f>INDEX(TeAllPoints!$E$2:$E$957,MATCH(Filter!B101,TeAllPoints!$B$2:$B$957,0))</f>
        <v>FRANKLIN</v>
      </c>
      <c r="I101">
        <f>INDEX('TE_OA_20200805_INTRDY_2020-08-0'!$Q$2:$Q$870,MATCH(Filter!B101,'TE_OA_20200805_INTRDY_2020-08-0'!$G$2:$G$870))</f>
        <v>1431</v>
      </c>
      <c r="J101">
        <f>INDEX('TE_OA_20200805_INTRDY_2020-08-0'!$R$2:$R$870,MATCH(Filter!B101,'TE_OA_20200805_INTRDY_2020-08-0'!$G$2:$G$870))</f>
        <v>0</v>
      </c>
    </row>
    <row r="102" spans="1:10" x14ac:dyDescent="0.25">
      <c r="A102" t="str">
        <f>INDEX('Pipe Table'!$E$2:$E$10,MATCH(INDEX('TE_OA_20200805_INTRDY_2020-08-0'!$T$2:$T$870,MATCH(Filter!B102,'TE_OA_20200805_INTRDY_2020-08-0'!$G$2:$G$870,0)),'Pipe Table'!$D$2:$D$10,0))</f>
        <v>TETCO</v>
      </c>
      <c r="B102">
        <v>70420</v>
      </c>
      <c r="C102" t="str">
        <f>INDEX('TE_OA_20200805_INTRDY_2020-08-0'!$J$2:$J$870,MATCH(Filter!B102,'TE_OA_20200805_INTRDY_2020-08-0'!$G$2:$G$870))</f>
        <v>Delivery</v>
      </c>
      <c r="D102" t="str">
        <f>INDEX('Pipe Table'!$B$2:$B$14,MATCH(INDEX(TeAllPoints!$I$2:$I$957,MATCH(Filter!B102,TeAllPoints!$B$2:$B$957,0)),'Pipe Table'!$A$2:$A$14,0))</f>
        <v>LDC</v>
      </c>
      <c r="E102" t="str">
        <f>INDEX('TE_OA_20200805_INTRDY_2020-08-0'!$H$2:$H$870,MATCH(Filter!B102,'TE_OA_20200805_INTRDY_2020-08-0'!$G$2:$G$870))</f>
        <v>Bude, MS</v>
      </c>
      <c r="F102" t="str">
        <f>INDEX('Pipe Table'!$H$2:$H$8,MATCH('TE_OA_20200805_INTRDY_2020-08-0'!I83,'Pipe Table'!$G$2:$G$8,0))</f>
        <v>TETCO-ELA</v>
      </c>
      <c r="G102" t="str">
        <f>INDEX(TeAllPoints!$D$2:$D$957,MATCH(Filter!B102,TeAllPoints!$B$2:$B$957,0))</f>
        <v>MS</v>
      </c>
      <c r="H102" t="str">
        <f>INDEX(TeAllPoints!$E$2:$E$957,MATCH(Filter!B102,TeAllPoints!$B$2:$B$957,0))</f>
        <v>FRANKLIN</v>
      </c>
      <c r="I102">
        <f>INDEX('TE_OA_20200805_INTRDY_2020-08-0'!$Q$2:$Q$870,MATCH(Filter!B102,'TE_OA_20200805_INTRDY_2020-08-0'!$G$2:$G$870))</f>
        <v>1431</v>
      </c>
      <c r="J102">
        <f>INDEX('TE_OA_20200805_INTRDY_2020-08-0'!$R$2:$R$870,MATCH(Filter!B102,'TE_OA_20200805_INTRDY_2020-08-0'!$G$2:$G$870))</f>
        <v>0</v>
      </c>
    </row>
    <row r="103" spans="1:10" x14ac:dyDescent="0.25">
      <c r="A103" t="str">
        <f>INDEX('Pipe Table'!$E$2:$E$10,MATCH(INDEX('TE_OA_20200805_INTRDY_2020-08-0'!$T$2:$T$870,MATCH(Filter!B103,'TE_OA_20200805_INTRDY_2020-08-0'!$G$2:$G$870,0)),'Pipe Table'!$D$2:$D$10,0))</f>
        <v>TETCO</v>
      </c>
      <c r="B103">
        <v>70421</v>
      </c>
      <c r="C103" t="str">
        <f>INDEX('TE_OA_20200805_INTRDY_2020-08-0'!$J$2:$J$870,MATCH(Filter!B103,'TE_OA_20200805_INTRDY_2020-08-0'!$G$2:$G$870))</f>
        <v>Delivery</v>
      </c>
      <c r="D103" t="str">
        <f>INDEX('Pipe Table'!$B$2:$B$14,MATCH(INDEX(TeAllPoints!$I$2:$I$957,MATCH(Filter!B103,TeAllPoints!$B$2:$B$957,0)),'Pipe Table'!$A$2:$A$14,0))</f>
        <v>LDC</v>
      </c>
      <c r="E103" t="str">
        <f>INDEX('TE_OA_20200805_INTRDY_2020-08-0'!$H$2:$H$870,MATCH(Filter!B103,'TE_OA_20200805_INTRDY_2020-08-0'!$G$2:$G$870))</f>
        <v>Flora, MS</v>
      </c>
      <c r="F103" t="str">
        <f>INDEX('Pipe Table'!$H$2:$H$8,MATCH('TE_OA_20200805_INTRDY_2020-08-0'!I84,'Pipe Table'!$G$2:$G$8,0))</f>
        <v>TETCO-ELA</v>
      </c>
      <c r="G103" t="str">
        <f>INDEX(TeAllPoints!$D$2:$D$957,MATCH(Filter!B103,TeAllPoints!$B$2:$B$957,0))</f>
        <v>MS</v>
      </c>
      <c r="H103" t="str">
        <f>INDEX(TeAllPoints!$E$2:$E$957,MATCH(Filter!B103,TeAllPoints!$B$2:$B$957,0))</f>
        <v>HINDS</v>
      </c>
      <c r="I103">
        <f>INDEX('TE_OA_20200805_INTRDY_2020-08-0'!$Q$2:$Q$870,MATCH(Filter!B103,'TE_OA_20200805_INTRDY_2020-08-0'!$G$2:$G$870))</f>
        <v>4993</v>
      </c>
      <c r="J103">
        <f>INDEX('TE_OA_20200805_INTRDY_2020-08-0'!$R$2:$R$870,MATCH(Filter!B103,'TE_OA_20200805_INTRDY_2020-08-0'!$G$2:$G$870))</f>
        <v>0</v>
      </c>
    </row>
    <row r="104" spans="1:10" x14ac:dyDescent="0.25">
      <c r="A104" t="str">
        <f>INDEX('Pipe Table'!$E$2:$E$10,MATCH(INDEX('TE_OA_20200805_INTRDY_2020-08-0'!$T$2:$T$870,MATCH(Filter!B104,'TE_OA_20200805_INTRDY_2020-08-0'!$G$2:$G$870,0)),'Pipe Table'!$D$2:$D$10,0))</f>
        <v>TETCO</v>
      </c>
      <c r="B104">
        <v>70428</v>
      </c>
      <c r="C104" t="str">
        <f>INDEX('TE_OA_20200805_INTRDY_2020-08-0'!$J$2:$J$870,MATCH(Filter!B104,'TE_OA_20200805_INTRDY_2020-08-0'!$G$2:$G$870))</f>
        <v>Delivery</v>
      </c>
      <c r="D104" t="str">
        <f>INDEX('Pipe Table'!$B$2:$B$14,MATCH(INDEX(TeAllPoints!$I$2:$I$957,MATCH(Filter!B104,TeAllPoints!$B$2:$B$957,0)),'Pipe Table'!$A$2:$A$14,0))</f>
        <v>LDC</v>
      </c>
      <c r="E104" t="str">
        <f>INDEX('TE_OA_20200805_INTRDY_2020-08-0'!$H$2:$H$870,MATCH(Filter!B104,'TE_OA_20200805_INTRDY_2020-08-0'!$G$2:$G$870))</f>
        <v>Edmonton, KY</v>
      </c>
      <c r="F104" t="str">
        <f>INDEX('Pipe Table'!$H$2:$H$8,MATCH('TE_OA_20200805_INTRDY_2020-08-0'!I85,'Pipe Table'!$G$2:$G$8,0))</f>
        <v>TETCO-M2</v>
      </c>
      <c r="G104" t="str">
        <f>INDEX(TeAllPoints!$D$2:$D$957,MATCH(Filter!B104,TeAllPoints!$B$2:$B$957,0))</f>
        <v>KY</v>
      </c>
      <c r="H104" t="str">
        <f>INDEX(TeAllPoints!$E$2:$E$957,MATCH(Filter!B104,TeAllPoints!$B$2:$B$957,0))</f>
        <v>METCALFE</v>
      </c>
      <c r="I104">
        <f>INDEX('TE_OA_20200805_INTRDY_2020-08-0'!$Q$2:$Q$870,MATCH(Filter!B104,'TE_OA_20200805_INTRDY_2020-08-0'!$G$2:$G$870))</f>
        <v>3378</v>
      </c>
      <c r="J104">
        <f>INDEX('TE_OA_20200805_INTRDY_2020-08-0'!$R$2:$R$870,MATCH(Filter!B104,'TE_OA_20200805_INTRDY_2020-08-0'!$G$2:$G$870))</f>
        <v>375</v>
      </c>
    </row>
    <row r="105" spans="1:10" x14ac:dyDescent="0.25">
      <c r="A105" t="str">
        <f>INDEX('Pipe Table'!$E$2:$E$10,MATCH(INDEX('TE_OA_20200805_INTRDY_2020-08-0'!$T$2:$T$870,MATCH(Filter!B105,'TE_OA_20200805_INTRDY_2020-08-0'!$G$2:$G$870,0)),'Pipe Table'!$D$2:$D$10,0))</f>
        <v>TETCO</v>
      </c>
      <c r="B105">
        <v>70429</v>
      </c>
      <c r="C105" t="str">
        <f>INDEX('TE_OA_20200805_INTRDY_2020-08-0'!$J$2:$J$870,MATCH(Filter!B105,'TE_OA_20200805_INTRDY_2020-08-0'!$G$2:$G$870))</f>
        <v>Delivery</v>
      </c>
      <c r="D105" t="str">
        <f>INDEX('Pipe Table'!$B$2:$B$14,MATCH(INDEX(TeAllPoints!$I$2:$I$957,MATCH(Filter!B105,TeAllPoints!$B$2:$B$957,0)),'Pipe Table'!$A$2:$A$14,0))</f>
        <v>LDC</v>
      </c>
      <c r="E105" t="str">
        <f>INDEX('TE_OA_20200805_INTRDY_2020-08-0'!$H$2:$H$870,MATCH(Filter!B105,'TE_OA_20200805_INTRDY_2020-08-0'!$G$2:$G$870))</f>
        <v>Tompkinsville, KY</v>
      </c>
      <c r="F105" t="str">
        <f>INDEX('Pipe Table'!$H$2:$H$8,MATCH('TE_OA_20200805_INTRDY_2020-08-0'!I86,'Pipe Table'!$G$2:$G$8,0))</f>
        <v>TETCO-M2</v>
      </c>
      <c r="G105" t="str">
        <f>INDEX(TeAllPoints!$D$2:$D$957,MATCH(Filter!B105,TeAllPoints!$B$2:$B$957,0))</f>
        <v>KY</v>
      </c>
      <c r="H105" t="str">
        <f>INDEX(TeAllPoints!$E$2:$E$957,MATCH(Filter!B105,TeAllPoints!$B$2:$B$957,0))</f>
        <v>MONROE</v>
      </c>
      <c r="I105">
        <f>INDEX('TE_OA_20200805_INTRDY_2020-08-0'!$Q$2:$Q$870,MATCH(Filter!B105,'TE_OA_20200805_INTRDY_2020-08-0'!$G$2:$G$870))</f>
        <v>6276</v>
      </c>
      <c r="J105">
        <f>INDEX('TE_OA_20200805_INTRDY_2020-08-0'!$R$2:$R$870,MATCH(Filter!B105,'TE_OA_20200805_INTRDY_2020-08-0'!$G$2:$G$870))</f>
        <v>360</v>
      </c>
    </row>
    <row r="106" spans="1:10" x14ac:dyDescent="0.25">
      <c r="A106" t="str">
        <f>INDEX('Pipe Table'!$E$2:$E$10,MATCH(INDEX('TE_OA_20200805_INTRDY_2020-08-0'!$T$2:$T$870,MATCH(Filter!B106,'TE_OA_20200805_INTRDY_2020-08-0'!$G$2:$G$870,0)),'Pipe Table'!$D$2:$D$10,0))</f>
        <v>TETCO</v>
      </c>
      <c r="B106">
        <v>70430</v>
      </c>
      <c r="C106" t="str">
        <f>INDEX('TE_OA_20200805_INTRDY_2020-08-0'!$J$2:$J$870,MATCH(Filter!B106,'TE_OA_20200805_INTRDY_2020-08-0'!$G$2:$G$870))</f>
        <v>Delivery</v>
      </c>
      <c r="D106" t="str">
        <f>INDEX('Pipe Table'!$B$2:$B$14,MATCH(INDEX(TeAllPoints!$I$2:$I$957,MATCH(Filter!B106,TeAllPoints!$B$2:$B$957,0)),'Pipe Table'!$A$2:$A$14,0))</f>
        <v>LDC</v>
      </c>
      <c r="E106" t="str">
        <f>INDEX('TE_OA_20200805_INTRDY_2020-08-0'!$H$2:$H$870,MATCH(Filter!B106,'TE_OA_20200805_INTRDY_2020-08-0'!$G$2:$G$870))</f>
        <v>Pulaski, TN</v>
      </c>
      <c r="F106" t="str">
        <f>INDEX('Pipe Table'!$H$2:$H$8,MATCH('TE_OA_20200805_INTRDY_2020-08-0'!I87,'Pipe Table'!$G$2:$G$8,0))</f>
        <v>TETCO-M1</v>
      </c>
      <c r="G106" t="str">
        <f>INDEX(TeAllPoints!$D$2:$D$957,MATCH(Filter!B106,TeAllPoints!$B$2:$B$957,0))</f>
        <v>TN</v>
      </c>
      <c r="H106" t="str">
        <f>INDEX(TeAllPoints!$E$2:$E$957,MATCH(Filter!B106,TeAllPoints!$B$2:$B$957,0))</f>
        <v>LAWRENCE</v>
      </c>
      <c r="I106">
        <f>INDEX('TE_OA_20200805_INTRDY_2020-08-0'!$Q$2:$Q$870,MATCH(Filter!B106,'TE_OA_20200805_INTRDY_2020-08-0'!$G$2:$G$870))</f>
        <v>19487</v>
      </c>
      <c r="J106">
        <f>INDEX('TE_OA_20200805_INTRDY_2020-08-0'!$R$2:$R$870,MATCH(Filter!B106,'TE_OA_20200805_INTRDY_2020-08-0'!$G$2:$G$870))</f>
        <v>0</v>
      </c>
    </row>
    <row r="107" spans="1:10" x14ac:dyDescent="0.25">
      <c r="A107" t="str">
        <f>INDEX('Pipe Table'!$E$2:$E$10,MATCH(INDEX('TE_OA_20200805_INTRDY_2020-08-0'!$T$2:$T$870,MATCH(Filter!B107,'TE_OA_20200805_INTRDY_2020-08-0'!$G$2:$G$870,0)),'Pipe Table'!$D$2:$D$10,0))</f>
        <v>TETCO</v>
      </c>
      <c r="B107">
        <v>70441</v>
      </c>
      <c r="C107" t="str">
        <f>INDEX('TE_OA_20200805_INTRDY_2020-08-0'!$J$2:$J$870,MATCH(Filter!B107,'TE_OA_20200805_INTRDY_2020-08-0'!$G$2:$G$870))</f>
        <v>Delivery</v>
      </c>
      <c r="D107" t="str">
        <f>INDEX('Pipe Table'!$B$2:$B$14,MATCH(INDEX(TeAllPoints!$I$2:$I$957,MATCH(Filter!B107,TeAllPoints!$B$2:$B$957,0)),'Pipe Table'!$A$2:$A$14,0))</f>
        <v>LDC</v>
      </c>
      <c r="E107" t="str">
        <f>INDEX('TE_OA_20200805_INTRDY_2020-08-0'!$H$2:$H$870,MATCH(Filter!B107,'TE_OA_20200805_INTRDY_2020-08-0'!$G$2:$G$870))</f>
        <v>Grayville, IL</v>
      </c>
      <c r="F107" t="str">
        <f>INDEX('Pipe Table'!$H$2:$H$8,MATCH('TE_OA_20200805_INTRDY_2020-08-0'!I88,'Pipe Table'!$G$2:$G$8,0))</f>
        <v>TETCO-M1</v>
      </c>
      <c r="G107" t="str">
        <f>INDEX(TeAllPoints!$D$2:$D$957,MATCH(Filter!B107,TeAllPoints!$B$2:$B$957,0))</f>
        <v>IL</v>
      </c>
      <c r="H107" t="str">
        <f>INDEX(TeAllPoints!$E$2:$E$957,MATCH(Filter!B107,TeAllPoints!$B$2:$B$957,0))</f>
        <v>WHITE</v>
      </c>
      <c r="I107">
        <f>INDEX('TE_OA_20200805_INTRDY_2020-08-0'!$Q$2:$Q$870,MATCH(Filter!B107,'TE_OA_20200805_INTRDY_2020-08-0'!$G$2:$G$870))</f>
        <v>23595</v>
      </c>
      <c r="J107">
        <f>INDEX('TE_OA_20200805_INTRDY_2020-08-0'!$R$2:$R$870,MATCH(Filter!B107,'TE_OA_20200805_INTRDY_2020-08-0'!$G$2:$G$870))</f>
        <v>530</v>
      </c>
    </row>
    <row r="108" spans="1:10" x14ac:dyDescent="0.25">
      <c r="A108" t="str">
        <f>INDEX('Pipe Table'!$E$2:$E$10,MATCH(INDEX('TE_OA_20200805_INTRDY_2020-08-0'!$T$2:$T$870,MATCH(Filter!B108,'TE_OA_20200805_INTRDY_2020-08-0'!$G$2:$G$870,0)),'Pipe Table'!$D$2:$D$10,0))</f>
        <v>TETCO</v>
      </c>
      <c r="B108">
        <v>70442</v>
      </c>
      <c r="C108" t="str">
        <f>INDEX('TE_OA_20200805_INTRDY_2020-08-0'!$J$2:$J$870,MATCH(Filter!B108,'TE_OA_20200805_INTRDY_2020-08-0'!$G$2:$G$870))</f>
        <v>Delivery</v>
      </c>
      <c r="D108" t="str">
        <f>INDEX('Pipe Table'!$B$2:$B$14,MATCH(INDEX(TeAllPoints!$I$2:$I$957,MATCH(Filter!B108,TeAllPoints!$B$2:$B$957,0)),'Pipe Table'!$A$2:$A$14,0))</f>
        <v>LDC</v>
      </c>
      <c r="E108" t="str">
        <f>INDEX('TE_OA_20200805_INTRDY_2020-08-0'!$H$2:$H$870,MATCH(Filter!B108,'TE_OA_20200805_INTRDY_2020-08-0'!$G$2:$G$870))</f>
        <v>Crossville, IL</v>
      </c>
      <c r="F108" t="str">
        <f>INDEX('Pipe Table'!$H$2:$H$8,MATCH('TE_OA_20200805_INTRDY_2020-08-0'!I89,'Pipe Table'!$G$2:$G$8,0))</f>
        <v>TETCO-M1</v>
      </c>
      <c r="G108" t="str">
        <f>INDEX(TeAllPoints!$D$2:$D$957,MATCH(Filter!B108,TeAllPoints!$B$2:$B$957,0))</f>
        <v>IL</v>
      </c>
      <c r="H108" t="str">
        <f>INDEX(TeAllPoints!$E$2:$E$957,MATCH(Filter!B108,TeAllPoints!$B$2:$B$957,0))</f>
        <v>WHITE</v>
      </c>
      <c r="I108">
        <f>INDEX('TE_OA_20200805_INTRDY_2020-08-0'!$Q$2:$Q$870,MATCH(Filter!B108,'TE_OA_20200805_INTRDY_2020-08-0'!$G$2:$G$870))</f>
        <v>1617</v>
      </c>
      <c r="J108">
        <f>INDEX('TE_OA_20200805_INTRDY_2020-08-0'!$R$2:$R$870,MATCH(Filter!B108,'TE_OA_20200805_INTRDY_2020-08-0'!$G$2:$G$870))</f>
        <v>7</v>
      </c>
    </row>
    <row r="109" spans="1:10" x14ac:dyDescent="0.25">
      <c r="A109" t="str">
        <f>INDEX('Pipe Table'!$E$2:$E$10,MATCH(INDEX('TE_OA_20200805_INTRDY_2020-08-0'!$T$2:$T$870,MATCH(Filter!B109,'TE_OA_20200805_INTRDY_2020-08-0'!$G$2:$G$870,0)),'Pipe Table'!$D$2:$D$10,0))</f>
        <v>TETCO</v>
      </c>
      <c r="B109">
        <v>70449</v>
      </c>
      <c r="C109" t="str">
        <f>INDEX('TE_OA_20200805_INTRDY_2020-08-0'!$J$2:$J$870,MATCH(Filter!B109,'TE_OA_20200805_INTRDY_2020-08-0'!$G$2:$G$870))</f>
        <v>Delivery</v>
      </c>
      <c r="D109" t="str">
        <f>INDEX('Pipe Table'!$B$2:$B$14,MATCH(INDEX(TeAllPoints!$I$2:$I$957,MATCH(Filter!B109,TeAllPoints!$B$2:$B$957,0)),'Pipe Table'!$A$2:$A$14,0))</f>
        <v>LDC</v>
      </c>
      <c r="E109" t="str">
        <f>INDEX('TE_OA_20200805_INTRDY_2020-08-0'!$H$2:$H$870,MATCH(Filter!B109,'TE_OA_20200805_INTRDY_2020-08-0'!$G$2:$G$870))</f>
        <v>Public Service - Central Works, NJ</v>
      </c>
      <c r="F109" t="str">
        <f>INDEX('Pipe Table'!$H$2:$H$8,MATCH('TE_OA_20200805_INTRDY_2020-08-0'!I90,'Pipe Table'!$G$2:$G$8,0))</f>
        <v>TETCO-M3</v>
      </c>
      <c r="G109" t="str">
        <f>INDEX(TeAllPoints!$D$2:$D$957,MATCH(Filter!B109,TeAllPoints!$B$2:$B$957,0))</f>
        <v>NJ</v>
      </c>
      <c r="H109" t="str">
        <f>INDEX(TeAllPoints!$E$2:$E$957,MATCH(Filter!B109,TeAllPoints!$B$2:$B$957,0))</f>
        <v>MIDDLESEX</v>
      </c>
      <c r="I109">
        <f>INDEX('TE_OA_20200805_INTRDY_2020-08-0'!$Q$2:$Q$870,MATCH(Filter!B109,'TE_OA_20200805_INTRDY_2020-08-0'!$G$2:$G$870))</f>
        <v>291146</v>
      </c>
      <c r="J109">
        <f>INDEX('TE_OA_20200805_INTRDY_2020-08-0'!$R$2:$R$870,MATCH(Filter!B109,'TE_OA_20200805_INTRDY_2020-08-0'!$G$2:$G$870))</f>
        <v>0</v>
      </c>
    </row>
    <row r="110" spans="1:10" x14ac:dyDescent="0.25">
      <c r="A110" t="str">
        <f>INDEX('Pipe Table'!$E$2:$E$10,MATCH(INDEX('TE_OA_20200805_INTRDY_2020-08-0'!$T$2:$T$870,MATCH(Filter!B110,'TE_OA_20200805_INTRDY_2020-08-0'!$G$2:$G$870,0)),'Pipe Table'!$D$2:$D$10,0))</f>
        <v>TETCO</v>
      </c>
      <c r="B110">
        <v>70457</v>
      </c>
      <c r="C110" t="str">
        <f>INDEX('TE_OA_20200805_INTRDY_2020-08-0'!$J$2:$J$870,MATCH(Filter!B110,'TE_OA_20200805_INTRDY_2020-08-0'!$G$2:$G$870))</f>
        <v>Delivery</v>
      </c>
      <c r="D110" t="str">
        <f>INDEX('Pipe Table'!$B$2:$B$14,MATCH(INDEX(TeAllPoints!$I$2:$I$957,MATCH(Filter!B110,TeAllPoints!$B$2:$B$957,0)),'Pipe Table'!$A$2:$A$14,0))</f>
        <v>LDC</v>
      </c>
      <c r="E110" t="str">
        <f>INDEX('TE_OA_20200805_INTRDY_2020-08-0'!$H$2:$H$870,MATCH(Filter!B110,'TE_OA_20200805_INTRDY_2020-08-0'!$G$2:$G$870))</f>
        <v>Lawrenceburg, TN</v>
      </c>
      <c r="F110" t="str">
        <f>INDEX('Pipe Table'!$H$2:$H$8,MATCH('TE_OA_20200805_INTRDY_2020-08-0'!I91,'Pipe Table'!$G$2:$G$8,0))</f>
        <v>TETCO-M1</v>
      </c>
      <c r="G110" t="str">
        <f>INDEX(TeAllPoints!$D$2:$D$957,MATCH(Filter!B110,TeAllPoints!$B$2:$B$957,0))</f>
        <v>TN</v>
      </c>
      <c r="H110" t="str">
        <f>INDEX(TeAllPoints!$E$2:$E$957,MATCH(Filter!B110,TeAllPoints!$B$2:$B$957,0))</f>
        <v>LAWRENCE</v>
      </c>
      <c r="I110">
        <f>INDEX('TE_OA_20200805_INTRDY_2020-08-0'!$Q$2:$Q$870,MATCH(Filter!B110,'TE_OA_20200805_INTRDY_2020-08-0'!$G$2:$G$870))</f>
        <v>3684</v>
      </c>
      <c r="J110">
        <f>INDEX('TE_OA_20200805_INTRDY_2020-08-0'!$R$2:$R$870,MATCH(Filter!B110,'TE_OA_20200805_INTRDY_2020-08-0'!$G$2:$G$870))</f>
        <v>0</v>
      </c>
    </row>
    <row r="111" spans="1:10" x14ac:dyDescent="0.25">
      <c r="A111" t="str">
        <f>INDEX('Pipe Table'!$E$2:$E$10,MATCH(INDEX('TE_OA_20200805_INTRDY_2020-08-0'!$T$2:$T$870,MATCH(Filter!B111,'TE_OA_20200805_INTRDY_2020-08-0'!$G$2:$G$870,0)),'Pipe Table'!$D$2:$D$10,0))</f>
        <v>TETCO</v>
      </c>
      <c r="B111">
        <v>70458</v>
      </c>
      <c r="C111" t="str">
        <f>INDEX('TE_OA_20200805_INTRDY_2020-08-0'!$J$2:$J$870,MATCH(Filter!B111,'TE_OA_20200805_INTRDY_2020-08-0'!$G$2:$G$870))</f>
        <v>Delivery</v>
      </c>
      <c r="D111" t="str">
        <f>INDEX('Pipe Table'!$B$2:$B$14,MATCH(INDEX(TeAllPoints!$I$2:$I$957,MATCH(Filter!B111,TeAllPoints!$B$2:$B$957,0)),'Pipe Table'!$A$2:$A$14,0))</f>
        <v>LDC</v>
      </c>
      <c r="E111" t="str">
        <f>INDEX('TE_OA_20200805_INTRDY_2020-08-0'!$H$2:$H$870,MATCH(Filter!B111,'TE_OA_20200805_INTRDY_2020-08-0'!$G$2:$G$870))</f>
        <v>PEOPLES NAT - Ebensburg, PA</v>
      </c>
      <c r="F111" t="str">
        <f>INDEX('Pipe Table'!$H$2:$H$8,MATCH('TE_OA_20200805_INTRDY_2020-08-0'!I92,'Pipe Table'!$G$2:$G$8,0))</f>
        <v>TETCO-M3</v>
      </c>
      <c r="G111" t="str">
        <f>INDEX(TeAllPoints!$D$2:$D$957,MATCH(Filter!B111,TeAllPoints!$B$2:$B$957,0))</f>
        <v>PA</v>
      </c>
      <c r="H111" t="str">
        <f>INDEX(TeAllPoints!$E$2:$E$957,MATCH(Filter!B111,TeAllPoints!$B$2:$B$957,0))</f>
        <v>CAMBRIA</v>
      </c>
      <c r="I111">
        <f>INDEX('TE_OA_20200805_INTRDY_2020-08-0'!$Q$2:$Q$870,MATCH(Filter!B111,'TE_OA_20200805_INTRDY_2020-08-0'!$G$2:$G$870))</f>
        <v>83278</v>
      </c>
      <c r="J111">
        <f>INDEX('TE_OA_20200805_INTRDY_2020-08-0'!$R$2:$R$870,MATCH(Filter!B111,'TE_OA_20200805_INTRDY_2020-08-0'!$G$2:$G$870))</f>
        <v>0</v>
      </c>
    </row>
    <row r="112" spans="1:10" x14ac:dyDescent="0.25">
      <c r="A112" t="str">
        <f>INDEX('Pipe Table'!$E$2:$E$10,MATCH(INDEX('TE_OA_20200805_INTRDY_2020-08-0'!$T$2:$T$870,MATCH(Filter!B112,'TE_OA_20200805_INTRDY_2020-08-0'!$G$2:$G$870,0)),'Pipe Table'!$D$2:$D$10,0))</f>
        <v>TETCO</v>
      </c>
      <c r="B112">
        <v>70463</v>
      </c>
      <c r="C112" t="str">
        <f>INDEX('TE_OA_20200805_INTRDY_2020-08-0'!$J$2:$J$870,MATCH(Filter!B112,'TE_OA_20200805_INTRDY_2020-08-0'!$G$2:$G$870))</f>
        <v>Delivery</v>
      </c>
      <c r="D112" t="str">
        <f>INDEX('Pipe Table'!$B$2:$B$14,MATCH(INDEX(TeAllPoints!$I$2:$I$957,MATCH(Filter!B112,TeAllPoints!$B$2:$B$957,0)),'Pipe Table'!$A$2:$A$14,0))</f>
        <v>LDC</v>
      </c>
      <c r="E112" t="str">
        <f>INDEX('TE_OA_20200805_INTRDY_2020-08-0'!$H$2:$H$870,MATCH(Filter!B112,'TE_OA_20200805_INTRDY_2020-08-0'!$G$2:$G$870))</f>
        <v>UGI CENTRAL - Counties Gas Co. - Mifflin Co., PA</v>
      </c>
      <c r="F112" t="str">
        <f>INDEX('Pipe Table'!$H$2:$H$8,MATCH('TE_OA_20200805_INTRDY_2020-08-0'!I93,'Pipe Table'!$G$2:$G$8,0))</f>
        <v>TETCO-M3</v>
      </c>
      <c r="G112" t="str">
        <f>INDEX(TeAllPoints!$D$2:$D$957,MATCH(Filter!B112,TeAllPoints!$B$2:$B$957,0))</f>
        <v>PA</v>
      </c>
      <c r="H112" t="str">
        <f>INDEX(TeAllPoints!$E$2:$E$957,MATCH(Filter!B112,TeAllPoints!$B$2:$B$957,0))</f>
        <v>MIFFLIN</v>
      </c>
      <c r="I112">
        <f>INDEX('TE_OA_20200805_INTRDY_2020-08-0'!$Q$2:$Q$870,MATCH(Filter!B112,'TE_OA_20200805_INTRDY_2020-08-0'!$G$2:$G$870))</f>
        <v>645</v>
      </c>
      <c r="J112">
        <f>INDEX('TE_OA_20200805_INTRDY_2020-08-0'!$R$2:$R$870,MATCH(Filter!B112,'TE_OA_20200805_INTRDY_2020-08-0'!$G$2:$G$870))</f>
        <v>0</v>
      </c>
    </row>
    <row r="113" spans="1:10" x14ac:dyDescent="0.25">
      <c r="A113" t="str">
        <f>INDEX('Pipe Table'!$E$2:$E$10,MATCH(INDEX('TE_OA_20200805_INTRDY_2020-08-0'!$T$2:$T$870,MATCH(Filter!B113,'TE_OA_20200805_INTRDY_2020-08-0'!$G$2:$G$870,0)),'Pipe Table'!$D$2:$D$10,0))</f>
        <v>TETCO</v>
      </c>
      <c r="B113">
        <v>70468</v>
      </c>
      <c r="C113" t="str">
        <f>INDEX('TE_OA_20200805_INTRDY_2020-08-0'!$J$2:$J$870,MATCH(Filter!B113,'TE_OA_20200805_INTRDY_2020-08-0'!$G$2:$G$870))</f>
        <v>Delivery</v>
      </c>
      <c r="D113" t="str">
        <f>INDEX('Pipe Table'!$B$2:$B$14,MATCH(INDEX(TeAllPoints!$I$2:$I$957,MATCH(Filter!B113,TeAllPoints!$B$2:$B$957,0)),'Pipe Table'!$A$2:$A$14,0))</f>
        <v>Intrcnnct</v>
      </c>
      <c r="E113" t="str">
        <f>INDEX('TE_OA_20200805_INTRDY_2020-08-0'!$H$2:$H$870,MATCH(Filter!B113,'TE_OA_20200805_INTRDY_2020-08-0'!$G$2:$G$870))</f>
        <v>Columbia Gas - Corwin, OH</v>
      </c>
      <c r="F113" t="str">
        <f>INDEX('Pipe Table'!$H$2:$H$8,MATCH('TE_OA_20200805_INTRDY_2020-08-0'!I94,'Pipe Table'!$G$2:$G$8,0))</f>
        <v>TETCO-M2</v>
      </c>
      <c r="G113" t="str">
        <f>INDEX(TeAllPoints!$D$2:$D$957,MATCH(Filter!B113,TeAllPoints!$B$2:$B$957,0))</f>
        <v>OH</v>
      </c>
      <c r="H113" t="str">
        <f>INDEX(TeAllPoints!$E$2:$E$957,MATCH(Filter!B113,TeAllPoints!$B$2:$B$957,0))</f>
        <v>WARREN</v>
      </c>
      <c r="I113">
        <f>INDEX('TE_OA_20200805_INTRDY_2020-08-0'!$Q$2:$Q$870,MATCH(Filter!B113,'TE_OA_20200805_INTRDY_2020-08-0'!$G$2:$G$870))</f>
        <v>3584</v>
      </c>
      <c r="J113">
        <f>INDEX('TE_OA_20200805_INTRDY_2020-08-0'!$R$2:$R$870,MATCH(Filter!B113,'TE_OA_20200805_INTRDY_2020-08-0'!$G$2:$G$870))</f>
        <v>40</v>
      </c>
    </row>
    <row r="114" spans="1:10" x14ac:dyDescent="0.25">
      <c r="A114" t="str">
        <f>INDEX('Pipe Table'!$E$2:$E$10,MATCH(INDEX('TE_OA_20200805_INTRDY_2020-08-0'!$T$2:$T$870,MATCH(Filter!B114,'TE_OA_20200805_INTRDY_2020-08-0'!$G$2:$G$870,0)),'Pipe Table'!$D$2:$D$10,0))</f>
        <v>TETCO</v>
      </c>
      <c r="B114">
        <v>70471</v>
      </c>
      <c r="C114" t="str">
        <f>INDEX('TE_OA_20200805_INTRDY_2020-08-0'!$J$2:$J$870,MATCH(Filter!B114,'TE_OA_20200805_INTRDY_2020-08-0'!$G$2:$G$870))</f>
        <v>Delivery</v>
      </c>
      <c r="D114" t="str">
        <f>INDEX('Pipe Table'!$B$2:$B$14,MATCH(INDEX(TeAllPoints!$I$2:$I$957,MATCH(Filter!B114,TeAllPoints!$B$2:$B$957,0)),'Pipe Table'!$A$2:$A$14,0))</f>
        <v>Intrcnnct</v>
      </c>
      <c r="E114" t="str">
        <f>INDEX('TE_OA_20200805_INTRDY_2020-08-0'!$H$2:$H$870,MATCH(Filter!B114,'TE_OA_20200805_INTRDY_2020-08-0'!$G$2:$G$870))</f>
        <v>Dominion Transmission Inc - Woodsfield, OH</v>
      </c>
      <c r="F114" t="str">
        <f>INDEX('Pipe Table'!$H$2:$H$8,MATCH('TE_OA_20200805_INTRDY_2020-08-0'!I95,'Pipe Table'!$G$2:$G$8,0))</f>
        <v>TETCO-M2</v>
      </c>
      <c r="G114" t="str">
        <f>INDEX(TeAllPoints!$D$2:$D$957,MATCH(Filter!B114,TeAllPoints!$B$2:$B$957,0))</f>
        <v>OH</v>
      </c>
      <c r="H114" t="str">
        <f>INDEX(TeAllPoints!$E$2:$E$957,MATCH(Filter!B114,TeAllPoints!$B$2:$B$957,0))</f>
        <v>MONROE</v>
      </c>
      <c r="I114">
        <f>INDEX('TE_OA_20200805_INTRDY_2020-08-0'!$Q$2:$Q$870,MATCH(Filter!B114,'TE_OA_20200805_INTRDY_2020-08-0'!$G$2:$G$870))</f>
        <v>8957</v>
      </c>
      <c r="J114">
        <f>INDEX('TE_OA_20200805_INTRDY_2020-08-0'!$R$2:$R$870,MATCH(Filter!B114,'TE_OA_20200805_INTRDY_2020-08-0'!$G$2:$G$870))</f>
        <v>113</v>
      </c>
    </row>
    <row r="115" spans="1:10" x14ac:dyDescent="0.25">
      <c r="A115" t="str">
        <f>INDEX('Pipe Table'!$E$2:$E$10,MATCH(INDEX('TE_OA_20200805_INTRDY_2020-08-0'!$T$2:$T$870,MATCH(Filter!B115,'TE_OA_20200805_INTRDY_2020-08-0'!$G$2:$G$870,0)),'Pipe Table'!$D$2:$D$10,0))</f>
        <v>TETCO</v>
      </c>
      <c r="B115">
        <v>70473</v>
      </c>
      <c r="C115" t="str">
        <f>INDEX('TE_OA_20200805_INTRDY_2020-08-0'!$J$2:$J$870,MATCH(Filter!B115,'TE_OA_20200805_INTRDY_2020-08-0'!$G$2:$G$870))</f>
        <v>Delivery</v>
      </c>
      <c r="D115" t="str">
        <f>INDEX('Pipe Table'!$B$2:$B$14,MATCH(INDEX(TeAllPoints!$I$2:$I$957,MATCH(Filter!B115,TeAllPoints!$B$2:$B$957,0)),'Pipe Table'!$A$2:$A$14,0))</f>
        <v>LDC</v>
      </c>
      <c r="E115" t="str">
        <f>INDEX('TE_OA_20200805_INTRDY_2020-08-0'!$H$2:$H$870,MATCH(Filter!B115,'TE_OA_20200805_INTRDY_2020-08-0'!$G$2:$G$870))</f>
        <v>Texana Midstream Company LP</v>
      </c>
      <c r="F115" t="str">
        <f>INDEX('Pipe Table'!$H$2:$H$8,MATCH('TE_OA_20200805_INTRDY_2020-08-0'!I96,'Pipe Table'!$G$2:$G$8,0))</f>
        <v>TETCO-STX</v>
      </c>
      <c r="G115" t="str">
        <f>INDEX(TeAllPoints!$D$2:$D$957,MATCH(Filter!B115,TeAllPoints!$B$2:$B$957,0))</f>
        <v>TX</v>
      </c>
      <c r="H115" t="str">
        <f>INDEX(TeAllPoints!$E$2:$E$957,MATCH(Filter!B115,TeAllPoints!$B$2:$B$957,0))</f>
        <v>COLORADO</v>
      </c>
      <c r="I115">
        <f>INDEX('TE_OA_20200805_INTRDY_2020-08-0'!$Q$2:$Q$870,MATCH(Filter!B115,'TE_OA_20200805_INTRDY_2020-08-0'!$G$2:$G$870))</f>
        <v>7104</v>
      </c>
      <c r="J115">
        <f>INDEX('TE_OA_20200805_INTRDY_2020-08-0'!$R$2:$R$870,MATCH(Filter!B115,'TE_OA_20200805_INTRDY_2020-08-0'!$G$2:$G$870))</f>
        <v>500</v>
      </c>
    </row>
    <row r="116" spans="1:10" x14ac:dyDescent="0.25">
      <c r="A116" t="str">
        <f>INDEX('Pipe Table'!$E$2:$E$10,MATCH(INDEX('TE_OA_20200805_INTRDY_2020-08-0'!$T$2:$T$870,MATCH(Filter!B116,'TE_OA_20200805_INTRDY_2020-08-0'!$G$2:$G$870,0)),'Pipe Table'!$D$2:$D$10,0))</f>
        <v>TETCO</v>
      </c>
      <c r="B116">
        <v>70474</v>
      </c>
      <c r="C116" t="str">
        <f>INDEX('TE_OA_20200805_INTRDY_2020-08-0'!$J$2:$J$870,MATCH(Filter!B116,'TE_OA_20200805_INTRDY_2020-08-0'!$G$2:$G$870))</f>
        <v>Delivery</v>
      </c>
      <c r="D116" t="str">
        <f>INDEX('Pipe Table'!$B$2:$B$14,MATCH(INDEX(TeAllPoints!$I$2:$I$957,MATCH(Filter!B116,TeAllPoints!$B$2:$B$957,0)),'Pipe Table'!$A$2:$A$14,0))</f>
        <v>Intrcnnct</v>
      </c>
      <c r="E116" t="str">
        <f>INDEX('TE_OA_20200805_INTRDY_2020-08-0'!$H$2:$H$870,MATCH(Filter!B116,'TE_OA_20200805_INTRDY_2020-08-0'!$G$2:$G$870))</f>
        <v>ETC Texas Pipeline, LTD-Sealy, TX- DEL (B/D 73311)</v>
      </c>
      <c r="F116" t="str">
        <f>INDEX('Pipe Table'!$H$2:$H$8,MATCH('TE_OA_20200805_INTRDY_2020-08-0'!I97,'Pipe Table'!$G$2:$G$8,0))</f>
        <v>TETCO-STX</v>
      </c>
      <c r="G116" t="str">
        <f>INDEX(TeAllPoints!$D$2:$D$957,MATCH(Filter!B116,TeAllPoints!$B$2:$B$957,0))</f>
        <v>TX</v>
      </c>
      <c r="H116" t="str">
        <f>INDEX(TeAllPoints!$E$2:$E$957,MATCH(Filter!B116,TeAllPoints!$B$2:$B$957,0))</f>
        <v>AUSTIN</v>
      </c>
      <c r="I116">
        <f>INDEX('TE_OA_20200805_INTRDY_2020-08-0'!$Q$2:$Q$870,MATCH(Filter!B116,'TE_OA_20200805_INTRDY_2020-08-0'!$G$2:$G$870))</f>
        <v>17244</v>
      </c>
      <c r="J116">
        <f>INDEX('TE_OA_20200805_INTRDY_2020-08-0'!$R$2:$R$870,MATCH(Filter!B116,'TE_OA_20200805_INTRDY_2020-08-0'!$G$2:$G$870))</f>
        <v>0</v>
      </c>
    </row>
    <row r="117" spans="1:10" x14ac:dyDescent="0.25">
      <c r="A117" t="str">
        <f>INDEX('Pipe Table'!$E$2:$E$10,MATCH(INDEX('TE_OA_20200805_INTRDY_2020-08-0'!$T$2:$T$870,MATCH(Filter!B117,'TE_OA_20200805_INTRDY_2020-08-0'!$G$2:$G$870,0)),'Pipe Table'!$D$2:$D$10,0))</f>
        <v>TETCO</v>
      </c>
      <c r="B117">
        <v>70478</v>
      </c>
      <c r="C117" t="str">
        <f>INDEX('TE_OA_20200805_INTRDY_2020-08-0'!$J$2:$J$870,MATCH(Filter!B117,'TE_OA_20200805_INTRDY_2020-08-0'!$G$2:$G$870))</f>
        <v>Delivery</v>
      </c>
      <c r="D117" t="str">
        <f>INDEX('Pipe Table'!$B$2:$B$14,MATCH(INDEX(TeAllPoints!$I$2:$I$957,MATCH(Filter!B117,TeAllPoints!$B$2:$B$957,0)),'Pipe Table'!$A$2:$A$14,0))</f>
        <v>LDC</v>
      </c>
      <c r="E117" t="str">
        <f>INDEX('TE_OA_20200805_INTRDY_2020-08-0'!$H$2:$H$870,MATCH(Filter!B117,'TE_OA_20200805_INTRDY_2020-08-0'!$G$2:$G$870))</f>
        <v>New Harmony, IL</v>
      </c>
      <c r="F117" t="str">
        <f>INDEX('Pipe Table'!$H$2:$H$8,MATCH('TE_OA_20200805_INTRDY_2020-08-0'!I98,'Pipe Table'!$G$2:$G$8,0))</f>
        <v>TETCO-M1</v>
      </c>
      <c r="G117" t="str">
        <f>INDEX(TeAllPoints!$D$2:$D$957,MATCH(Filter!B117,TeAllPoints!$B$2:$B$957,0))</f>
        <v>IL</v>
      </c>
      <c r="H117" t="str">
        <f>INDEX(TeAllPoints!$E$2:$E$957,MATCH(Filter!B117,TeAllPoints!$B$2:$B$957,0))</f>
        <v>WHITE</v>
      </c>
      <c r="I117">
        <f>INDEX('TE_OA_20200805_INTRDY_2020-08-0'!$Q$2:$Q$870,MATCH(Filter!B117,'TE_OA_20200805_INTRDY_2020-08-0'!$G$2:$G$870))</f>
        <v>2388</v>
      </c>
      <c r="J117">
        <f>INDEX('TE_OA_20200805_INTRDY_2020-08-0'!$R$2:$R$870,MATCH(Filter!B117,'TE_OA_20200805_INTRDY_2020-08-0'!$G$2:$G$870))</f>
        <v>15</v>
      </c>
    </row>
    <row r="118" spans="1:10" x14ac:dyDescent="0.25">
      <c r="A118" t="str">
        <f>INDEX('Pipe Table'!$E$2:$E$10,MATCH(INDEX('TE_OA_20200805_INTRDY_2020-08-0'!$T$2:$T$870,MATCH(Filter!B118,'TE_OA_20200805_INTRDY_2020-08-0'!$G$2:$G$870,0)),'Pipe Table'!$D$2:$D$10,0))</f>
        <v>TETCO</v>
      </c>
      <c r="B118">
        <v>70480</v>
      </c>
      <c r="C118" t="str">
        <f>INDEX('TE_OA_20200805_INTRDY_2020-08-0'!$J$2:$J$870,MATCH(Filter!B118,'TE_OA_20200805_INTRDY_2020-08-0'!$G$2:$G$870))</f>
        <v>Delivery</v>
      </c>
      <c r="D118" t="str">
        <f>INDEX('Pipe Table'!$B$2:$B$14,MATCH(INDEX(TeAllPoints!$I$2:$I$957,MATCH(Filter!B118,TeAllPoints!$B$2:$B$957,0)),'Pipe Table'!$A$2:$A$14,0))</f>
        <v>LDC</v>
      </c>
      <c r="E118" t="str">
        <f>INDEX('TE_OA_20200805_INTRDY_2020-08-0'!$H$2:$H$870,MATCH(Filter!B118,'TE_OA_20200805_INTRDY_2020-08-0'!$G$2:$G$870))</f>
        <v>Horton Highway - Triune, TN</v>
      </c>
      <c r="F118" t="str">
        <f>INDEX('Pipe Table'!$H$2:$H$8,MATCH('TE_OA_20200805_INTRDY_2020-08-0'!I99,'Pipe Table'!$G$2:$G$8,0))</f>
        <v>TETCO-M1</v>
      </c>
      <c r="G118" t="str">
        <f>INDEX(TeAllPoints!$D$2:$D$957,MATCH(Filter!B118,TeAllPoints!$B$2:$B$957,0))</f>
        <v>TN</v>
      </c>
      <c r="H118" t="str">
        <f>INDEX(TeAllPoints!$E$2:$E$957,MATCH(Filter!B118,TeAllPoints!$B$2:$B$957,0))</f>
        <v>WILLIAMSON</v>
      </c>
      <c r="I118">
        <f>INDEX('TE_OA_20200805_INTRDY_2020-08-0'!$Q$2:$Q$870,MATCH(Filter!B118,'TE_OA_20200805_INTRDY_2020-08-0'!$G$2:$G$870))</f>
        <v>5878</v>
      </c>
      <c r="J118">
        <f>INDEX('TE_OA_20200805_INTRDY_2020-08-0'!$R$2:$R$870,MATCH(Filter!B118,'TE_OA_20200805_INTRDY_2020-08-0'!$G$2:$G$870))</f>
        <v>750</v>
      </c>
    </row>
    <row r="119" spans="1:10" x14ac:dyDescent="0.25">
      <c r="A119" t="str">
        <f>INDEX('Pipe Table'!$E$2:$E$10,MATCH(INDEX('TE_OA_20200805_INTRDY_2020-08-0'!$T$2:$T$870,MATCH(Filter!B119,'TE_OA_20200805_INTRDY_2020-08-0'!$G$2:$G$870,0)),'Pipe Table'!$D$2:$D$10,0))</f>
        <v>TETCO</v>
      </c>
      <c r="B119">
        <v>70486</v>
      </c>
      <c r="C119" t="str">
        <f>INDEX('TE_OA_20200805_INTRDY_2020-08-0'!$J$2:$J$870,MATCH(Filter!B119,'TE_OA_20200805_INTRDY_2020-08-0'!$G$2:$G$870))</f>
        <v>Delivery</v>
      </c>
      <c r="D119" t="str">
        <f>INDEX('Pipe Table'!$B$2:$B$14,MATCH(INDEX(TeAllPoints!$I$2:$I$957,MATCH(Filter!B119,TeAllPoints!$B$2:$B$957,0)),'Pipe Table'!$A$2:$A$14,0))</f>
        <v>LDC</v>
      </c>
      <c r="E119" t="str">
        <f>INDEX('TE_OA_20200805_INTRDY_2020-08-0'!$H$2:$H$870,MATCH(Filter!B119,'TE_OA_20200805_INTRDY_2020-08-0'!$G$2:$G$870))</f>
        <v>UGI UTIL (Columbia Gas) - Womelsdorf, PA</v>
      </c>
      <c r="F119" t="str">
        <f>INDEX('Pipe Table'!$H$2:$H$8,MATCH('TE_OA_20200805_INTRDY_2020-08-0'!I100,'Pipe Table'!$G$2:$G$8,0))</f>
        <v>TETCO-M3</v>
      </c>
      <c r="G119" t="str">
        <f>INDEX(TeAllPoints!$D$2:$D$957,MATCH(Filter!B119,TeAllPoints!$B$2:$B$957,0))</f>
        <v>PA</v>
      </c>
      <c r="H119" t="str">
        <f>INDEX(TeAllPoints!$E$2:$E$957,MATCH(Filter!B119,TeAllPoints!$B$2:$B$957,0))</f>
        <v>BERKS</v>
      </c>
      <c r="I119">
        <f>INDEX('TE_OA_20200805_INTRDY_2020-08-0'!$Q$2:$Q$870,MATCH(Filter!B119,'TE_OA_20200805_INTRDY_2020-08-0'!$G$2:$G$870))</f>
        <v>18789</v>
      </c>
      <c r="J119">
        <f>INDEX('TE_OA_20200805_INTRDY_2020-08-0'!$R$2:$R$870,MATCH(Filter!B119,'TE_OA_20200805_INTRDY_2020-08-0'!$G$2:$G$870))</f>
        <v>0</v>
      </c>
    </row>
    <row r="120" spans="1:10" x14ac:dyDescent="0.25">
      <c r="A120" t="str">
        <f>INDEX('Pipe Table'!$E$2:$E$10,MATCH(INDEX('TE_OA_20200805_INTRDY_2020-08-0'!$T$2:$T$870,MATCH(Filter!B120,'TE_OA_20200805_INTRDY_2020-08-0'!$G$2:$G$870,0)),'Pipe Table'!$D$2:$D$10,0))</f>
        <v>TETCO</v>
      </c>
      <c r="B120">
        <v>70517</v>
      </c>
      <c r="C120" t="str">
        <f>INDEX('TE_OA_20200805_INTRDY_2020-08-0'!$J$2:$J$870,MATCH(Filter!B120,'TE_OA_20200805_INTRDY_2020-08-0'!$G$2:$G$870))</f>
        <v>Delivery</v>
      </c>
      <c r="D120" t="str">
        <f>INDEX('Pipe Table'!$B$2:$B$14,MATCH(INDEX(TeAllPoints!$I$2:$I$957,MATCH(Filter!B120,TeAllPoints!$B$2:$B$957,0)),'Pipe Table'!$A$2:$A$14,0))</f>
        <v>LDC</v>
      </c>
      <c r="E120" t="str">
        <f>INDEX('TE_OA_20200805_INTRDY_2020-08-0'!$H$2:$H$870,MATCH(Filter!B120,'TE_OA_20200805_INTRDY_2020-08-0'!$G$2:$G$870))</f>
        <v>PECO - Alan Wood Steel, PA</v>
      </c>
      <c r="F120" t="str">
        <f>INDEX('Pipe Table'!$H$2:$H$8,MATCH('TE_OA_20200805_INTRDY_2020-08-0'!I101,'Pipe Table'!$G$2:$G$8,0))</f>
        <v>TETCO-M3</v>
      </c>
      <c r="G120" t="str">
        <f>INDEX(TeAllPoints!$D$2:$D$957,MATCH(Filter!B120,TeAllPoints!$B$2:$B$957,0))</f>
        <v>PA</v>
      </c>
      <c r="H120" t="str">
        <f>INDEX(TeAllPoints!$E$2:$E$957,MATCH(Filter!B120,TeAllPoints!$B$2:$B$957,0))</f>
        <v>MONTGOMERY</v>
      </c>
      <c r="I120">
        <f>INDEX('TE_OA_20200805_INTRDY_2020-08-0'!$Q$2:$Q$870,MATCH(Filter!B120,'TE_OA_20200805_INTRDY_2020-08-0'!$G$2:$G$870))</f>
        <v>35915</v>
      </c>
      <c r="J120">
        <f>INDEX('TE_OA_20200805_INTRDY_2020-08-0'!$R$2:$R$870,MATCH(Filter!B120,'TE_OA_20200805_INTRDY_2020-08-0'!$G$2:$G$870))</f>
        <v>0</v>
      </c>
    </row>
    <row r="121" spans="1:10" x14ac:dyDescent="0.25">
      <c r="A121" t="str">
        <f>INDEX('Pipe Table'!$E$2:$E$10,MATCH(INDEX('TE_OA_20200805_INTRDY_2020-08-0'!$T$2:$T$870,MATCH(Filter!B121,'TE_OA_20200805_INTRDY_2020-08-0'!$G$2:$G$870,0)),'Pipe Table'!$D$2:$D$10,0))</f>
        <v>TETCO</v>
      </c>
      <c r="B121">
        <v>70519</v>
      </c>
      <c r="C121" t="str">
        <f>INDEX('TE_OA_20200805_INTRDY_2020-08-0'!$J$2:$J$870,MATCH(Filter!B121,'TE_OA_20200805_INTRDY_2020-08-0'!$G$2:$G$870))</f>
        <v>Delivery</v>
      </c>
      <c r="D121" t="str">
        <f>INDEX('Pipe Table'!$B$2:$B$14,MATCH(INDEX(TeAllPoints!$I$2:$I$957,MATCH(Filter!B121,TeAllPoints!$B$2:$B$957,0)),'Pipe Table'!$A$2:$A$14,0))</f>
        <v>LDC</v>
      </c>
      <c r="E121" t="str">
        <f>INDEX('TE_OA_20200805_INTRDY_2020-08-0'!$H$2:$H$870,MATCH(Filter!B121,'TE_OA_20200805_INTRDY_2020-08-0'!$G$2:$G$870))</f>
        <v>UGI UTIL (Columbia Gas) - Dauphin Co., PA</v>
      </c>
      <c r="F121" t="str">
        <f>INDEX('Pipe Table'!$H$2:$H$8,MATCH('TE_OA_20200805_INTRDY_2020-08-0'!I102,'Pipe Table'!$G$2:$G$8,0))</f>
        <v>TETCO-M3</v>
      </c>
      <c r="G121" t="str">
        <f>INDEX(TeAllPoints!$D$2:$D$957,MATCH(Filter!B121,TeAllPoints!$B$2:$B$957,0))</f>
        <v>PA</v>
      </c>
      <c r="H121" t="str">
        <f>INDEX(TeAllPoints!$E$2:$E$957,MATCH(Filter!B121,TeAllPoints!$B$2:$B$957,0))</f>
        <v>DAUPHIN</v>
      </c>
      <c r="I121">
        <f>INDEX('TE_OA_20200805_INTRDY_2020-08-0'!$Q$2:$Q$870,MATCH(Filter!B121,'TE_OA_20200805_INTRDY_2020-08-0'!$G$2:$G$870))</f>
        <v>83953</v>
      </c>
      <c r="J121">
        <f>INDEX('TE_OA_20200805_INTRDY_2020-08-0'!$R$2:$R$870,MATCH(Filter!B121,'TE_OA_20200805_INTRDY_2020-08-0'!$G$2:$G$870))</f>
        <v>16781</v>
      </c>
    </row>
    <row r="122" spans="1:10" x14ac:dyDescent="0.25">
      <c r="A122" t="str">
        <f>INDEX('Pipe Table'!$E$2:$E$10,MATCH(INDEX('TE_OA_20200805_INTRDY_2020-08-0'!$T$2:$T$870,MATCH(Filter!B122,'TE_OA_20200805_INTRDY_2020-08-0'!$G$2:$G$870,0)),'Pipe Table'!$D$2:$D$10,0))</f>
        <v>TETCO</v>
      </c>
      <c r="B122">
        <v>70521</v>
      </c>
      <c r="C122" t="str">
        <f>INDEX('TE_OA_20200805_INTRDY_2020-08-0'!$J$2:$J$870,MATCH(Filter!B122,'TE_OA_20200805_INTRDY_2020-08-0'!$G$2:$G$870))</f>
        <v>Delivery</v>
      </c>
      <c r="D122" t="str">
        <f>INDEX('Pipe Table'!$B$2:$B$14,MATCH(INDEX(TeAllPoints!$I$2:$I$957,MATCH(Filter!B122,TeAllPoints!$B$2:$B$957,0)),'Pipe Table'!$A$2:$A$14,0))</f>
        <v>LDC</v>
      </c>
      <c r="E122" t="str">
        <f>INDEX('TE_OA_20200805_INTRDY_2020-08-0'!$H$2:$H$870,MATCH(Filter!B122,'TE_OA_20200805_INTRDY_2020-08-0'!$G$2:$G$870))</f>
        <v>Duke Energy Ohio, Inc. Dicks Creek</v>
      </c>
      <c r="F122" t="str">
        <f>INDEX('Pipe Table'!$H$2:$H$8,MATCH('TE_OA_20200805_INTRDY_2020-08-0'!I103,'Pipe Table'!$G$2:$G$8,0))</f>
        <v>TETCO-M2</v>
      </c>
      <c r="G122" t="str">
        <f>INDEX(TeAllPoints!$D$2:$D$957,MATCH(Filter!B122,TeAllPoints!$B$2:$B$957,0))</f>
        <v>OH</v>
      </c>
      <c r="H122" t="str">
        <f>INDEX(TeAllPoints!$E$2:$E$957,MATCH(Filter!B122,TeAllPoints!$B$2:$B$957,0))</f>
        <v>BUTLER</v>
      </c>
      <c r="I122">
        <f>INDEX('TE_OA_20200805_INTRDY_2020-08-0'!$Q$2:$Q$870,MATCH(Filter!B122,'TE_OA_20200805_INTRDY_2020-08-0'!$G$2:$G$870))</f>
        <v>165785</v>
      </c>
      <c r="J122">
        <f>INDEX('TE_OA_20200805_INTRDY_2020-08-0'!$R$2:$R$870,MATCH(Filter!B122,'TE_OA_20200805_INTRDY_2020-08-0'!$G$2:$G$870))</f>
        <v>0</v>
      </c>
    </row>
    <row r="123" spans="1:10" x14ac:dyDescent="0.25">
      <c r="A123" t="str">
        <f>INDEX('Pipe Table'!$E$2:$E$10,MATCH(INDEX('TE_OA_20200805_INTRDY_2020-08-0'!$T$2:$T$870,MATCH(Filter!B123,'TE_OA_20200805_INTRDY_2020-08-0'!$G$2:$G$870,0)),'Pipe Table'!$D$2:$D$10,0))</f>
        <v>TETCO</v>
      </c>
      <c r="B123">
        <v>70524</v>
      </c>
      <c r="C123" t="str">
        <f>INDEX('TE_OA_20200805_INTRDY_2020-08-0'!$J$2:$J$870,MATCH(Filter!B123,'TE_OA_20200805_INTRDY_2020-08-0'!$G$2:$G$870))</f>
        <v>Delivery</v>
      </c>
      <c r="D123" t="str">
        <f>INDEX('Pipe Table'!$B$2:$B$14,MATCH(INDEX(TeAllPoints!$I$2:$I$957,MATCH(Filter!B123,TeAllPoints!$B$2:$B$957,0)),'Pipe Table'!$A$2:$A$14,0))</f>
        <v>LDC</v>
      </c>
      <c r="E123" t="str">
        <f>INDEX('TE_OA_20200805_INTRDY_2020-08-0'!$H$2:$H$870,MATCH(Filter!B123,'TE_OA_20200805_INTRDY_2020-08-0'!$G$2:$G$870))</f>
        <v>Atmos Energy - Amory, MS</v>
      </c>
      <c r="F123" t="str">
        <f>INDEX('Pipe Table'!$H$2:$H$8,MATCH('TE_OA_20200805_INTRDY_2020-08-0'!I104,'Pipe Table'!$G$2:$G$8,0))</f>
        <v>TETCO-M1</v>
      </c>
      <c r="G123" t="str">
        <f>INDEX(TeAllPoints!$D$2:$D$957,MATCH(Filter!B123,TeAllPoints!$B$2:$B$957,0))</f>
        <v>MS</v>
      </c>
      <c r="H123" t="str">
        <f>INDEX(TeAllPoints!$E$2:$E$957,MATCH(Filter!B123,TeAllPoints!$B$2:$B$957,0))</f>
        <v>MONROE</v>
      </c>
      <c r="I123">
        <f>INDEX('TE_OA_20200805_INTRDY_2020-08-0'!$Q$2:$Q$870,MATCH(Filter!B123,'TE_OA_20200805_INTRDY_2020-08-0'!$G$2:$G$870))</f>
        <v>12990</v>
      </c>
      <c r="J123">
        <f>INDEX('TE_OA_20200805_INTRDY_2020-08-0'!$R$2:$R$870,MATCH(Filter!B123,'TE_OA_20200805_INTRDY_2020-08-0'!$G$2:$G$870))</f>
        <v>0</v>
      </c>
    </row>
    <row r="124" spans="1:10" x14ac:dyDescent="0.25">
      <c r="A124" t="str">
        <f>INDEX('Pipe Table'!$E$2:$E$10,MATCH(INDEX('TE_OA_20200805_INTRDY_2020-08-0'!$T$2:$T$870,MATCH(Filter!B124,'TE_OA_20200805_INTRDY_2020-08-0'!$G$2:$G$870,0)),'Pipe Table'!$D$2:$D$10,0))</f>
        <v>TETCO</v>
      </c>
      <c r="B124">
        <v>70532</v>
      </c>
      <c r="C124" t="str">
        <f>INDEX('TE_OA_20200805_INTRDY_2020-08-0'!$J$2:$J$870,MATCH(Filter!B124,'TE_OA_20200805_INTRDY_2020-08-0'!$G$2:$G$870))</f>
        <v>Delivery</v>
      </c>
      <c r="D124" t="str">
        <f>INDEX('Pipe Table'!$B$2:$B$14,MATCH(INDEX(TeAllPoints!$I$2:$I$957,MATCH(Filter!B124,TeAllPoints!$B$2:$B$957,0)),'Pipe Table'!$A$2:$A$14,0))</f>
        <v>LDC</v>
      </c>
      <c r="E124" t="str">
        <f>INDEX('TE_OA_20200805_INTRDY_2020-08-0'!$H$2:$H$870,MATCH(Filter!B124,'TE_OA_20200805_INTRDY_2020-08-0'!$G$2:$G$870))</f>
        <v>Atmos Energy Corporation- Benton, MO</v>
      </c>
      <c r="F124" t="str">
        <f>INDEX('Pipe Table'!$H$2:$H$8,MATCH('TE_OA_20200805_INTRDY_2020-08-0'!I105,'Pipe Table'!$G$2:$G$8,0))</f>
        <v>TETCO-M1</v>
      </c>
      <c r="G124" t="str">
        <f>INDEX(TeAllPoints!$D$2:$D$957,MATCH(Filter!B124,TeAllPoints!$B$2:$B$957,0))</f>
        <v>MO</v>
      </c>
      <c r="H124" t="str">
        <f>INDEX(TeAllPoints!$E$2:$E$957,MATCH(Filter!B124,TeAllPoints!$B$2:$B$957,0))</f>
        <v>SCOTT</v>
      </c>
      <c r="I124">
        <f>INDEX('TE_OA_20200805_INTRDY_2020-08-0'!$Q$2:$Q$870,MATCH(Filter!B124,'TE_OA_20200805_INTRDY_2020-08-0'!$G$2:$G$870))</f>
        <v>10216</v>
      </c>
      <c r="J124">
        <f>INDEX('TE_OA_20200805_INTRDY_2020-08-0'!$R$2:$R$870,MATCH(Filter!B124,'TE_OA_20200805_INTRDY_2020-08-0'!$G$2:$G$870))</f>
        <v>74</v>
      </c>
    </row>
    <row r="125" spans="1:10" x14ac:dyDescent="0.25">
      <c r="A125" t="str">
        <f>INDEX('Pipe Table'!$E$2:$E$10,MATCH(INDEX('TE_OA_20200805_INTRDY_2020-08-0'!$T$2:$T$870,MATCH(Filter!B125,'TE_OA_20200805_INTRDY_2020-08-0'!$G$2:$G$870,0)),'Pipe Table'!$D$2:$D$10,0))</f>
        <v>TETCO</v>
      </c>
      <c r="B125">
        <v>70539</v>
      </c>
      <c r="C125" t="str">
        <f>INDEX('TE_OA_20200805_INTRDY_2020-08-0'!$J$2:$J$870,MATCH(Filter!B125,'TE_OA_20200805_INTRDY_2020-08-0'!$G$2:$G$870))</f>
        <v>Delivery</v>
      </c>
      <c r="D125" t="str">
        <f>INDEX('Pipe Table'!$B$2:$B$14,MATCH(INDEX(TeAllPoints!$I$2:$I$957,MATCH(Filter!B125,TeAllPoints!$B$2:$B$957,0)),'Pipe Table'!$A$2:$A$14,0))</f>
        <v>LDC</v>
      </c>
      <c r="E125" t="str">
        <f>INDEX('TE_OA_20200805_INTRDY_2020-08-0'!$H$2:$H$870,MATCH(Filter!B125,'TE_OA_20200805_INTRDY_2020-08-0'!$G$2:$G$870))</f>
        <v>S.I.G. &amp; Elec -Ft. Branch, IN</v>
      </c>
      <c r="F125" t="str">
        <f>INDEX('Pipe Table'!$H$2:$H$8,MATCH('TE_OA_20200805_INTRDY_2020-08-0'!I106,'Pipe Table'!$G$2:$G$8,0))</f>
        <v>TETCO-M2</v>
      </c>
      <c r="G125" t="str">
        <f>INDEX(TeAllPoints!$D$2:$D$957,MATCH(Filter!B125,TeAllPoints!$B$2:$B$957,0))</f>
        <v>IN</v>
      </c>
      <c r="H125" t="str">
        <f>INDEX(TeAllPoints!$E$2:$E$957,MATCH(Filter!B125,TeAllPoints!$B$2:$B$957,0))</f>
        <v>GIBSON</v>
      </c>
      <c r="I125">
        <f>INDEX('TE_OA_20200805_INTRDY_2020-08-0'!$Q$2:$Q$870,MATCH(Filter!B125,'TE_OA_20200805_INTRDY_2020-08-0'!$G$2:$G$870))</f>
        <v>7928</v>
      </c>
      <c r="J125">
        <f>INDEX('TE_OA_20200805_INTRDY_2020-08-0'!$R$2:$R$870,MATCH(Filter!B125,'TE_OA_20200805_INTRDY_2020-08-0'!$G$2:$G$870))</f>
        <v>50</v>
      </c>
    </row>
    <row r="126" spans="1:10" x14ac:dyDescent="0.25">
      <c r="A126" t="str">
        <f>INDEX('Pipe Table'!$E$2:$E$10,MATCH(INDEX('TE_OA_20200805_INTRDY_2020-08-0'!$T$2:$T$870,MATCH(Filter!B126,'TE_OA_20200805_INTRDY_2020-08-0'!$G$2:$G$870,0)),'Pipe Table'!$D$2:$D$10,0))</f>
        <v>TETCO</v>
      </c>
      <c r="B126">
        <v>70548</v>
      </c>
      <c r="C126" t="str">
        <f>INDEX('TE_OA_20200805_INTRDY_2020-08-0'!$J$2:$J$870,MATCH(Filter!B126,'TE_OA_20200805_INTRDY_2020-08-0'!$G$2:$G$870))</f>
        <v>Delivery</v>
      </c>
      <c r="D126" t="str">
        <f>INDEX('Pipe Table'!$B$2:$B$14,MATCH(INDEX(TeAllPoints!$I$2:$I$957,MATCH(Filter!B126,TeAllPoints!$B$2:$B$957,0)),'Pipe Table'!$A$2:$A$14,0))</f>
        <v>LDC</v>
      </c>
      <c r="E126" t="str">
        <f>INDEX('TE_OA_20200805_INTRDY_2020-08-0'!$H$2:$H$870,MATCH(Filter!B126,'TE_OA_20200805_INTRDY_2020-08-0'!$G$2:$G$870))</f>
        <v>Starks Utilities - Starks, LA</v>
      </c>
      <c r="F126" t="str">
        <f>INDEX('Pipe Table'!$H$2:$H$8,MATCH('TE_OA_20200805_INTRDY_2020-08-0'!I107,'Pipe Table'!$G$2:$G$8,0))</f>
        <v>TETCO-WLA</v>
      </c>
      <c r="G126" t="str">
        <f>INDEX(TeAllPoints!$D$2:$D$957,MATCH(Filter!B126,TeAllPoints!$B$2:$B$957,0))</f>
        <v>LA</v>
      </c>
      <c r="H126" t="str">
        <f>INDEX(TeAllPoints!$E$2:$E$957,MATCH(Filter!B126,TeAllPoints!$B$2:$B$957,0))</f>
        <v>CALCASIEU</v>
      </c>
      <c r="I126">
        <f>INDEX('TE_OA_20200805_INTRDY_2020-08-0'!$Q$2:$Q$870,MATCH(Filter!B126,'TE_OA_20200805_INTRDY_2020-08-0'!$G$2:$G$870))</f>
        <v>1393</v>
      </c>
      <c r="J126">
        <f>INDEX('TE_OA_20200805_INTRDY_2020-08-0'!$R$2:$R$870,MATCH(Filter!B126,'TE_OA_20200805_INTRDY_2020-08-0'!$G$2:$G$870))</f>
        <v>8</v>
      </c>
    </row>
    <row r="127" spans="1:10" x14ac:dyDescent="0.25">
      <c r="A127" t="str">
        <f>INDEX('Pipe Table'!$E$2:$E$10,MATCH(INDEX('TE_OA_20200805_INTRDY_2020-08-0'!$T$2:$T$870,MATCH(Filter!B127,'TE_OA_20200805_INTRDY_2020-08-0'!$G$2:$G$870,0)),'Pipe Table'!$D$2:$D$10,0))</f>
        <v>TETCO</v>
      </c>
      <c r="B127">
        <v>70552</v>
      </c>
      <c r="C127" t="str">
        <f>INDEX('TE_OA_20200805_INTRDY_2020-08-0'!$J$2:$J$870,MATCH(Filter!B127,'TE_OA_20200805_INTRDY_2020-08-0'!$G$2:$G$870))</f>
        <v>Delivery</v>
      </c>
      <c r="D127" t="str">
        <f>INDEX('Pipe Table'!$B$2:$B$14,MATCH(INDEX(TeAllPoints!$I$2:$I$957,MATCH(Filter!B127,TeAllPoints!$B$2:$B$957,0)),'Pipe Table'!$A$2:$A$14,0))</f>
        <v>EndUsr</v>
      </c>
      <c r="E127" t="str">
        <f>INDEX('TE_OA_20200805_INTRDY_2020-08-0'!$H$2:$H$870,MATCH(Filter!B127,'TE_OA_20200805_INTRDY_2020-08-0'!$G$2:$G$870))</f>
        <v>TE Todhunter - Todhunter, OH</v>
      </c>
      <c r="F127" t="str">
        <f>INDEX('Pipe Table'!$H$2:$H$8,MATCH('TE_OA_20200805_INTRDY_2020-08-0'!I108,'Pipe Table'!$G$2:$G$8,0))</f>
        <v>TETCO-M2</v>
      </c>
      <c r="G127" t="str">
        <f>INDEX(TeAllPoints!$D$2:$D$957,MATCH(Filter!B127,TeAllPoints!$B$2:$B$957,0))</f>
        <v>OH</v>
      </c>
      <c r="H127" t="str">
        <f>INDEX(TeAllPoints!$E$2:$E$957,MATCH(Filter!B127,TeAllPoints!$B$2:$B$957,0))</f>
        <v>BUTLER</v>
      </c>
      <c r="I127">
        <f>INDEX('TE_OA_20200805_INTRDY_2020-08-0'!$Q$2:$Q$870,MATCH(Filter!B127,'TE_OA_20200805_INTRDY_2020-08-0'!$G$2:$G$870))</f>
        <v>1204</v>
      </c>
      <c r="J127">
        <f>INDEX('TE_OA_20200805_INTRDY_2020-08-0'!$R$2:$R$870,MATCH(Filter!B127,'TE_OA_20200805_INTRDY_2020-08-0'!$G$2:$G$870))</f>
        <v>35</v>
      </c>
    </row>
    <row r="128" spans="1:10" x14ac:dyDescent="0.25">
      <c r="A128" t="str">
        <f>INDEX('Pipe Table'!$E$2:$E$10,MATCH(INDEX('TE_OA_20200805_INTRDY_2020-08-0'!$T$2:$T$870,MATCH(Filter!B128,'TE_OA_20200805_INTRDY_2020-08-0'!$G$2:$G$870,0)),'Pipe Table'!$D$2:$D$10,0))</f>
        <v>TETCO</v>
      </c>
      <c r="B128">
        <v>70573</v>
      </c>
      <c r="C128" t="str">
        <f>INDEX('TE_OA_20200805_INTRDY_2020-08-0'!$J$2:$J$870,MATCH(Filter!B128,'TE_OA_20200805_INTRDY_2020-08-0'!$G$2:$G$870))</f>
        <v>Delivery</v>
      </c>
      <c r="D128" t="str">
        <f>INDEX('Pipe Table'!$B$2:$B$14,MATCH(INDEX(TeAllPoints!$I$2:$I$957,MATCH(Filter!B128,TeAllPoints!$B$2:$B$957,0)),'Pipe Table'!$A$2:$A$14,0))</f>
        <v>LDC</v>
      </c>
      <c r="E128" t="str">
        <f>INDEX('TE_OA_20200805_INTRDY_2020-08-0'!$H$2:$H$870,MATCH(Filter!B128,'TE_OA_20200805_INTRDY_2020-08-0'!$G$2:$G$870))</f>
        <v>Batesville, IN</v>
      </c>
      <c r="F128" t="str">
        <f>INDEX('Pipe Table'!$H$2:$H$8,MATCH('TE_OA_20200805_INTRDY_2020-08-0'!I109,'Pipe Table'!$G$2:$G$8,0))</f>
        <v>TETCO-M2</v>
      </c>
      <c r="G128" t="str">
        <f>INDEX(TeAllPoints!$D$2:$D$957,MATCH(Filter!B128,TeAllPoints!$B$2:$B$957,0))</f>
        <v>IN</v>
      </c>
      <c r="H128" t="str">
        <f>INDEX(TeAllPoints!$E$2:$E$957,MATCH(Filter!B128,TeAllPoints!$B$2:$B$957,0))</f>
        <v>RIPLEY</v>
      </c>
      <c r="I128">
        <f>INDEX('TE_OA_20200805_INTRDY_2020-08-0'!$Q$2:$Q$870,MATCH(Filter!B128,'TE_OA_20200805_INTRDY_2020-08-0'!$G$2:$G$870))</f>
        <v>18677</v>
      </c>
      <c r="J128">
        <f>INDEX('TE_OA_20200805_INTRDY_2020-08-0'!$R$2:$R$870,MATCH(Filter!B128,'TE_OA_20200805_INTRDY_2020-08-0'!$G$2:$G$870))</f>
        <v>637</v>
      </c>
    </row>
    <row r="129" spans="1:10" x14ac:dyDescent="0.25">
      <c r="A129" t="str">
        <f>INDEX('Pipe Table'!$E$2:$E$10,MATCH(INDEX('TE_OA_20200805_INTRDY_2020-08-0'!$T$2:$T$870,MATCH(Filter!B129,'TE_OA_20200805_INTRDY_2020-08-0'!$G$2:$G$870,0)),'Pipe Table'!$D$2:$D$10,0))</f>
        <v>TETCO</v>
      </c>
      <c r="B129">
        <v>70579</v>
      </c>
      <c r="C129" t="str">
        <f>INDEX('TE_OA_20200805_INTRDY_2020-08-0'!$J$2:$J$870,MATCH(Filter!B129,'TE_OA_20200805_INTRDY_2020-08-0'!$G$2:$G$870))</f>
        <v>Delivery</v>
      </c>
      <c r="D129" t="str">
        <f>INDEX('Pipe Table'!$B$2:$B$14,MATCH(INDEX(TeAllPoints!$I$2:$I$957,MATCH(Filter!B129,TeAllPoints!$B$2:$B$957,0)),'Pipe Table'!$A$2:$A$14,0))</f>
        <v>Intrcnnct</v>
      </c>
      <c r="E129" t="str">
        <f>INDEX('TE_OA_20200805_INTRDY_2020-08-0'!$H$2:$H$870,MATCH(Filter!B129,'TE_OA_20200805_INTRDY_2020-08-0'!$G$2:$G$870))</f>
        <v>Columbia Gas of  PA.  - Rockwood, PA</v>
      </c>
      <c r="F129" t="str">
        <f>INDEX('Pipe Table'!$H$2:$H$8,MATCH('TE_OA_20200805_INTRDY_2020-08-0'!I110,'Pipe Table'!$G$2:$G$8,0))</f>
        <v>TETCO-M3</v>
      </c>
      <c r="G129" t="str">
        <f>INDEX(TeAllPoints!$D$2:$D$957,MATCH(Filter!B129,TeAllPoints!$B$2:$B$957,0))</f>
        <v>PA</v>
      </c>
      <c r="H129" t="str">
        <f>INDEX(TeAllPoints!$E$2:$E$957,MATCH(Filter!B129,TeAllPoints!$B$2:$B$957,0))</f>
        <v>SOMERSET</v>
      </c>
      <c r="I129">
        <f>INDEX('TE_OA_20200805_INTRDY_2020-08-0'!$Q$2:$Q$870,MATCH(Filter!B129,'TE_OA_20200805_INTRDY_2020-08-0'!$G$2:$G$870))</f>
        <v>14510</v>
      </c>
      <c r="J129">
        <f>INDEX('TE_OA_20200805_INTRDY_2020-08-0'!$R$2:$R$870,MATCH(Filter!B129,'TE_OA_20200805_INTRDY_2020-08-0'!$G$2:$G$870))</f>
        <v>2800</v>
      </c>
    </row>
    <row r="130" spans="1:10" x14ac:dyDescent="0.25">
      <c r="A130" t="str">
        <f>INDEX('Pipe Table'!$E$2:$E$10,MATCH(INDEX('TE_OA_20200805_INTRDY_2020-08-0'!$T$2:$T$870,MATCH(Filter!B130,'TE_OA_20200805_INTRDY_2020-08-0'!$G$2:$G$870,0)),'Pipe Table'!$D$2:$D$10,0))</f>
        <v>TETCO</v>
      </c>
      <c r="B130">
        <v>70582</v>
      </c>
      <c r="C130" t="str">
        <f>INDEX('TE_OA_20200805_INTRDY_2020-08-0'!$J$2:$J$870,MATCH(Filter!B130,'TE_OA_20200805_INTRDY_2020-08-0'!$G$2:$G$870))</f>
        <v>Delivery</v>
      </c>
      <c r="D130" t="str">
        <f>INDEX('Pipe Table'!$B$2:$B$14,MATCH(INDEX(TeAllPoints!$I$2:$I$957,MATCH(Filter!B130,TeAllPoints!$B$2:$B$957,0)),'Pipe Table'!$A$2:$A$14,0))</f>
        <v>LDC</v>
      </c>
      <c r="E130" t="str">
        <f>INDEX('TE_OA_20200805_INTRDY_2020-08-0'!$H$2:$H$870,MATCH(Filter!B130,'TE_OA_20200805_INTRDY_2020-08-0'!$G$2:$G$870))</f>
        <v>Midwest Nat. - Brownstown, IN</v>
      </c>
      <c r="F130" t="str">
        <f>INDEX('Pipe Table'!$H$2:$H$8,MATCH('TE_OA_20200805_INTRDY_2020-08-0'!I111,'Pipe Table'!$G$2:$G$8,0))</f>
        <v>TETCO-M2</v>
      </c>
      <c r="G130" t="str">
        <f>INDEX(TeAllPoints!$D$2:$D$957,MATCH(Filter!B130,TeAllPoints!$B$2:$B$957,0))</f>
        <v>IN</v>
      </c>
      <c r="H130" t="str">
        <f>INDEX(TeAllPoints!$E$2:$E$957,MATCH(Filter!B130,TeAllPoints!$B$2:$B$957,0))</f>
        <v>JACKSON</v>
      </c>
      <c r="I130">
        <f>INDEX('TE_OA_20200805_INTRDY_2020-08-0'!$Q$2:$Q$870,MATCH(Filter!B130,'TE_OA_20200805_INTRDY_2020-08-0'!$G$2:$G$870))</f>
        <v>3884</v>
      </c>
      <c r="J130">
        <f>INDEX('TE_OA_20200805_INTRDY_2020-08-0'!$R$2:$R$870,MATCH(Filter!B130,'TE_OA_20200805_INTRDY_2020-08-0'!$G$2:$G$870))</f>
        <v>25</v>
      </c>
    </row>
    <row r="131" spans="1:10" x14ac:dyDescent="0.25">
      <c r="A131" t="str">
        <f>INDEX('Pipe Table'!$E$2:$E$10,MATCH(INDEX('TE_OA_20200805_INTRDY_2020-08-0'!$T$2:$T$870,MATCH(Filter!B131,'TE_OA_20200805_INTRDY_2020-08-0'!$G$2:$G$870,0)),'Pipe Table'!$D$2:$D$10,0))</f>
        <v>TETCO</v>
      </c>
      <c r="B131">
        <v>70583</v>
      </c>
      <c r="C131" t="str">
        <f>INDEX('TE_OA_20200805_INTRDY_2020-08-0'!$J$2:$J$870,MATCH(Filter!B131,'TE_OA_20200805_INTRDY_2020-08-0'!$G$2:$G$870))</f>
        <v>Delivery</v>
      </c>
      <c r="D131" t="str">
        <f>INDEX('Pipe Table'!$B$2:$B$14,MATCH(INDEX(TeAllPoints!$I$2:$I$957,MATCH(Filter!B131,TeAllPoints!$B$2:$B$957,0)),'Pipe Table'!$A$2:$A$14,0))</f>
        <v>LDC</v>
      </c>
      <c r="E131" t="str">
        <f>INDEX('TE_OA_20200805_INTRDY_2020-08-0'!$H$2:$H$870,MATCH(Filter!B131,'TE_OA_20200805_INTRDY_2020-08-0'!$G$2:$G$870))</f>
        <v>Midwest Nat. -North Vernon, IN</v>
      </c>
      <c r="F131" t="str">
        <f>INDEX('Pipe Table'!$H$2:$H$8,MATCH('TE_OA_20200805_INTRDY_2020-08-0'!I112,'Pipe Table'!$G$2:$G$8,0))</f>
        <v>TETCO-M2</v>
      </c>
      <c r="G131" t="str">
        <f>INDEX(TeAllPoints!$D$2:$D$957,MATCH(Filter!B131,TeAllPoints!$B$2:$B$957,0))</f>
        <v>IN</v>
      </c>
      <c r="H131" t="str">
        <f>INDEX(TeAllPoints!$E$2:$E$957,MATCH(Filter!B131,TeAllPoints!$B$2:$B$957,0))</f>
        <v>JENNINGS</v>
      </c>
      <c r="I131">
        <f>INDEX('TE_OA_20200805_INTRDY_2020-08-0'!$Q$2:$Q$870,MATCH(Filter!B131,'TE_OA_20200805_INTRDY_2020-08-0'!$G$2:$G$870))</f>
        <v>12756</v>
      </c>
      <c r="J131">
        <f>INDEX('TE_OA_20200805_INTRDY_2020-08-0'!$R$2:$R$870,MATCH(Filter!B131,'TE_OA_20200805_INTRDY_2020-08-0'!$G$2:$G$870))</f>
        <v>511</v>
      </c>
    </row>
    <row r="132" spans="1:10" x14ac:dyDescent="0.25">
      <c r="A132" t="str">
        <f>INDEX('Pipe Table'!$E$2:$E$10,MATCH(INDEX('TE_OA_20200805_INTRDY_2020-08-0'!$T$2:$T$870,MATCH(Filter!B132,'TE_OA_20200805_INTRDY_2020-08-0'!$G$2:$G$870,0)),'Pipe Table'!$D$2:$D$10,0))</f>
        <v>TETCO</v>
      </c>
      <c r="B132">
        <v>70584</v>
      </c>
      <c r="C132" t="str">
        <f>INDEX('TE_OA_20200805_INTRDY_2020-08-0'!$J$2:$J$870,MATCH(Filter!B132,'TE_OA_20200805_INTRDY_2020-08-0'!$G$2:$G$870))</f>
        <v>Delivery</v>
      </c>
      <c r="D132" t="str">
        <f>INDEX('Pipe Table'!$B$2:$B$14,MATCH(INDEX(TeAllPoints!$I$2:$I$957,MATCH(Filter!B132,TeAllPoints!$B$2:$B$957,0)),'Pipe Table'!$A$2:$A$14,0))</f>
        <v>LDC</v>
      </c>
      <c r="E132" t="str">
        <f>INDEX('TE_OA_20200805_INTRDY_2020-08-0'!$H$2:$H$870,MATCH(Filter!B132,'TE_OA_20200805_INTRDY_2020-08-0'!$G$2:$G$870))</f>
        <v>Elizabethtown Gas Company - Ringoes, NJ</v>
      </c>
      <c r="F132" t="str">
        <f>INDEX('Pipe Table'!$H$2:$H$8,MATCH('TE_OA_20200805_INTRDY_2020-08-0'!I113,'Pipe Table'!$G$2:$G$8,0))</f>
        <v>TETCO-M3</v>
      </c>
      <c r="G132" t="str">
        <f>INDEX(TeAllPoints!$D$2:$D$957,MATCH(Filter!B132,TeAllPoints!$B$2:$B$957,0))</f>
        <v>NJ</v>
      </c>
      <c r="H132" t="str">
        <f>INDEX(TeAllPoints!$E$2:$E$957,MATCH(Filter!B132,TeAllPoints!$B$2:$B$957,0))</f>
        <v>HUNTERDON</v>
      </c>
      <c r="I132">
        <f>INDEX('TE_OA_20200805_INTRDY_2020-08-0'!$Q$2:$Q$870,MATCH(Filter!B132,'TE_OA_20200805_INTRDY_2020-08-0'!$G$2:$G$870))</f>
        <v>26017</v>
      </c>
      <c r="J132">
        <f>INDEX('TE_OA_20200805_INTRDY_2020-08-0'!$R$2:$R$870,MATCH(Filter!B132,'TE_OA_20200805_INTRDY_2020-08-0'!$G$2:$G$870))</f>
        <v>0</v>
      </c>
    </row>
    <row r="133" spans="1:10" x14ac:dyDescent="0.25">
      <c r="A133" t="str">
        <f>INDEX('Pipe Table'!$E$2:$E$10,MATCH(INDEX('TE_OA_20200805_INTRDY_2020-08-0'!$T$2:$T$870,MATCH(Filter!B133,'TE_OA_20200805_INTRDY_2020-08-0'!$G$2:$G$870,0)),'Pipe Table'!$D$2:$D$10,0))</f>
        <v>TETCO</v>
      </c>
      <c r="B133">
        <v>70633</v>
      </c>
      <c r="C133" t="str">
        <f>INDEX('TE_OA_20200805_INTRDY_2020-08-0'!$J$2:$J$870,MATCH(Filter!B133,'TE_OA_20200805_INTRDY_2020-08-0'!$G$2:$G$870))</f>
        <v>Receipt</v>
      </c>
      <c r="D133" t="str">
        <f>INDEX('Pipe Table'!$B$2:$B$14,MATCH(INDEX(TeAllPoints!$I$2:$I$957,MATCH(Filter!B133,TeAllPoints!$B$2:$B$957,0)),'Pipe Table'!$A$2:$A$14,0))</f>
        <v>Wellhead</v>
      </c>
      <c r="E133" t="str">
        <f>INDEX('TE_OA_20200805_INTRDY_2020-08-0'!$H$2:$H$870,MATCH(Filter!B133,'TE_OA_20200805_INTRDY_2020-08-0'!$G$2:$G$870))</f>
        <v>B&amp;T Oil Co., Yoward C.P. - Bee Co., TX</v>
      </c>
      <c r="F133" t="str">
        <f>INDEX('Pipe Table'!$H$2:$H$8,MATCH('TE_OA_20200805_INTRDY_2020-08-0'!I114,'Pipe Table'!$G$2:$G$8,0))</f>
        <v>TETCO-STX</v>
      </c>
      <c r="G133" t="str">
        <f>INDEX(TeAllPoints!$D$2:$D$957,MATCH(Filter!B133,TeAllPoints!$B$2:$B$957,0))</f>
        <v>TX</v>
      </c>
      <c r="H133" t="str">
        <f>INDEX(TeAllPoints!$E$2:$E$957,MATCH(Filter!B133,TeAllPoints!$B$2:$B$957,0))</f>
        <v>BEE</v>
      </c>
      <c r="I133">
        <f>INDEX('TE_OA_20200805_INTRDY_2020-08-0'!$Q$2:$Q$870,MATCH(Filter!B133,'TE_OA_20200805_INTRDY_2020-08-0'!$G$2:$G$870))</f>
        <v>3918</v>
      </c>
      <c r="J133">
        <f>INDEX('TE_OA_20200805_INTRDY_2020-08-0'!$R$2:$R$870,MATCH(Filter!B133,'TE_OA_20200805_INTRDY_2020-08-0'!$G$2:$G$870))</f>
        <v>70</v>
      </c>
    </row>
    <row r="134" spans="1:10" x14ac:dyDescent="0.25">
      <c r="A134" t="str">
        <f>INDEX('Pipe Table'!$E$2:$E$10,MATCH(INDEX('TE_OA_20200805_INTRDY_2020-08-0'!$T$2:$T$870,MATCH(Filter!B134,'TE_OA_20200805_INTRDY_2020-08-0'!$G$2:$G$870,0)),'Pipe Table'!$D$2:$D$10,0))</f>
        <v>TETCO</v>
      </c>
      <c r="B134">
        <v>70655</v>
      </c>
      <c r="C134" t="str">
        <f>INDEX('TE_OA_20200805_INTRDY_2020-08-0'!$J$2:$J$870,MATCH(Filter!B134,'TE_OA_20200805_INTRDY_2020-08-0'!$G$2:$G$870))</f>
        <v>Receipt</v>
      </c>
      <c r="D134" t="str">
        <f>INDEX('Pipe Table'!$B$2:$B$14,MATCH(INDEX(TeAllPoints!$I$2:$I$957,MATCH(Filter!B134,TeAllPoints!$B$2:$B$957,0)),'Pipe Table'!$A$2:$A$14,0))</f>
        <v>Wellhead</v>
      </c>
      <c r="E134" t="str">
        <f>INDEX('TE_OA_20200805_INTRDY_2020-08-0'!$H$2:$H$870,MATCH(Filter!B134,'TE_OA_20200805_INTRDY_2020-08-0'!$G$2:$G$870))</f>
        <v>Linn Exchange Properties, LLC-Southwest Gohlke CP - Victoria, TX</v>
      </c>
      <c r="F134" t="str">
        <f>INDEX('Pipe Table'!$H$2:$H$8,MATCH('TE_OA_20200805_INTRDY_2020-08-0'!I115,'Pipe Table'!$G$2:$G$8,0))</f>
        <v>TETCO-STX</v>
      </c>
      <c r="G134" t="str">
        <f>INDEX(TeAllPoints!$D$2:$D$957,MATCH(Filter!B134,TeAllPoints!$B$2:$B$957,0))</f>
        <v>TX</v>
      </c>
      <c r="H134" t="str">
        <f>INDEX(TeAllPoints!$E$2:$E$957,MATCH(Filter!B134,TeAllPoints!$B$2:$B$957,0))</f>
        <v>VICTORIA</v>
      </c>
      <c r="I134">
        <f>INDEX('TE_OA_20200805_INTRDY_2020-08-0'!$Q$2:$Q$870,MATCH(Filter!B134,'TE_OA_20200805_INTRDY_2020-08-0'!$G$2:$G$870))</f>
        <v>12224</v>
      </c>
      <c r="J134">
        <f>INDEX('TE_OA_20200805_INTRDY_2020-08-0'!$R$2:$R$870,MATCH(Filter!B134,'TE_OA_20200805_INTRDY_2020-08-0'!$G$2:$G$870))</f>
        <v>1</v>
      </c>
    </row>
    <row r="135" spans="1:10" x14ac:dyDescent="0.25">
      <c r="A135" t="str">
        <f>INDEX('Pipe Table'!$E$2:$E$10,MATCH(INDEX('TE_OA_20200805_INTRDY_2020-08-0'!$T$2:$T$870,MATCH(Filter!B135,'TE_OA_20200805_INTRDY_2020-08-0'!$G$2:$G$870,0)),'Pipe Table'!$D$2:$D$10,0))</f>
        <v>TETCO</v>
      </c>
      <c r="B135">
        <v>70675</v>
      </c>
      <c r="C135" t="str">
        <f>INDEX('TE_OA_20200805_INTRDY_2020-08-0'!$J$2:$J$870,MATCH(Filter!B135,'TE_OA_20200805_INTRDY_2020-08-0'!$G$2:$G$870))</f>
        <v>Receipt</v>
      </c>
      <c r="D135" t="str">
        <f>INDEX('Pipe Table'!$B$2:$B$14,MATCH(INDEX(TeAllPoints!$I$2:$I$957,MATCH(Filter!B135,TeAllPoints!$B$2:$B$957,0)),'Pipe Table'!$A$2:$A$14,0))</f>
        <v>Wellhead</v>
      </c>
      <c r="E135" t="str">
        <f>INDEX('TE_OA_20200805_INTRDY_2020-08-0'!$H$2:$H$870,MATCH(Filter!B135,'TE_OA_20200805_INTRDY_2020-08-0'!$G$2:$G$870))</f>
        <v>Mosbacher-Morgan #1, Live Oak Co. TX</v>
      </c>
      <c r="F135" t="str">
        <f>INDEX('Pipe Table'!$H$2:$H$8,MATCH('TE_OA_20200805_INTRDY_2020-08-0'!I116,'Pipe Table'!$G$2:$G$8,0))</f>
        <v>TETCO-STX</v>
      </c>
      <c r="G135" t="str">
        <f>INDEX(TeAllPoints!$D$2:$D$957,MATCH(Filter!B135,TeAllPoints!$B$2:$B$957,0))</f>
        <v>TX</v>
      </c>
      <c r="H135" t="str">
        <f>INDEX(TeAllPoints!$E$2:$E$957,MATCH(Filter!B135,TeAllPoints!$B$2:$B$957,0))</f>
        <v>LIVE OAK</v>
      </c>
      <c r="I135">
        <f>INDEX('TE_OA_20200805_INTRDY_2020-08-0'!$Q$2:$Q$870,MATCH(Filter!B135,'TE_OA_20200805_INTRDY_2020-08-0'!$G$2:$G$870))</f>
        <v>8996</v>
      </c>
      <c r="J135">
        <f>INDEX('TE_OA_20200805_INTRDY_2020-08-0'!$R$2:$R$870,MATCH(Filter!B135,'TE_OA_20200805_INTRDY_2020-08-0'!$G$2:$G$870))</f>
        <v>0</v>
      </c>
    </row>
    <row r="136" spans="1:10" x14ac:dyDescent="0.25">
      <c r="A136" t="str">
        <f>INDEX('Pipe Table'!$E$2:$E$10,MATCH(INDEX('TE_OA_20200805_INTRDY_2020-08-0'!$T$2:$T$870,MATCH(Filter!B136,'TE_OA_20200805_INTRDY_2020-08-0'!$G$2:$G$870,0)),'Pipe Table'!$D$2:$D$10,0))</f>
        <v>TETCO</v>
      </c>
      <c r="B136">
        <v>70689</v>
      </c>
      <c r="C136" t="str">
        <f>INDEX('TE_OA_20200805_INTRDY_2020-08-0'!$J$2:$J$870,MATCH(Filter!B136,'TE_OA_20200805_INTRDY_2020-08-0'!$G$2:$G$870))</f>
        <v>Receipt</v>
      </c>
      <c r="D136" t="str">
        <f>INDEX('Pipe Table'!$B$2:$B$14,MATCH(INDEX(TeAllPoints!$I$2:$I$957,MATCH(Filter!B136,TeAllPoints!$B$2:$B$957,0)),'Pipe Table'!$A$2:$A$14,0))</f>
        <v>Wellhead</v>
      </c>
      <c r="E136" t="str">
        <f>INDEX('TE_OA_20200805_INTRDY_2020-08-0'!$H$2:$H$870,MATCH(Filter!B136,'TE_OA_20200805_INTRDY_2020-08-0'!$G$2:$G$870))</f>
        <v>NOG Production &amp; Operating LLC- #1 Children's Home - Bee Co.,TX</v>
      </c>
      <c r="F136" t="str">
        <f>INDEX('Pipe Table'!$H$2:$H$8,MATCH('TE_OA_20200805_INTRDY_2020-08-0'!I117,'Pipe Table'!$G$2:$G$8,0))</f>
        <v>TETCO-STX</v>
      </c>
      <c r="G136" t="str">
        <f>INDEX(TeAllPoints!$D$2:$D$957,MATCH(Filter!B136,TeAllPoints!$B$2:$B$957,0))</f>
        <v>TX</v>
      </c>
      <c r="H136" t="str">
        <f>INDEX(TeAllPoints!$E$2:$E$957,MATCH(Filter!B136,TeAllPoints!$B$2:$B$957,0))</f>
        <v>BEE</v>
      </c>
      <c r="I136">
        <f>INDEX('TE_OA_20200805_INTRDY_2020-08-0'!$Q$2:$Q$870,MATCH(Filter!B136,'TE_OA_20200805_INTRDY_2020-08-0'!$G$2:$G$870))</f>
        <v>3924</v>
      </c>
      <c r="J136">
        <f>INDEX('TE_OA_20200805_INTRDY_2020-08-0'!$R$2:$R$870,MATCH(Filter!B136,'TE_OA_20200805_INTRDY_2020-08-0'!$G$2:$G$870))</f>
        <v>1</v>
      </c>
    </row>
    <row r="137" spans="1:10" x14ac:dyDescent="0.25">
      <c r="A137" t="str">
        <f>INDEX('Pipe Table'!$E$2:$E$10,MATCH(INDEX('TE_OA_20200805_INTRDY_2020-08-0'!$T$2:$T$870,MATCH(Filter!B137,'TE_OA_20200805_INTRDY_2020-08-0'!$G$2:$G$870,0)),'Pipe Table'!$D$2:$D$10,0))</f>
        <v>TETCO</v>
      </c>
      <c r="B137">
        <v>70691</v>
      </c>
      <c r="C137" t="str">
        <f>INDEX('TE_OA_20200805_INTRDY_2020-08-0'!$J$2:$J$870,MATCH(Filter!B137,'TE_OA_20200805_INTRDY_2020-08-0'!$G$2:$G$870))</f>
        <v>Receipt</v>
      </c>
      <c r="D137" t="e">
        <f>INDEX('Pipe Table'!$B$2:$B$14,MATCH(INDEX(TeAllPoints!$I$2:$I$957,MATCH(Filter!B137,TeAllPoints!$B$2:$B$957,0)),'Pipe Table'!$A$2:$A$14,0))</f>
        <v>#N/A</v>
      </c>
      <c r="E137" t="str">
        <f>INDEX('TE_OA_20200805_INTRDY_2020-08-0'!$H$2:$H$870,MATCH(Filter!B137,'TE_OA_20200805_INTRDY_2020-08-0'!$G$2:$G$870))</f>
        <v>Inca Oil &amp; Gas Co..-#1 Wilkinson,Goliad Co., TX</v>
      </c>
      <c r="F137" t="str">
        <f>INDEX('Pipe Table'!$H$2:$H$8,MATCH('TE_OA_20200805_INTRDY_2020-08-0'!I118,'Pipe Table'!$G$2:$G$8,0))</f>
        <v>TETCO-STX</v>
      </c>
      <c r="G137" t="e">
        <f>INDEX(TeAllPoints!$D$2:$D$957,MATCH(Filter!B137,TeAllPoints!$B$2:$B$957,0))</f>
        <v>#N/A</v>
      </c>
      <c r="H137" t="e">
        <f>INDEX(TeAllPoints!$E$2:$E$957,MATCH(Filter!B137,TeAllPoints!$B$2:$B$957,0))</f>
        <v>#N/A</v>
      </c>
      <c r="I137">
        <f>INDEX('TE_OA_20200805_INTRDY_2020-08-0'!$Q$2:$Q$870,MATCH(Filter!B137,'TE_OA_20200805_INTRDY_2020-08-0'!$G$2:$G$870))</f>
        <v>9318</v>
      </c>
      <c r="J137">
        <f>INDEX('TE_OA_20200805_INTRDY_2020-08-0'!$R$2:$R$870,MATCH(Filter!B137,'TE_OA_20200805_INTRDY_2020-08-0'!$G$2:$G$870))</f>
        <v>0</v>
      </c>
    </row>
    <row r="138" spans="1:10" x14ac:dyDescent="0.25">
      <c r="A138" t="str">
        <f>INDEX('Pipe Table'!$E$2:$E$10,MATCH(INDEX('TE_OA_20200805_INTRDY_2020-08-0'!$T$2:$T$870,MATCH(Filter!B138,'TE_OA_20200805_INTRDY_2020-08-0'!$G$2:$G$870,0)),'Pipe Table'!$D$2:$D$10,0))</f>
        <v>TETCO</v>
      </c>
      <c r="B138">
        <v>70859</v>
      </c>
      <c r="C138" t="str">
        <f>INDEX('TE_OA_20200805_INTRDY_2020-08-0'!$J$2:$J$870,MATCH(Filter!B138,'TE_OA_20200805_INTRDY_2020-08-0'!$G$2:$G$870))</f>
        <v>Delivery</v>
      </c>
      <c r="D138" t="str">
        <f>INDEX('Pipe Table'!$B$2:$B$14,MATCH(INDEX(TeAllPoints!$I$2:$I$957,MATCH(Filter!B138,TeAllPoints!$B$2:$B$957,0)),'Pipe Table'!$A$2:$A$14,0))</f>
        <v>Intrcnnct</v>
      </c>
      <c r="E138" t="str">
        <f>INDEX('TE_OA_20200805_INTRDY_2020-08-0'!$H$2:$H$870,MATCH(Filter!B138,'TE_OA_20200805_INTRDY_2020-08-0'!$G$2:$G$870))</f>
        <v>Gulf South Pipeline, LP - Huntsville, TX  (Delivery)</v>
      </c>
      <c r="F138" t="str">
        <f>INDEX('Pipe Table'!$H$2:$H$8,MATCH('TE_OA_20200805_INTRDY_2020-08-0'!I119,'Pipe Table'!$G$2:$G$8,0))</f>
        <v>TETCO-ETX</v>
      </c>
      <c r="G138" t="str">
        <f>INDEX(TeAllPoints!$D$2:$D$957,MATCH(Filter!B138,TeAllPoints!$B$2:$B$957,0))</f>
        <v>TX</v>
      </c>
      <c r="H138" t="str">
        <f>INDEX(TeAllPoints!$E$2:$E$957,MATCH(Filter!B138,TeAllPoints!$B$2:$B$957,0))</f>
        <v>SAN JACINTO</v>
      </c>
      <c r="I138">
        <f>INDEX('TE_OA_20200805_INTRDY_2020-08-0'!$Q$2:$Q$870,MATCH(Filter!B138,'TE_OA_20200805_INTRDY_2020-08-0'!$G$2:$G$870))</f>
        <v>9368</v>
      </c>
      <c r="J138">
        <f>INDEX('TE_OA_20200805_INTRDY_2020-08-0'!$R$2:$R$870,MATCH(Filter!B138,'TE_OA_20200805_INTRDY_2020-08-0'!$G$2:$G$870))</f>
        <v>0</v>
      </c>
    </row>
    <row r="139" spans="1:10" x14ac:dyDescent="0.25">
      <c r="A139" t="str">
        <f>INDEX('Pipe Table'!$E$2:$E$10,MATCH(INDEX('TE_OA_20200805_INTRDY_2020-08-0'!$T$2:$T$870,MATCH(Filter!B139,'TE_OA_20200805_INTRDY_2020-08-0'!$G$2:$G$870,0)),'Pipe Table'!$D$2:$D$10,0))</f>
        <v>TETCO</v>
      </c>
      <c r="B139">
        <v>70907</v>
      </c>
      <c r="C139" t="str">
        <f>INDEX('TE_OA_20200805_INTRDY_2020-08-0'!$J$2:$J$870,MATCH(Filter!B139,'TE_OA_20200805_INTRDY_2020-08-0'!$G$2:$G$870))</f>
        <v>Delivery</v>
      </c>
      <c r="D139" t="str">
        <f>INDEX('Pipe Table'!$B$2:$B$14,MATCH(INDEX(TeAllPoints!$I$2:$I$957,MATCH(Filter!B139,TeAllPoints!$B$2:$B$957,0)),'Pipe Table'!$A$2:$A$14,0))</f>
        <v>LDC</v>
      </c>
      <c r="E139" t="str">
        <f>INDEX('TE_OA_20200805_INTRDY_2020-08-0'!$H$2:$H$870,MATCH(Filter!B139,'TE_OA_20200805_INTRDY_2020-08-0'!$G$2:$G$870))</f>
        <v>Duke Energy Ohio Inc. Millville</v>
      </c>
      <c r="F139" t="str">
        <f>INDEX('Pipe Table'!$H$2:$H$8,MATCH('TE_OA_20200805_INTRDY_2020-08-0'!I120,'Pipe Table'!$G$2:$G$8,0))</f>
        <v>TETCO-M2</v>
      </c>
      <c r="G139" t="str">
        <f>INDEX(TeAllPoints!$D$2:$D$957,MATCH(Filter!B139,TeAllPoints!$B$2:$B$957,0))</f>
        <v>OH</v>
      </c>
      <c r="H139" t="str">
        <f>INDEX(TeAllPoints!$E$2:$E$957,MATCH(Filter!B139,TeAllPoints!$B$2:$B$957,0))</f>
        <v>BUTLER</v>
      </c>
      <c r="I139">
        <f>INDEX('TE_OA_20200805_INTRDY_2020-08-0'!$Q$2:$Q$870,MATCH(Filter!B139,'TE_OA_20200805_INTRDY_2020-08-0'!$G$2:$G$870))</f>
        <v>22292</v>
      </c>
      <c r="J139">
        <f>INDEX('TE_OA_20200805_INTRDY_2020-08-0'!$R$2:$R$870,MATCH(Filter!B139,'TE_OA_20200805_INTRDY_2020-08-0'!$G$2:$G$870))</f>
        <v>2503</v>
      </c>
    </row>
    <row r="140" spans="1:10" x14ac:dyDescent="0.25">
      <c r="A140" t="str">
        <f>INDEX('Pipe Table'!$E$2:$E$10,MATCH(INDEX('TE_OA_20200805_INTRDY_2020-08-0'!$T$2:$T$870,MATCH(Filter!B140,'TE_OA_20200805_INTRDY_2020-08-0'!$G$2:$G$870,0)),'Pipe Table'!$D$2:$D$10,0))</f>
        <v>TETCO</v>
      </c>
      <c r="B140">
        <v>70912</v>
      </c>
      <c r="C140" t="str">
        <f>INDEX('TE_OA_20200805_INTRDY_2020-08-0'!$J$2:$J$870,MATCH(Filter!B140,'TE_OA_20200805_INTRDY_2020-08-0'!$G$2:$G$870))</f>
        <v>Receipt</v>
      </c>
      <c r="D140" t="str">
        <f>INDEX('Pipe Table'!$B$2:$B$14,MATCH(INDEX(TeAllPoints!$I$2:$I$957,MATCH(Filter!B140,TeAllPoints!$B$2:$B$957,0)),'Pipe Table'!$A$2:$A$14,0))</f>
        <v>Wellhead</v>
      </c>
      <c r="E140" t="str">
        <f>INDEX('TE_OA_20200805_INTRDY_2020-08-0'!$H$2:$H$870,MATCH(Filter!B140,'TE_OA_20200805_INTRDY_2020-08-0'!$G$2:$G$870))</f>
        <v>Britanco, LLC Wilcox - Tuleta CP, Bee Co., TX</v>
      </c>
      <c r="F140" t="str">
        <f>INDEX('Pipe Table'!$H$2:$H$8,MATCH('TE_OA_20200805_INTRDY_2020-08-0'!I121,'Pipe Table'!$G$2:$G$8,0))</f>
        <v>TETCO-STX</v>
      </c>
      <c r="G140" t="str">
        <f>INDEX(TeAllPoints!$D$2:$D$957,MATCH(Filter!B140,TeAllPoints!$B$2:$B$957,0))</f>
        <v>TX</v>
      </c>
      <c r="H140" t="str">
        <f>INDEX(TeAllPoints!$E$2:$E$957,MATCH(Filter!B140,TeAllPoints!$B$2:$B$957,0))</f>
        <v>BEE</v>
      </c>
      <c r="I140">
        <f>INDEX('TE_OA_20200805_INTRDY_2020-08-0'!$Q$2:$Q$870,MATCH(Filter!B140,'TE_OA_20200805_INTRDY_2020-08-0'!$G$2:$G$870))</f>
        <v>3930</v>
      </c>
      <c r="J140">
        <f>INDEX('TE_OA_20200805_INTRDY_2020-08-0'!$R$2:$R$870,MATCH(Filter!B140,'TE_OA_20200805_INTRDY_2020-08-0'!$G$2:$G$870))</f>
        <v>5</v>
      </c>
    </row>
    <row r="141" spans="1:10" x14ac:dyDescent="0.25">
      <c r="A141" t="str">
        <f>INDEX('Pipe Table'!$E$2:$E$10,MATCH(INDEX('TE_OA_20200805_INTRDY_2020-08-0'!$T$2:$T$870,MATCH(Filter!B141,'TE_OA_20200805_INTRDY_2020-08-0'!$G$2:$G$870,0)),'Pipe Table'!$D$2:$D$10,0))</f>
        <v>TETCO</v>
      </c>
      <c r="B141">
        <v>70930</v>
      </c>
      <c r="C141" t="str">
        <f>INDEX('TE_OA_20200805_INTRDY_2020-08-0'!$J$2:$J$870,MATCH(Filter!B141,'TE_OA_20200805_INTRDY_2020-08-0'!$G$2:$G$870))</f>
        <v>Receipt</v>
      </c>
      <c r="D141" t="str">
        <f>INDEX('Pipe Table'!$B$2:$B$14,MATCH(INDEX(TeAllPoints!$I$2:$I$957,MATCH(Filter!B141,TeAllPoints!$B$2:$B$957,0)),'Pipe Table'!$A$2:$A$14,0))</f>
        <v>Wellhead</v>
      </c>
      <c r="E141" t="str">
        <f>INDEX('TE_OA_20200805_INTRDY_2020-08-0'!$H$2:$H$870,MATCH(Filter!B141,'TE_OA_20200805_INTRDY_2020-08-0'!$G$2:$G$870))</f>
        <v>Texaco - Altair, Colorado Co., TX</v>
      </c>
      <c r="F141" t="str">
        <f>INDEX('Pipe Table'!$H$2:$H$8,MATCH('TE_OA_20200805_INTRDY_2020-08-0'!I122,'Pipe Table'!$G$2:$G$8,0))</f>
        <v>TETCO-STX</v>
      </c>
      <c r="G141" t="str">
        <f>INDEX(TeAllPoints!$D$2:$D$957,MATCH(Filter!B141,TeAllPoints!$B$2:$B$957,0))</f>
        <v>TX</v>
      </c>
      <c r="H141" t="str">
        <f>INDEX(TeAllPoints!$E$2:$E$957,MATCH(Filter!B141,TeAllPoints!$B$2:$B$957,0))</f>
        <v>COLORADO</v>
      </c>
      <c r="I141">
        <f>INDEX('TE_OA_20200805_INTRDY_2020-08-0'!$Q$2:$Q$870,MATCH(Filter!B141,'TE_OA_20200805_INTRDY_2020-08-0'!$G$2:$G$870))</f>
        <v>16112</v>
      </c>
      <c r="J141">
        <f>INDEX('TE_OA_20200805_INTRDY_2020-08-0'!$R$2:$R$870,MATCH(Filter!B141,'TE_OA_20200805_INTRDY_2020-08-0'!$G$2:$G$870))</f>
        <v>0</v>
      </c>
    </row>
    <row r="142" spans="1:10" x14ac:dyDescent="0.25">
      <c r="A142" t="str">
        <f>INDEX('Pipe Table'!$E$2:$E$10,MATCH(INDEX('TE_OA_20200805_INTRDY_2020-08-0'!$T$2:$T$870,MATCH(Filter!B142,'TE_OA_20200805_INTRDY_2020-08-0'!$G$2:$G$870,0)),'Pipe Table'!$D$2:$D$10,0))</f>
        <v>TETCO</v>
      </c>
      <c r="B142">
        <v>70937</v>
      </c>
      <c r="C142" t="str">
        <f>INDEX('TE_OA_20200805_INTRDY_2020-08-0'!$J$2:$J$870,MATCH(Filter!B142,'TE_OA_20200805_INTRDY_2020-08-0'!$G$2:$G$870))</f>
        <v>Delivery</v>
      </c>
      <c r="D142" t="str">
        <f>INDEX('Pipe Table'!$B$2:$B$14,MATCH(INDEX(TeAllPoints!$I$2:$I$957,MATCH(Filter!B142,TeAllPoints!$B$2:$B$957,0)),'Pipe Table'!$A$2:$A$14,0))</f>
        <v>LDC</v>
      </c>
      <c r="E142" t="str">
        <f>INDEX('TE_OA_20200805_INTRDY_2020-08-0'!$H$2:$H$870,MATCH(Filter!B142,'TE_OA_20200805_INTRDY_2020-08-0'!$G$2:$G$870))</f>
        <v>Consumers Gas Co. - Omaha, IL</v>
      </c>
      <c r="F142" t="str">
        <f>INDEX('Pipe Table'!$H$2:$H$8,MATCH('TE_OA_20200805_INTRDY_2020-08-0'!I123,'Pipe Table'!$G$2:$G$8,0))</f>
        <v>TETCO-M1</v>
      </c>
      <c r="G142" t="str">
        <f>INDEX(TeAllPoints!$D$2:$D$957,MATCH(Filter!B142,TeAllPoints!$B$2:$B$957,0))</f>
        <v>IL</v>
      </c>
      <c r="H142" t="str">
        <f>INDEX(TeAllPoints!$E$2:$E$957,MATCH(Filter!B142,TeAllPoints!$B$2:$B$957,0))</f>
        <v>WHITE</v>
      </c>
      <c r="I142">
        <f>INDEX('TE_OA_20200805_INTRDY_2020-08-0'!$Q$2:$Q$870,MATCH(Filter!B142,'TE_OA_20200805_INTRDY_2020-08-0'!$G$2:$G$870))</f>
        <v>9169</v>
      </c>
      <c r="J142">
        <f>INDEX('TE_OA_20200805_INTRDY_2020-08-0'!$R$2:$R$870,MATCH(Filter!B142,'TE_OA_20200805_INTRDY_2020-08-0'!$G$2:$G$870))</f>
        <v>40</v>
      </c>
    </row>
    <row r="143" spans="1:10" x14ac:dyDescent="0.25">
      <c r="A143" t="str">
        <f>INDEX('Pipe Table'!$E$2:$E$10,MATCH(INDEX('TE_OA_20200805_INTRDY_2020-08-0'!$T$2:$T$870,MATCH(Filter!B143,'TE_OA_20200805_INTRDY_2020-08-0'!$G$2:$G$870,0)),'Pipe Table'!$D$2:$D$10,0))</f>
        <v>TETCO</v>
      </c>
      <c r="B143">
        <v>70939</v>
      </c>
      <c r="C143" t="str">
        <f>INDEX('TE_OA_20200805_INTRDY_2020-08-0'!$J$2:$J$870,MATCH(Filter!B143,'TE_OA_20200805_INTRDY_2020-08-0'!$G$2:$G$870))</f>
        <v>Delivery</v>
      </c>
      <c r="D143" t="str">
        <f>INDEX('Pipe Table'!$B$2:$B$14,MATCH(INDEX(TeAllPoints!$I$2:$I$957,MATCH(Filter!B143,TeAllPoints!$B$2:$B$957,0)),'Pipe Table'!$A$2:$A$14,0))</f>
        <v>LDC</v>
      </c>
      <c r="E143" t="str">
        <f>INDEX('TE_OA_20200805_INTRDY_2020-08-0'!$H$2:$H$870,MATCH(Filter!B143,'TE_OA_20200805_INTRDY_2020-08-0'!$G$2:$G$870))</f>
        <v>Indiana Gas - French Lick, IN</v>
      </c>
      <c r="F143" t="str">
        <f>INDEX('Pipe Table'!$H$2:$H$8,MATCH('TE_OA_20200805_INTRDY_2020-08-0'!I124,'Pipe Table'!$G$2:$G$8,0))</f>
        <v>TETCO-M2</v>
      </c>
      <c r="G143" t="str">
        <f>INDEX(TeAllPoints!$D$2:$D$957,MATCH(Filter!B143,TeAllPoints!$B$2:$B$957,0))</f>
        <v>IN</v>
      </c>
      <c r="H143" t="str">
        <f>INDEX(TeAllPoints!$E$2:$E$957,MATCH(Filter!B143,TeAllPoints!$B$2:$B$957,0))</f>
        <v>ORANGE</v>
      </c>
      <c r="I143">
        <f>INDEX('TE_OA_20200805_INTRDY_2020-08-0'!$Q$2:$Q$870,MATCH(Filter!B143,'TE_OA_20200805_INTRDY_2020-08-0'!$G$2:$G$870))</f>
        <v>3844</v>
      </c>
      <c r="J143">
        <f>INDEX('TE_OA_20200805_INTRDY_2020-08-0'!$R$2:$R$870,MATCH(Filter!B143,'TE_OA_20200805_INTRDY_2020-08-0'!$G$2:$G$870))</f>
        <v>305</v>
      </c>
    </row>
    <row r="144" spans="1:10" x14ac:dyDescent="0.25">
      <c r="A144" t="str">
        <f>INDEX('Pipe Table'!$E$2:$E$10,MATCH(INDEX('TE_OA_20200805_INTRDY_2020-08-0'!$T$2:$T$870,MATCH(Filter!B144,'TE_OA_20200805_INTRDY_2020-08-0'!$G$2:$G$870,0)),'Pipe Table'!$D$2:$D$10,0))</f>
        <v>TETCO</v>
      </c>
      <c r="B144">
        <v>70940</v>
      </c>
      <c r="C144" t="str">
        <f>INDEX('TE_OA_20200805_INTRDY_2020-08-0'!$J$2:$J$870,MATCH(Filter!B144,'TE_OA_20200805_INTRDY_2020-08-0'!$G$2:$G$870))</f>
        <v>Delivery</v>
      </c>
      <c r="D144" t="str">
        <f>INDEX('Pipe Table'!$B$2:$B$14,MATCH(INDEX(TeAllPoints!$I$2:$I$957,MATCH(Filter!B144,TeAllPoints!$B$2:$B$957,0)),'Pipe Table'!$A$2:$A$14,0))</f>
        <v>LDC</v>
      </c>
      <c r="E144" t="str">
        <f>INDEX('TE_OA_20200805_INTRDY_2020-08-0'!$H$2:$H$870,MATCH(Filter!B144,'TE_OA_20200805_INTRDY_2020-08-0'!$G$2:$G$870))</f>
        <v>Indiana Gas Co. - Westport, IN</v>
      </c>
      <c r="F144" t="str">
        <f>INDEX('Pipe Table'!$H$2:$H$8,MATCH('TE_OA_20200805_INTRDY_2020-08-0'!I125,'Pipe Table'!$G$2:$G$8,0))</f>
        <v>TETCO-M2</v>
      </c>
      <c r="G144" t="str">
        <f>INDEX(TeAllPoints!$D$2:$D$957,MATCH(Filter!B144,TeAllPoints!$B$2:$B$957,0))</f>
        <v>IN</v>
      </c>
      <c r="H144" t="str">
        <f>INDEX(TeAllPoints!$E$2:$E$957,MATCH(Filter!B144,TeAllPoints!$B$2:$B$957,0))</f>
        <v>DECATUR</v>
      </c>
      <c r="I144">
        <f>INDEX('TE_OA_20200805_INTRDY_2020-08-0'!$Q$2:$Q$870,MATCH(Filter!B144,'TE_OA_20200805_INTRDY_2020-08-0'!$G$2:$G$870))</f>
        <v>2488</v>
      </c>
      <c r="J144">
        <f>INDEX('TE_OA_20200805_INTRDY_2020-08-0'!$R$2:$R$870,MATCH(Filter!B144,'TE_OA_20200805_INTRDY_2020-08-0'!$G$2:$G$870))</f>
        <v>0</v>
      </c>
    </row>
    <row r="145" spans="1:10" x14ac:dyDescent="0.25">
      <c r="A145" t="str">
        <f>INDEX('Pipe Table'!$E$2:$E$10,MATCH(INDEX('TE_OA_20200805_INTRDY_2020-08-0'!$T$2:$T$870,MATCH(Filter!B145,'TE_OA_20200805_INTRDY_2020-08-0'!$G$2:$G$870,0)),'Pipe Table'!$D$2:$D$10,0))</f>
        <v>TETCO</v>
      </c>
      <c r="B145">
        <v>70941</v>
      </c>
      <c r="C145" t="str">
        <f>INDEX('TE_OA_20200805_INTRDY_2020-08-0'!$J$2:$J$870,MATCH(Filter!B145,'TE_OA_20200805_INTRDY_2020-08-0'!$G$2:$G$870))</f>
        <v>Delivery</v>
      </c>
      <c r="D145" t="str">
        <f>INDEX('Pipe Table'!$B$2:$B$14,MATCH(INDEX(TeAllPoints!$I$2:$I$957,MATCH(Filter!B145,TeAllPoints!$B$2:$B$957,0)),'Pipe Table'!$A$2:$A$14,0))</f>
        <v>LDC</v>
      </c>
      <c r="E145" t="str">
        <f>INDEX('TE_OA_20200805_INTRDY_2020-08-0'!$H$2:$H$870,MATCH(Filter!B145,'TE_OA_20200805_INTRDY_2020-08-0'!$G$2:$G$870))</f>
        <v>Lawrenceburg Gas, IN</v>
      </c>
      <c r="F145" t="str">
        <f>INDEX('Pipe Table'!$H$2:$H$8,MATCH('TE_OA_20200805_INTRDY_2020-08-0'!I126,'Pipe Table'!$G$2:$G$8,0))</f>
        <v>TETCO-M2</v>
      </c>
      <c r="G145" t="str">
        <f>INDEX(TeAllPoints!$D$2:$D$957,MATCH(Filter!B145,TeAllPoints!$B$2:$B$957,0))</f>
        <v>IN</v>
      </c>
      <c r="H145" t="str">
        <f>INDEX(TeAllPoints!$E$2:$E$957,MATCH(Filter!B145,TeAllPoints!$B$2:$B$957,0))</f>
        <v>FRANKLIN</v>
      </c>
      <c r="I145">
        <f>INDEX('TE_OA_20200805_INTRDY_2020-08-0'!$Q$2:$Q$870,MATCH(Filter!B145,'TE_OA_20200805_INTRDY_2020-08-0'!$G$2:$G$870))</f>
        <v>2348</v>
      </c>
      <c r="J145">
        <f>INDEX('TE_OA_20200805_INTRDY_2020-08-0'!$R$2:$R$870,MATCH(Filter!B145,'TE_OA_20200805_INTRDY_2020-08-0'!$G$2:$G$870))</f>
        <v>145</v>
      </c>
    </row>
    <row r="146" spans="1:10" x14ac:dyDescent="0.25">
      <c r="A146" t="str">
        <f>INDEX('Pipe Table'!$E$2:$E$10,MATCH(INDEX('TE_OA_20200805_INTRDY_2020-08-0'!$T$2:$T$870,MATCH(Filter!B146,'TE_OA_20200805_INTRDY_2020-08-0'!$G$2:$G$870,0)),'Pipe Table'!$D$2:$D$10,0))</f>
        <v>TETCO</v>
      </c>
      <c r="B146">
        <v>70949</v>
      </c>
      <c r="C146" t="str">
        <f>INDEX('TE_OA_20200805_INTRDY_2020-08-0'!$J$2:$J$870,MATCH(Filter!B146,'TE_OA_20200805_INTRDY_2020-08-0'!$G$2:$G$870))</f>
        <v>Delivery</v>
      </c>
      <c r="D146" t="str">
        <f>INDEX('Pipe Table'!$B$2:$B$14,MATCH(INDEX(TeAllPoints!$I$2:$I$957,MATCH(Filter!B146,TeAllPoints!$B$2:$B$957,0)),'Pipe Table'!$A$2:$A$14,0))</f>
        <v>LDC</v>
      </c>
      <c r="E146" t="str">
        <f>INDEX('TE_OA_20200805_INTRDY_2020-08-0'!$H$2:$H$870,MATCH(Filter!B146,'TE_OA_20200805_INTRDY_2020-08-0'!$G$2:$G$870))</f>
        <v>Public Service - Hanover, NJ</v>
      </c>
      <c r="F146" t="str">
        <f>INDEX('Pipe Table'!$H$2:$H$8,MATCH('TE_OA_20200805_INTRDY_2020-08-0'!I127,'Pipe Table'!$G$2:$G$8,0))</f>
        <v>TETCO-M3</v>
      </c>
      <c r="G146" t="str">
        <f>INDEX(TeAllPoints!$D$2:$D$957,MATCH(Filter!B146,TeAllPoints!$B$2:$B$957,0))</f>
        <v>NJ</v>
      </c>
      <c r="H146" t="str">
        <f>INDEX(TeAllPoints!$E$2:$E$957,MATCH(Filter!B146,TeAllPoints!$B$2:$B$957,0))</f>
        <v>MORRIS</v>
      </c>
      <c r="I146">
        <f>INDEX('TE_OA_20200805_INTRDY_2020-08-0'!$Q$2:$Q$870,MATCH(Filter!B146,'TE_OA_20200805_INTRDY_2020-08-0'!$G$2:$G$870))</f>
        <v>173340</v>
      </c>
      <c r="J146">
        <f>INDEX('TE_OA_20200805_INTRDY_2020-08-0'!$R$2:$R$870,MATCH(Filter!B146,'TE_OA_20200805_INTRDY_2020-08-0'!$G$2:$G$870))</f>
        <v>0</v>
      </c>
    </row>
    <row r="147" spans="1:10" x14ac:dyDescent="0.25">
      <c r="A147" t="str">
        <f>INDEX('Pipe Table'!$E$2:$E$10,MATCH(INDEX('TE_OA_20200805_INTRDY_2020-08-0'!$T$2:$T$870,MATCH(Filter!B147,'TE_OA_20200805_INTRDY_2020-08-0'!$G$2:$G$870,0)),'Pipe Table'!$D$2:$D$10,0))</f>
        <v>TETCO</v>
      </c>
      <c r="B147">
        <v>70953</v>
      </c>
      <c r="C147" t="str">
        <f>INDEX('TE_OA_20200805_INTRDY_2020-08-0'!$J$2:$J$870,MATCH(Filter!B147,'TE_OA_20200805_INTRDY_2020-08-0'!$G$2:$G$870))</f>
        <v>Delivery</v>
      </c>
      <c r="D147" t="str">
        <f>INDEX('Pipe Table'!$B$2:$B$14,MATCH(INDEX(TeAllPoints!$I$2:$I$957,MATCH(Filter!B147,TeAllPoints!$B$2:$B$957,0)),'Pipe Table'!$A$2:$A$14,0))</f>
        <v>LDC</v>
      </c>
      <c r="E147" t="str">
        <f>INDEX('TE_OA_20200805_INTRDY_2020-08-0'!$H$2:$H$870,MATCH(Filter!B147,'TE_OA_20200805_INTRDY_2020-08-0'!$G$2:$G$870))</f>
        <v>New Jersey Natural - Freehold, NJ</v>
      </c>
      <c r="F147" t="str">
        <f>INDEX('Pipe Table'!$H$2:$H$8,MATCH('TE_OA_20200805_INTRDY_2020-08-0'!I128,'Pipe Table'!$G$2:$G$8,0))</f>
        <v>TETCO-M3</v>
      </c>
      <c r="G147" t="str">
        <f>INDEX(TeAllPoints!$D$2:$D$957,MATCH(Filter!B147,TeAllPoints!$B$2:$B$957,0))</f>
        <v>NJ</v>
      </c>
      <c r="H147" t="str">
        <f>INDEX(TeAllPoints!$E$2:$E$957,MATCH(Filter!B147,TeAllPoints!$B$2:$B$957,0))</f>
        <v>MIDDLESEX</v>
      </c>
      <c r="I147">
        <f>INDEX('TE_OA_20200805_INTRDY_2020-08-0'!$Q$2:$Q$870,MATCH(Filter!B147,'TE_OA_20200805_INTRDY_2020-08-0'!$G$2:$G$870))</f>
        <v>658803</v>
      </c>
      <c r="J147">
        <f>INDEX('TE_OA_20200805_INTRDY_2020-08-0'!$R$2:$R$870,MATCH(Filter!B147,'TE_OA_20200805_INTRDY_2020-08-0'!$G$2:$G$870))</f>
        <v>183938</v>
      </c>
    </row>
    <row r="148" spans="1:10" x14ac:dyDescent="0.25">
      <c r="A148" t="str">
        <f>INDEX('Pipe Table'!$E$2:$E$10,MATCH(INDEX('TE_OA_20200805_INTRDY_2020-08-0'!$T$2:$T$870,MATCH(Filter!B148,'TE_OA_20200805_INTRDY_2020-08-0'!$G$2:$G$870,0)),'Pipe Table'!$D$2:$D$10,0))</f>
        <v>TETCO</v>
      </c>
      <c r="B148">
        <v>70958</v>
      </c>
      <c r="C148" t="str">
        <f>INDEX('TE_OA_20200805_INTRDY_2020-08-0'!$J$2:$J$870,MATCH(Filter!B148,'TE_OA_20200805_INTRDY_2020-08-0'!$G$2:$G$870))</f>
        <v>Receipt</v>
      </c>
      <c r="D148" t="str">
        <f>INDEX('Pipe Table'!$B$2:$B$14,MATCH(INDEX(TeAllPoints!$I$2:$I$957,MATCH(Filter!B148,TeAllPoints!$B$2:$B$957,0)),'Pipe Table'!$A$2:$A$14,0))</f>
        <v>Wellhead</v>
      </c>
      <c r="E148" t="str">
        <f>INDEX('TE_OA_20200805_INTRDY_2020-08-0'!$H$2:$H$870,MATCH(Filter!B148,'TE_OA_20200805_INTRDY_2020-08-0'!$G$2:$G$870))</f>
        <v>Hurst - Siloam, MS</v>
      </c>
      <c r="F148" t="str">
        <f>INDEX('Pipe Table'!$H$2:$H$8,MATCH('TE_OA_20200805_INTRDY_2020-08-0'!I129,'Pipe Table'!$G$2:$G$8,0))</f>
        <v>TETCO-M1</v>
      </c>
      <c r="G148" t="str">
        <f>INDEX(TeAllPoints!$D$2:$D$957,MATCH(Filter!B148,TeAllPoints!$B$2:$B$957,0))</f>
        <v>MS</v>
      </c>
      <c r="H148" t="str">
        <f>INDEX(TeAllPoints!$E$2:$E$957,MATCH(Filter!B148,TeAllPoints!$B$2:$B$957,0))</f>
        <v>CLAY</v>
      </c>
      <c r="I148">
        <f>INDEX('TE_OA_20200805_INTRDY_2020-08-0'!$Q$2:$Q$870,MATCH(Filter!B148,'TE_OA_20200805_INTRDY_2020-08-0'!$G$2:$G$870))</f>
        <v>10089</v>
      </c>
      <c r="J148">
        <f>INDEX('TE_OA_20200805_INTRDY_2020-08-0'!$R$2:$R$870,MATCH(Filter!B148,'TE_OA_20200805_INTRDY_2020-08-0'!$G$2:$G$870))</f>
        <v>0</v>
      </c>
    </row>
    <row r="149" spans="1:10" x14ac:dyDescent="0.25">
      <c r="A149" t="str">
        <f>INDEX('Pipe Table'!$E$2:$E$10,MATCH(INDEX('TE_OA_20200805_INTRDY_2020-08-0'!$T$2:$T$870,MATCH(Filter!B149,'TE_OA_20200805_INTRDY_2020-08-0'!$G$2:$G$870,0)),'Pipe Table'!$D$2:$D$10,0))</f>
        <v>TETCO</v>
      </c>
      <c r="B149">
        <v>70970</v>
      </c>
      <c r="C149" t="str">
        <f>INDEX('TE_OA_20200805_INTRDY_2020-08-0'!$J$2:$J$870,MATCH(Filter!B149,'TE_OA_20200805_INTRDY_2020-08-0'!$G$2:$G$870))</f>
        <v>Receipt</v>
      </c>
      <c r="D149" t="str">
        <f>INDEX('Pipe Table'!$B$2:$B$14,MATCH(INDEX(TeAllPoints!$I$2:$I$957,MATCH(Filter!B149,TeAllPoints!$B$2:$B$957,0)),'Pipe Table'!$A$2:$A$14,0))</f>
        <v>GsPlnt</v>
      </c>
      <c r="E149" t="str">
        <f>INDEX('TE_OA_20200805_INTRDY_2020-08-0'!$H$2:$H$870,MATCH(Filter!B149,'TE_OA_20200805_INTRDY_2020-08-0'!$G$2:$G$870))</f>
        <v>NGC Energy Resources - Sligo Gas Plant, LA  (Receipt)</v>
      </c>
      <c r="F149" t="str">
        <f>INDEX('Pipe Table'!$H$2:$H$8,MATCH('TE_OA_20200805_INTRDY_2020-08-0'!I130,'Pipe Table'!$G$2:$G$8,0))</f>
        <v>TETCO-ETX</v>
      </c>
      <c r="G149" t="str">
        <f>INDEX(TeAllPoints!$D$2:$D$957,MATCH(Filter!B149,TeAllPoints!$B$2:$B$957,0))</f>
        <v>LA</v>
      </c>
      <c r="H149" t="str">
        <f>INDEX(TeAllPoints!$E$2:$E$957,MATCH(Filter!B149,TeAllPoints!$B$2:$B$957,0))</f>
        <v>BOSSIER</v>
      </c>
      <c r="I149">
        <f>INDEX('TE_OA_20200805_INTRDY_2020-08-0'!$Q$2:$Q$870,MATCH(Filter!B149,'TE_OA_20200805_INTRDY_2020-08-0'!$G$2:$G$870))</f>
        <v>134771</v>
      </c>
      <c r="J149">
        <f>INDEX('TE_OA_20200805_INTRDY_2020-08-0'!$R$2:$R$870,MATCH(Filter!B149,'TE_OA_20200805_INTRDY_2020-08-0'!$G$2:$G$870))</f>
        <v>0</v>
      </c>
    </row>
    <row r="150" spans="1:10" x14ac:dyDescent="0.25">
      <c r="A150" t="str">
        <f>INDEX('Pipe Table'!$E$2:$E$10,MATCH(INDEX('TE_OA_20200805_INTRDY_2020-08-0'!$T$2:$T$870,MATCH(Filter!B150,'TE_OA_20200805_INTRDY_2020-08-0'!$G$2:$G$870,0)),'Pipe Table'!$D$2:$D$10,0))</f>
        <v>TETCO</v>
      </c>
      <c r="B150">
        <v>70983</v>
      </c>
      <c r="C150" t="str">
        <f>INDEX('TE_OA_20200805_INTRDY_2020-08-0'!$J$2:$J$870,MATCH(Filter!B150,'TE_OA_20200805_INTRDY_2020-08-0'!$G$2:$G$870))</f>
        <v>Delivery</v>
      </c>
      <c r="D150" t="str">
        <f>INDEX('Pipe Table'!$B$2:$B$14,MATCH(INDEX(TeAllPoints!$I$2:$I$957,MATCH(Filter!B150,TeAllPoints!$B$2:$B$957,0)),'Pipe Table'!$A$2:$A$14,0))</f>
        <v>Intrcnnct</v>
      </c>
      <c r="E150" t="str">
        <f>INDEX('TE_OA_20200805_INTRDY_2020-08-0'!$H$2:$H$870,MATCH(Filter!B150,'TE_OA_20200805_INTRDY_2020-08-0'!$G$2:$G$870))</f>
        <v>Dominion Transmission Inc - Powhatan Point, OH</v>
      </c>
      <c r="F150" t="str">
        <f>INDEX('Pipe Table'!$H$2:$H$8,MATCH('TE_OA_20200805_INTRDY_2020-08-0'!I131,'Pipe Table'!$G$2:$G$8,0))</f>
        <v>TETCO-M2</v>
      </c>
      <c r="G150" t="str">
        <f>INDEX(TeAllPoints!$D$2:$D$957,MATCH(Filter!B150,TeAllPoints!$B$2:$B$957,0))</f>
        <v>OH</v>
      </c>
      <c r="H150" t="str">
        <f>INDEX(TeAllPoints!$E$2:$E$957,MATCH(Filter!B150,TeAllPoints!$B$2:$B$957,0))</f>
        <v>MONROE</v>
      </c>
      <c r="I150">
        <f>INDEX('TE_OA_20200805_INTRDY_2020-08-0'!$Q$2:$Q$870,MATCH(Filter!B150,'TE_OA_20200805_INTRDY_2020-08-0'!$G$2:$G$870))</f>
        <v>11852</v>
      </c>
      <c r="J150">
        <f>INDEX('TE_OA_20200805_INTRDY_2020-08-0'!$R$2:$R$870,MATCH(Filter!B150,'TE_OA_20200805_INTRDY_2020-08-0'!$G$2:$G$870))</f>
        <v>33</v>
      </c>
    </row>
    <row r="151" spans="1:10" x14ac:dyDescent="0.25">
      <c r="A151" t="str">
        <f>INDEX('Pipe Table'!$E$2:$E$10,MATCH(INDEX('TE_OA_20200805_INTRDY_2020-08-0'!$T$2:$T$870,MATCH(Filter!B151,'TE_OA_20200805_INTRDY_2020-08-0'!$G$2:$G$870,0)),'Pipe Table'!$D$2:$D$10,0))</f>
        <v>TETCO</v>
      </c>
      <c r="B151">
        <v>70984</v>
      </c>
      <c r="C151" t="str">
        <f>INDEX('TE_OA_20200805_INTRDY_2020-08-0'!$J$2:$J$870,MATCH(Filter!B151,'TE_OA_20200805_INTRDY_2020-08-0'!$G$2:$G$870))</f>
        <v>Delivery</v>
      </c>
      <c r="D151" t="str">
        <f>INDEX('Pipe Table'!$B$2:$B$14,MATCH(INDEX(TeAllPoints!$I$2:$I$957,MATCH(Filter!B151,TeAllPoints!$B$2:$B$957,0)),'Pipe Table'!$A$2:$A$14,0))</f>
        <v>Intrcnnct</v>
      </c>
      <c r="E151" t="str">
        <f>INDEX('TE_OA_20200805_INTRDY_2020-08-0'!$H$2:$H$870,MATCH(Filter!B151,'TE_OA_20200805_INTRDY_2020-08-0'!$G$2:$G$870))</f>
        <v>Columbia Gas - New Holland, OH</v>
      </c>
      <c r="F151" t="str">
        <f>INDEX('Pipe Table'!$H$2:$H$8,MATCH('TE_OA_20200805_INTRDY_2020-08-0'!I132,'Pipe Table'!$G$2:$G$8,0))</f>
        <v>TETCO-M2</v>
      </c>
      <c r="G151" t="str">
        <f>INDEX(TeAllPoints!$D$2:$D$957,MATCH(Filter!B151,TeAllPoints!$B$2:$B$957,0))</f>
        <v>OH</v>
      </c>
      <c r="H151" t="str">
        <f>INDEX(TeAllPoints!$E$2:$E$957,MATCH(Filter!B151,TeAllPoints!$B$2:$B$957,0))</f>
        <v>FAYETTE</v>
      </c>
      <c r="I151">
        <f>INDEX('TE_OA_20200805_INTRDY_2020-08-0'!$Q$2:$Q$870,MATCH(Filter!B151,'TE_OA_20200805_INTRDY_2020-08-0'!$G$2:$G$870))</f>
        <v>7521</v>
      </c>
      <c r="J151">
        <f>INDEX('TE_OA_20200805_INTRDY_2020-08-0'!$R$2:$R$870,MATCH(Filter!B151,'TE_OA_20200805_INTRDY_2020-08-0'!$G$2:$G$870))</f>
        <v>0</v>
      </c>
    </row>
    <row r="152" spans="1:10" x14ac:dyDescent="0.25">
      <c r="A152" t="str">
        <f>INDEX('Pipe Table'!$E$2:$E$10,MATCH(INDEX('TE_OA_20200805_INTRDY_2020-08-0'!$T$2:$T$870,MATCH(Filter!B152,'TE_OA_20200805_INTRDY_2020-08-0'!$G$2:$G$870,0)),'Pipe Table'!$D$2:$D$10,0))</f>
        <v>TETCO</v>
      </c>
      <c r="B152">
        <v>71000</v>
      </c>
      <c r="C152" t="str">
        <f>INDEX('TE_OA_20200805_INTRDY_2020-08-0'!$J$2:$J$870,MATCH(Filter!B152,'TE_OA_20200805_INTRDY_2020-08-0'!$G$2:$G$870))</f>
        <v>Receipt</v>
      </c>
      <c r="D152" t="str">
        <f>INDEX('Pipe Table'!$B$2:$B$14,MATCH(INDEX(TeAllPoints!$I$2:$I$957,MATCH(Filter!B152,TeAllPoints!$B$2:$B$957,0)),'Pipe Table'!$A$2:$A$14,0))</f>
        <v>Intrcnnct</v>
      </c>
      <c r="E152" t="str">
        <f>INDEX('TE_OA_20200805_INTRDY_2020-08-0'!$H$2:$H$870,MATCH(Filter!B152,'TE_OA_20200805_INTRDY_2020-08-0'!$G$2:$G$870))</f>
        <v>Gulf South Pipeline Company, LP - West Monroe, LA  (Receipt)</v>
      </c>
      <c r="F152" t="str">
        <f>INDEX('Pipe Table'!$H$2:$H$8,MATCH('TE_OA_20200805_INTRDY_2020-08-0'!I133,'Pipe Table'!$G$2:$G$8,0))</f>
        <v>TETCO-ELA</v>
      </c>
      <c r="G152" t="str">
        <f>INDEX(TeAllPoints!$D$2:$D$957,MATCH(Filter!B152,TeAllPoints!$B$2:$B$957,0))</f>
        <v>LA</v>
      </c>
      <c r="H152" t="str">
        <f>INDEX(TeAllPoints!$E$2:$E$957,MATCH(Filter!B152,TeAllPoints!$B$2:$B$957,0))</f>
        <v>OUACHITA</v>
      </c>
      <c r="I152">
        <f>INDEX('TE_OA_20200805_INTRDY_2020-08-0'!$Q$2:$Q$870,MATCH(Filter!B152,'TE_OA_20200805_INTRDY_2020-08-0'!$G$2:$G$870))</f>
        <v>243324</v>
      </c>
      <c r="J152">
        <f>INDEX('TE_OA_20200805_INTRDY_2020-08-0'!$R$2:$R$870,MATCH(Filter!B152,'TE_OA_20200805_INTRDY_2020-08-0'!$G$2:$G$870))</f>
        <v>0</v>
      </c>
    </row>
    <row r="153" spans="1:10" x14ac:dyDescent="0.25">
      <c r="A153" t="str">
        <f>INDEX('Pipe Table'!$E$2:$E$10,MATCH(INDEX('TE_OA_20200805_INTRDY_2020-08-0'!$T$2:$T$870,MATCH(Filter!B153,'TE_OA_20200805_INTRDY_2020-08-0'!$G$2:$G$870,0)),'Pipe Table'!$D$2:$D$10,0))</f>
        <v>TETCO</v>
      </c>
      <c r="B153">
        <v>71020</v>
      </c>
      <c r="C153" t="str">
        <f>INDEX('TE_OA_20200805_INTRDY_2020-08-0'!$J$2:$J$870,MATCH(Filter!B153,'TE_OA_20200805_INTRDY_2020-08-0'!$G$2:$G$870))</f>
        <v>Delivery</v>
      </c>
      <c r="D153" t="str">
        <f>INDEX('Pipe Table'!$B$2:$B$14,MATCH(INDEX(TeAllPoints!$I$2:$I$957,MATCH(Filter!B153,TeAllPoints!$B$2:$B$957,0)),'Pipe Table'!$A$2:$A$14,0))</f>
        <v>LDC</v>
      </c>
      <c r="E153" t="str">
        <f>INDEX('TE_OA_20200805_INTRDY_2020-08-0'!$H$2:$H$870,MATCH(Filter!B153,'TE_OA_20200805_INTRDY_2020-08-0'!$G$2:$G$870))</f>
        <v>TE Princeton - Princeton, IN</v>
      </c>
      <c r="F153" t="str">
        <f>INDEX('Pipe Table'!$H$2:$H$8,MATCH('TE_OA_20200805_INTRDY_2020-08-0'!I134,'Pipe Table'!$G$2:$G$8,0))</f>
        <v>TETCO-M2</v>
      </c>
      <c r="G153" t="str">
        <f>INDEX(TeAllPoints!$D$2:$D$957,MATCH(Filter!B153,TeAllPoints!$B$2:$B$957,0))</f>
        <v>IN</v>
      </c>
      <c r="H153" t="str">
        <f>INDEX(TeAllPoints!$E$2:$E$957,MATCH(Filter!B153,TeAllPoints!$B$2:$B$957,0))</f>
        <v>GIBSON</v>
      </c>
      <c r="I153">
        <f>INDEX('TE_OA_20200805_INTRDY_2020-08-0'!$Q$2:$Q$870,MATCH(Filter!B153,'TE_OA_20200805_INTRDY_2020-08-0'!$G$2:$G$870))</f>
        <v>944</v>
      </c>
      <c r="J153">
        <f>INDEX('TE_OA_20200805_INTRDY_2020-08-0'!$R$2:$R$870,MATCH(Filter!B153,'TE_OA_20200805_INTRDY_2020-08-0'!$G$2:$G$870))</f>
        <v>1</v>
      </c>
    </row>
    <row r="154" spans="1:10" x14ac:dyDescent="0.25">
      <c r="A154" t="str">
        <f>INDEX('Pipe Table'!$E$2:$E$10,MATCH(INDEX('TE_OA_20200805_INTRDY_2020-08-0'!$T$2:$T$870,MATCH(Filter!B154,'TE_OA_20200805_INTRDY_2020-08-0'!$G$2:$G$870,0)),'Pipe Table'!$D$2:$D$10,0))</f>
        <v>TETCO</v>
      </c>
      <c r="B154">
        <v>71028</v>
      </c>
      <c r="C154" t="str">
        <f>INDEX('TE_OA_20200805_INTRDY_2020-08-0'!$J$2:$J$870,MATCH(Filter!B154,'TE_OA_20200805_INTRDY_2020-08-0'!$G$2:$G$870))</f>
        <v>Delivery</v>
      </c>
      <c r="D154" t="str">
        <f>INDEX('Pipe Table'!$B$2:$B$14,MATCH(INDEX(TeAllPoints!$I$2:$I$957,MATCH(Filter!B154,TeAllPoints!$B$2:$B$957,0)),'Pipe Table'!$A$2:$A$14,0))</f>
        <v>Intrcnnct</v>
      </c>
      <c r="E154" t="str">
        <f>INDEX('TE_OA_20200805_INTRDY_2020-08-0'!$H$2:$H$870,MATCH(Filter!B154,'TE_OA_20200805_INTRDY_2020-08-0'!$G$2:$G$870))</f>
        <v>Col Gas (DPL) -Bowersville, OH</v>
      </c>
      <c r="F154" t="str">
        <f>INDEX('Pipe Table'!$H$2:$H$8,MATCH('TE_OA_20200805_INTRDY_2020-08-0'!I135,'Pipe Table'!$G$2:$G$8,0))</f>
        <v>TETCO-M2</v>
      </c>
      <c r="G154" t="str">
        <f>INDEX(TeAllPoints!$D$2:$D$957,MATCH(Filter!B154,TeAllPoints!$B$2:$B$957,0))</f>
        <v>OH</v>
      </c>
      <c r="H154" t="str">
        <f>INDEX(TeAllPoints!$E$2:$E$957,MATCH(Filter!B154,TeAllPoints!$B$2:$B$957,0))</f>
        <v>CLINTON</v>
      </c>
      <c r="I154">
        <f>INDEX('TE_OA_20200805_INTRDY_2020-08-0'!$Q$2:$Q$870,MATCH(Filter!B154,'TE_OA_20200805_INTRDY_2020-08-0'!$G$2:$G$870))</f>
        <v>1555</v>
      </c>
      <c r="J154">
        <f>INDEX('TE_OA_20200805_INTRDY_2020-08-0'!$R$2:$R$870,MATCH(Filter!B154,'TE_OA_20200805_INTRDY_2020-08-0'!$G$2:$G$870))</f>
        <v>6</v>
      </c>
    </row>
    <row r="155" spans="1:10" x14ac:dyDescent="0.25">
      <c r="A155" t="str">
        <f>INDEX('Pipe Table'!$E$2:$E$10,MATCH(INDEX('TE_OA_20200805_INTRDY_2020-08-0'!$T$2:$T$870,MATCH(Filter!B155,'TE_OA_20200805_INTRDY_2020-08-0'!$G$2:$G$870,0)),'Pipe Table'!$D$2:$D$10,0))</f>
        <v>TETCO</v>
      </c>
      <c r="B155">
        <v>71043</v>
      </c>
      <c r="C155" t="str">
        <f>INDEX('TE_OA_20200805_INTRDY_2020-08-0'!$J$2:$J$870,MATCH(Filter!B155,'TE_OA_20200805_INTRDY_2020-08-0'!$G$2:$G$870))</f>
        <v>Delivery</v>
      </c>
      <c r="D155" t="str">
        <f>INDEX('Pipe Table'!$B$2:$B$14,MATCH(INDEX(TeAllPoints!$I$2:$I$957,MATCH(Filter!B155,TeAllPoints!$B$2:$B$957,0)),'Pipe Table'!$A$2:$A$14,0))</f>
        <v>LDC</v>
      </c>
      <c r="E155" t="str">
        <f>INDEX('TE_OA_20200805_INTRDY_2020-08-0'!$H$2:$H$870,MATCH(Filter!B155,'TE_OA_20200805_INTRDY_2020-08-0'!$G$2:$G$870))</f>
        <v>Union Electric - Vanduser, MO</v>
      </c>
      <c r="F155" t="str">
        <f>INDEX('Pipe Table'!$H$2:$H$8,MATCH('TE_OA_20200805_INTRDY_2020-08-0'!I136,'Pipe Table'!$G$2:$G$8,0))</f>
        <v>TETCO-M1</v>
      </c>
      <c r="G155" t="str">
        <f>INDEX(TeAllPoints!$D$2:$D$957,MATCH(Filter!B155,TeAllPoints!$B$2:$B$957,0))</f>
        <v>MO</v>
      </c>
      <c r="H155" t="str">
        <f>INDEX(TeAllPoints!$E$2:$E$957,MATCH(Filter!B155,TeAllPoints!$B$2:$B$957,0))</f>
        <v>SCOTT</v>
      </c>
      <c r="I155">
        <f>INDEX('TE_OA_20200805_INTRDY_2020-08-0'!$Q$2:$Q$870,MATCH(Filter!B155,'TE_OA_20200805_INTRDY_2020-08-0'!$G$2:$G$870))</f>
        <v>2552</v>
      </c>
      <c r="J155">
        <f>INDEX('TE_OA_20200805_INTRDY_2020-08-0'!$R$2:$R$870,MATCH(Filter!B155,'TE_OA_20200805_INTRDY_2020-08-0'!$G$2:$G$870))</f>
        <v>0</v>
      </c>
    </row>
    <row r="156" spans="1:10" x14ac:dyDescent="0.25">
      <c r="A156" t="str">
        <f>INDEX('Pipe Table'!$E$2:$E$10,MATCH(INDEX('TE_OA_20200805_INTRDY_2020-08-0'!$T$2:$T$870,MATCH(Filter!B156,'TE_OA_20200805_INTRDY_2020-08-0'!$G$2:$G$870,0)),'Pipe Table'!$D$2:$D$10,0))</f>
        <v>TETCO</v>
      </c>
      <c r="B156">
        <v>71046</v>
      </c>
      <c r="C156" t="str">
        <f>INDEX('TE_OA_20200805_INTRDY_2020-08-0'!$J$2:$J$870,MATCH(Filter!B156,'TE_OA_20200805_INTRDY_2020-08-0'!$G$2:$G$870))</f>
        <v>Delivery</v>
      </c>
      <c r="D156" t="str">
        <f>INDEX('Pipe Table'!$B$2:$B$14,MATCH(INDEX(TeAllPoints!$I$2:$I$957,MATCH(Filter!B156,TeAllPoints!$B$2:$B$957,0)),'Pipe Table'!$A$2:$A$14,0))</f>
        <v>LDC</v>
      </c>
      <c r="E156" t="str">
        <f>INDEX('TE_OA_20200805_INTRDY_2020-08-0'!$H$2:$H$870,MATCH(Filter!B156,'TE_OA_20200805_INTRDY_2020-08-0'!$G$2:$G$870))</f>
        <v>Harrisburg, AR</v>
      </c>
      <c r="F156" t="str">
        <f>INDEX('Pipe Table'!$H$2:$H$8,MATCH('TE_OA_20200805_INTRDY_2020-08-0'!I137,'Pipe Table'!$G$2:$G$8,0))</f>
        <v>TETCO-M1</v>
      </c>
      <c r="G156" t="str">
        <f>INDEX(TeAllPoints!$D$2:$D$957,MATCH(Filter!B156,TeAllPoints!$B$2:$B$957,0))</f>
        <v>AR</v>
      </c>
      <c r="H156" t="str">
        <f>INDEX(TeAllPoints!$E$2:$E$957,MATCH(Filter!B156,TeAllPoints!$B$2:$B$957,0))</f>
        <v>JACKSON</v>
      </c>
      <c r="I156">
        <f>INDEX('TE_OA_20200805_INTRDY_2020-08-0'!$Q$2:$Q$870,MATCH(Filter!B156,'TE_OA_20200805_INTRDY_2020-08-0'!$G$2:$G$870))</f>
        <v>7532</v>
      </c>
      <c r="J156">
        <f>INDEX('TE_OA_20200805_INTRDY_2020-08-0'!$R$2:$R$870,MATCH(Filter!B156,'TE_OA_20200805_INTRDY_2020-08-0'!$G$2:$G$870))</f>
        <v>200</v>
      </c>
    </row>
    <row r="157" spans="1:10" x14ac:dyDescent="0.25">
      <c r="A157" t="str">
        <f>INDEX('Pipe Table'!$E$2:$E$10,MATCH(INDEX('TE_OA_20200805_INTRDY_2020-08-0'!$T$2:$T$870,MATCH(Filter!B157,'TE_OA_20200805_INTRDY_2020-08-0'!$G$2:$G$870,0)),'Pipe Table'!$D$2:$D$10,0))</f>
        <v>TETCO</v>
      </c>
      <c r="B157">
        <v>71075</v>
      </c>
      <c r="C157" t="str">
        <f>INDEX('TE_OA_20200805_INTRDY_2020-08-0'!$J$2:$J$870,MATCH(Filter!B157,'TE_OA_20200805_INTRDY_2020-08-0'!$G$2:$G$870))</f>
        <v>Delivery</v>
      </c>
      <c r="D157" t="str">
        <f>INDEX('Pipe Table'!$B$2:$B$14,MATCH(INDEX(TeAllPoints!$I$2:$I$957,MATCH(Filter!B157,TeAllPoints!$B$2:$B$957,0)),'Pipe Table'!$A$2:$A$14,0))</f>
        <v>LDC</v>
      </c>
      <c r="E157" t="str">
        <f>INDEX('TE_OA_20200805_INTRDY_2020-08-0'!$H$2:$H$870,MATCH(Filter!B157,'TE_OA_20200805_INTRDY_2020-08-0'!$G$2:$G$870))</f>
        <v>Elizabethtown Gas Company - Perth Amboy, NJ</v>
      </c>
      <c r="F157" t="str">
        <f>INDEX('Pipe Table'!$H$2:$H$8,MATCH('TE_OA_20200805_INTRDY_2020-08-0'!I138,'Pipe Table'!$G$2:$G$8,0))</f>
        <v>TETCO-M3</v>
      </c>
      <c r="G157" t="str">
        <f>INDEX(TeAllPoints!$D$2:$D$957,MATCH(Filter!B157,TeAllPoints!$B$2:$B$957,0))</f>
        <v>NJ</v>
      </c>
      <c r="H157" t="str">
        <f>INDEX(TeAllPoints!$E$2:$E$957,MATCH(Filter!B157,TeAllPoints!$B$2:$B$957,0))</f>
        <v>MIDDLESEX</v>
      </c>
      <c r="I157">
        <f>INDEX('TE_OA_20200805_INTRDY_2020-08-0'!$Q$2:$Q$870,MATCH(Filter!B157,'TE_OA_20200805_INTRDY_2020-08-0'!$G$2:$G$870))</f>
        <v>64543</v>
      </c>
      <c r="J157">
        <f>INDEX('TE_OA_20200805_INTRDY_2020-08-0'!$R$2:$R$870,MATCH(Filter!B157,'TE_OA_20200805_INTRDY_2020-08-0'!$G$2:$G$870))</f>
        <v>0</v>
      </c>
    </row>
    <row r="158" spans="1:10" x14ac:dyDescent="0.25">
      <c r="A158" t="str">
        <f>INDEX('Pipe Table'!$E$2:$E$10,MATCH(INDEX('TE_OA_20200805_INTRDY_2020-08-0'!$T$2:$T$870,MATCH(Filter!B158,'TE_OA_20200805_INTRDY_2020-08-0'!$G$2:$G$870,0)),'Pipe Table'!$D$2:$D$10,0))</f>
        <v>TETCO</v>
      </c>
      <c r="B158">
        <v>71076</v>
      </c>
      <c r="C158" t="str">
        <f>INDEX('TE_OA_20200805_INTRDY_2020-08-0'!$J$2:$J$870,MATCH(Filter!B158,'TE_OA_20200805_INTRDY_2020-08-0'!$G$2:$G$870))</f>
        <v>Delivery</v>
      </c>
      <c r="D158" t="str">
        <f>INDEX('Pipe Table'!$B$2:$B$14,MATCH(INDEX(TeAllPoints!$I$2:$I$957,MATCH(Filter!B158,TeAllPoints!$B$2:$B$957,0)),'Pipe Table'!$A$2:$A$14,0))</f>
        <v>LDC</v>
      </c>
      <c r="E158" t="str">
        <f>INDEX('TE_OA_20200805_INTRDY_2020-08-0'!$H$2:$H$870,MATCH(Filter!B158,'TE_OA_20200805_INTRDY_2020-08-0'!$G$2:$G$870))</f>
        <v>New Jersey Natural - Hanover, NJ</v>
      </c>
      <c r="F158" t="str">
        <f>INDEX('Pipe Table'!$H$2:$H$8,MATCH('TE_OA_20200805_INTRDY_2020-08-0'!I139,'Pipe Table'!$G$2:$G$8,0))</f>
        <v>TETCO-M3</v>
      </c>
      <c r="G158" t="str">
        <f>INDEX(TeAllPoints!$D$2:$D$957,MATCH(Filter!B158,TeAllPoints!$B$2:$B$957,0))</f>
        <v>NJ</v>
      </c>
      <c r="H158" t="str">
        <f>INDEX(TeAllPoints!$E$2:$E$957,MATCH(Filter!B158,TeAllPoints!$B$2:$B$957,0))</f>
        <v>MORRIS</v>
      </c>
      <c r="I158">
        <f>INDEX('TE_OA_20200805_INTRDY_2020-08-0'!$Q$2:$Q$870,MATCH(Filter!B158,'TE_OA_20200805_INTRDY_2020-08-0'!$G$2:$G$870))</f>
        <v>50771</v>
      </c>
      <c r="J158">
        <f>INDEX('TE_OA_20200805_INTRDY_2020-08-0'!$R$2:$R$870,MATCH(Filter!B158,'TE_OA_20200805_INTRDY_2020-08-0'!$G$2:$G$870))</f>
        <v>0</v>
      </c>
    </row>
    <row r="159" spans="1:10" x14ac:dyDescent="0.25">
      <c r="A159" t="str">
        <f>INDEX('Pipe Table'!$E$2:$E$10,MATCH(INDEX('TE_OA_20200805_INTRDY_2020-08-0'!$T$2:$T$870,MATCH(Filter!B159,'TE_OA_20200805_INTRDY_2020-08-0'!$G$2:$G$870,0)),'Pipe Table'!$D$2:$D$10,0))</f>
        <v>TETCO</v>
      </c>
      <c r="B159">
        <v>71078</v>
      </c>
      <c r="C159" t="str">
        <f>INDEX('TE_OA_20200805_INTRDY_2020-08-0'!$J$2:$J$870,MATCH(Filter!B159,'TE_OA_20200805_INTRDY_2020-08-0'!$G$2:$G$870))</f>
        <v>Delivery</v>
      </c>
      <c r="D159" t="str">
        <f>INDEX('Pipe Table'!$B$2:$B$14,MATCH(INDEX(TeAllPoints!$I$2:$I$957,MATCH(Filter!B159,TeAllPoints!$B$2:$B$957,0)),'Pipe Table'!$A$2:$A$14,0))</f>
        <v>Intrcnnct</v>
      </c>
      <c r="E159" t="str">
        <f>INDEX('TE_OA_20200805_INTRDY_2020-08-0'!$H$2:$H$870,MATCH(Filter!B159,'TE_OA_20200805_INTRDY_2020-08-0'!$G$2:$G$870))</f>
        <v>Algonquin - Hanover, NJ</v>
      </c>
      <c r="F159" t="str">
        <f>INDEX('Pipe Table'!$H$2:$H$8,MATCH('TE_OA_20200805_INTRDY_2020-08-0'!I140,'Pipe Table'!$G$2:$G$8,0))</f>
        <v>TETCO-M3</v>
      </c>
      <c r="G159" t="str">
        <f>INDEX(TeAllPoints!$D$2:$D$957,MATCH(Filter!B159,TeAllPoints!$B$2:$B$957,0))</f>
        <v>NJ</v>
      </c>
      <c r="H159" t="str">
        <f>INDEX(TeAllPoints!$E$2:$E$957,MATCH(Filter!B159,TeAllPoints!$B$2:$B$957,0))</f>
        <v>MORRIS</v>
      </c>
      <c r="I159">
        <f>INDEX('TE_OA_20200805_INTRDY_2020-08-0'!$Q$2:$Q$870,MATCH(Filter!B159,'TE_OA_20200805_INTRDY_2020-08-0'!$G$2:$G$870))</f>
        <v>586911</v>
      </c>
      <c r="J159">
        <f>INDEX('TE_OA_20200805_INTRDY_2020-08-0'!$R$2:$R$870,MATCH(Filter!B159,'TE_OA_20200805_INTRDY_2020-08-0'!$G$2:$G$870))</f>
        <v>17246</v>
      </c>
    </row>
    <row r="160" spans="1:10" x14ac:dyDescent="0.25">
      <c r="A160" t="str">
        <f>INDEX('Pipe Table'!$E$2:$E$10,MATCH(INDEX('TE_OA_20200805_INTRDY_2020-08-0'!$T$2:$T$870,MATCH(Filter!B160,'TE_OA_20200805_INTRDY_2020-08-0'!$G$2:$G$870,0)),'Pipe Table'!$D$2:$D$10,0))</f>
        <v>TETCO</v>
      </c>
      <c r="B160">
        <v>71081</v>
      </c>
      <c r="C160" t="str">
        <f>INDEX('TE_OA_20200805_INTRDY_2020-08-0'!$J$2:$J$870,MATCH(Filter!B160,'TE_OA_20200805_INTRDY_2020-08-0'!$G$2:$G$870))</f>
        <v>Delivery</v>
      </c>
      <c r="D160" t="str">
        <f>INDEX('Pipe Table'!$B$2:$B$14,MATCH(INDEX(TeAllPoints!$I$2:$I$957,MATCH(Filter!B160,TeAllPoints!$B$2:$B$957,0)),'Pipe Table'!$A$2:$A$14,0))</f>
        <v>LDC</v>
      </c>
      <c r="E160" t="str">
        <f>INDEX('TE_OA_20200805_INTRDY_2020-08-0'!$H$2:$H$870,MATCH(Filter!B160,'TE_OA_20200805_INTRDY_2020-08-0'!$G$2:$G$870))</f>
        <v>Community Gas - Cynthiana, IN</v>
      </c>
      <c r="F160" t="str">
        <f>INDEX('Pipe Table'!$H$2:$H$8,MATCH('TE_OA_20200805_INTRDY_2020-08-0'!I141,'Pipe Table'!$G$2:$G$8,0))</f>
        <v>TETCO-M2</v>
      </c>
      <c r="G160" t="str">
        <f>INDEX(TeAllPoints!$D$2:$D$957,MATCH(Filter!B160,TeAllPoints!$B$2:$B$957,0))</f>
        <v>IN</v>
      </c>
      <c r="H160" t="str">
        <f>INDEX(TeAllPoints!$E$2:$E$957,MATCH(Filter!B160,TeAllPoints!$B$2:$B$957,0))</f>
        <v>GIBSON</v>
      </c>
      <c r="I160">
        <f>INDEX('TE_OA_20200805_INTRDY_2020-08-0'!$Q$2:$Q$870,MATCH(Filter!B160,'TE_OA_20200805_INTRDY_2020-08-0'!$G$2:$G$870))</f>
        <v>3924</v>
      </c>
      <c r="J160">
        <f>INDEX('TE_OA_20200805_INTRDY_2020-08-0'!$R$2:$R$870,MATCH(Filter!B160,'TE_OA_20200805_INTRDY_2020-08-0'!$G$2:$G$870))</f>
        <v>39</v>
      </c>
    </row>
    <row r="161" spans="1:10" x14ac:dyDescent="0.25">
      <c r="A161" t="str">
        <f>INDEX('Pipe Table'!$E$2:$E$10,MATCH(INDEX('TE_OA_20200805_INTRDY_2020-08-0'!$T$2:$T$870,MATCH(Filter!B161,'TE_OA_20200805_INTRDY_2020-08-0'!$G$2:$G$870,0)),'Pipe Table'!$D$2:$D$10,0))</f>
        <v>TETCO</v>
      </c>
      <c r="B161">
        <v>71141</v>
      </c>
      <c r="C161" t="str">
        <f>INDEX('TE_OA_20200805_INTRDY_2020-08-0'!$J$2:$J$870,MATCH(Filter!B161,'TE_OA_20200805_INTRDY_2020-08-0'!$G$2:$G$870))</f>
        <v>Delivery</v>
      </c>
      <c r="D161" t="str">
        <f>INDEX('Pipe Table'!$B$2:$B$14,MATCH(INDEX(TeAllPoints!$I$2:$I$957,MATCH(Filter!B161,TeAllPoints!$B$2:$B$957,0)),'Pipe Table'!$A$2:$A$14,0))</f>
        <v>LDC</v>
      </c>
      <c r="E161" t="str">
        <f>INDEX('TE_OA_20200805_INTRDY_2020-08-0'!$H$2:$H$870,MATCH(Filter!B161,'TE_OA_20200805_INTRDY_2020-08-0'!$G$2:$G$870))</f>
        <v>Assoc Natural Gas - Bernie, MO</v>
      </c>
      <c r="F161" t="str">
        <f>INDEX('Pipe Table'!$H$2:$H$8,MATCH('TE_OA_20200805_INTRDY_2020-08-0'!I142,'Pipe Table'!$G$2:$G$8,0))</f>
        <v>TETCO-M1</v>
      </c>
      <c r="G161" t="str">
        <f>INDEX(TeAllPoints!$D$2:$D$957,MATCH(Filter!B161,TeAllPoints!$B$2:$B$957,0))</f>
        <v>MO</v>
      </c>
      <c r="H161" t="str">
        <f>INDEX(TeAllPoints!$E$2:$E$957,MATCH(Filter!B161,TeAllPoints!$B$2:$B$957,0))</f>
        <v>STODDARD</v>
      </c>
      <c r="I161">
        <f>INDEX('TE_OA_20200805_INTRDY_2020-08-0'!$Q$2:$Q$870,MATCH(Filter!B161,'TE_OA_20200805_INTRDY_2020-08-0'!$G$2:$G$870))</f>
        <v>10922</v>
      </c>
      <c r="J161">
        <f>INDEX('TE_OA_20200805_INTRDY_2020-08-0'!$R$2:$R$870,MATCH(Filter!B161,'TE_OA_20200805_INTRDY_2020-08-0'!$G$2:$G$870))</f>
        <v>207</v>
      </c>
    </row>
    <row r="162" spans="1:10" x14ac:dyDescent="0.25">
      <c r="A162" t="str">
        <f>INDEX('Pipe Table'!$E$2:$E$10,MATCH(INDEX('TE_OA_20200805_INTRDY_2020-08-0'!$T$2:$T$870,MATCH(Filter!B162,'TE_OA_20200805_INTRDY_2020-08-0'!$G$2:$G$870,0)),'Pipe Table'!$D$2:$D$10,0))</f>
        <v>TETCO</v>
      </c>
      <c r="B162">
        <v>71142</v>
      </c>
      <c r="C162" t="str">
        <f>INDEX('TE_OA_20200805_INTRDY_2020-08-0'!$J$2:$J$870,MATCH(Filter!B162,'TE_OA_20200805_INTRDY_2020-08-0'!$G$2:$G$870))</f>
        <v>Receipt</v>
      </c>
      <c r="D162" t="str">
        <f>INDEX('Pipe Table'!$B$2:$B$14,MATCH(INDEX(TeAllPoints!$I$2:$I$957,MATCH(Filter!B162,TeAllPoints!$B$2:$B$957,0)),'Pipe Table'!$A$2:$A$14,0))</f>
        <v>Wellhead</v>
      </c>
      <c r="E162" t="str">
        <f>INDEX('TE_OA_20200805_INTRDY_2020-08-0'!$H$2:$H$870,MATCH(Filter!B162,'TE_OA_20200805_INTRDY_2020-08-0'!$G$2:$G$870))</f>
        <v>Vernon Faulkner-San Salvador Field - Hidalgo Co., TX  (REC)</v>
      </c>
      <c r="F162" t="str">
        <f>INDEX('Pipe Table'!$H$2:$H$8,MATCH('TE_OA_20200805_INTRDY_2020-08-0'!I143,'Pipe Table'!$G$2:$G$8,0))</f>
        <v>TETCO-STX</v>
      </c>
      <c r="G162" t="str">
        <f>INDEX(TeAllPoints!$D$2:$D$957,MATCH(Filter!B162,TeAllPoints!$B$2:$B$957,0))</f>
        <v>TX</v>
      </c>
      <c r="H162" t="str">
        <f>INDEX(TeAllPoints!$E$2:$E$957,MATCH(Filter!B162,TeAllPoints!$B$2:$B$957,0))</f>
        <v>HIDALGO</v>
      </c>
      <c r="I162">
        <f>INDEX('TE_OA_20200805_INTRDY_2020-08-0'!$Q$2:$Q$870,MATCH(Filter!B162,'TE_OA_20200805_INTRDY_2020-08-0'!$G$2:$G$870))</f>
        <v>10090</v>
      </c>
      <c r="J162">
        <f>INDEX('TE_OA_20200805_INTRDY_2020-08-0'!$R$2:$R$870,MATCH(Filter!B162,'TE_OA_20200805_INTRDY_2020-08-0'!$G$2:$G$870))</f>
        <v>200</v>
      </c>
    </row>
    <row r="163" spans="1:10" x14ac:dyDescent="0.25">
      <c r="A163" t="str">
        <f>INDEX('Pipe Table'!$E$2:$E$10,MATCH(INDEX('TE_OA_20200805_INTRDY_2020-08-0'!$T$2:$T$870,MATCH(Filter!B163,'TE_OA_20200805_INTRDY_2020-08-0'!$G$2:$G$870,0)),'Pipe Table'!$D$2:$D$10,0))</f>
        <v>TETCO</v>
      </c>
      <c r="B163">
        <v>71143</v>
      </c>
      <c r="C163" t="str">
        <f>INDEX('TE_OA_20200805_INTRDY_2020-08-0'!$J$2:$J$870,MATCH(Filter!B163,'TE_OA_20200805_INTRDY_2020-08-0'!$G$2:$G$870))</f>
        <v>Delivery</v>
      </c>
      <c r="D163" t="str">
        <f>INDEX('Pipe Table'!$B$2:$B$14,MATCH(INDEX(TeAllPoints!$I$2:$I$957,MATCH(Filter!B163,TeAllPoints!$B$2:$B$957,0)),'Pipe Table'!$A$2:$A$14,0))</f>
        <v>LDC</v>
      </c>
      <c r="E163" t="str">
        <f>INDEX('TE_OA_20200805_INTRDY_2020-08-0'!$H$2:$H$870,MATCH(Filter!B163,'TE_OA_20200805_INTRDY_2020-08-0'!$G$2:$G$870))</f>
        <v>UGI CENTRAL - Interboro Gas - Bellville, PA</v>
      </c>
      <c r="F163" t="str">
        <f>INDEX('Pipe Table'!$H$2:$H$8,MATCH('TE_OA_20200805_INTRDY_2020-08-0'!I144,'Pipe Table'!$G$2:$G$8,0))</f>
        <v>TETCO-M3</v>
      </c>
      <c r="G163" t="str">
        <f>INDEX(TeAllPoints!$D$2:$D$957,MATCH(Filter!B163,TeAllPoints!$B$2:$B$957,0))</f>
        <v>PA</v>
      </c>
      <c r="H163" t="str">
        <f>INDEX(TeAllPoints!$E$2:$E$957,MATCH(Filter!B163,TeAllPoints!$B$2:$B$957,0))</f>
        <v>MIFFLIN</v>
      </c>
      <c r="I163">
        <f>INDEX('TE_OA_20200805_INTRDY_2020-08-0'!$Q$2:$Q$870,MATCH(Filter!B163,'TE_OA_20200805_INTRDY_2020-08-0'!$G$2:$G$870))</f>
        <v>23430</v>
      </c>
      <c r="J163">
        <f>INDEX('TE_OA_20200805_INTRDY_2020-08-0'!$R$2:$R$870,MATCH(Filter!B163,'TE_OA_20200805_INTRDY_2020-08-0'!$G$2:$G$870))</f>
        <v>0</v>
      </c>
    </row>
    <row r="164" spans="1:10" x14ac:dyDescent="0.25">
      <c r="A164" t="str">
        <f>INDEX('Pipe Table'!$E$2:$E$10,MATCH(INDEX('TE_OA_20200805_INTRDY_2020-08-0'!$T$2:$T$870,MATCH(Filter!B164,'TE_OA_20200805_INTRDY_2020-08-0'!$G$2:$G$870,0)),'Pipe Table'!$D$2:$D$10,0))</f>
        <v>TETCO</v>
      </c>
      <c r="B164">
        <v>71144</v>
      </c>
      <c r="C164" t="str">
        <f>INDEX('TE_OA_20200805_INTRDY_2020-08-0'!$J$2:$J$870,MATCH(Filter!B164,'TE_OA_20200805_INTRDY_2020-08-0'!$G$2:$G$870))</f>
        <v>Delivery</v>
      </c>
      <c r="D164" t="str">
        <f>INDEX('Pipe Table'!$B$2:$B$14,MATCH(INDEX(TeAllPoints!$I$2:$I$957,MATCH(Filter!B164,TeAllPoints!$B$2:$B$957,0)),'Pipe Table'!$A$2:$A$14,0))</f>
        <v>LDC</v>
      </c>
      <c r="E164" t="str">
        <f>INDEX('TE_OA_20200805_INTRDY_2020-08-0'!$H$2:$H$870,MATCH(Filter!B164,'TE_OA_20200805_INTRDY_2020-08-0'!$G$2:$G$870))</f>
        <v>UGI CENTRAL - Twin Gas - Bedford, PA</v>
      </c>
      <c r="F164" t="str">
        <f>INDEX('Pipe Table'!$H$2:$H$8,MATCH('TE_OA_20200805_INTRDY_2020-08-0'!I145,'Pipe Table'!$G$2:$G$8,0))</f>
        <v>TETCO-M3</v>
      </c>
      <c r="G164" t="str">
        <f>INDEX(TeAllPoints!$D$2:$D$957,MATCH(Filter!B164,TeAllPoints!$B$2:$B$957,0))</f>
        <v>PA</v>
      </c>
      <c r="H164" t="str">
        <f>INDEX(TeAllPoints!$E$2:$E$957,MATCH(Filter!B164,TeAllPoints!$B$2:$B$957,0))</f>
        <v>BEDFORD</v>
      </c>
      <c r="I164">
        <f>INDEX('TE_OA_20200805_INTRDY_2020-08-0'!$Q$2:$Q$870,MATCH(Filter!B164,'TE_OA_20200805_INTRDY_2020-08-0'!$G$2:$G$870))</f>
        <v>7034</v>
      </c>
      <c r="J164">
        <f>INDEX('TE_OA_20200805_INTRDY_2020-08-0'!$R$2:$R$870,MATCH(Filter!B164,'TE_OA_20200805_INTRDY_2020-08-0'!$G$2:$G$870))</f>
        <v>0</v>
      </c>
    </row>
    <row r="165" spans="1:10" x14ac:dyDescent="0.25">
      <c r="A165" t="str">
        <f>INDEX('Pipe Table'!$E$2:$E$10,MATCH(INDEX('TE_OA_20200805_INTRDY_2020-08-0'!$T$2:$T$870,MATCH(Filter!B165,'TE_OA_20200805_INTRDY_2020-08-0'!$G$2:$G$870,0)),'Pipe Table'!$D$2:$D$10,0))</f>
        <v>TETCO</v>
      </c>
      <c r="B165">
        <v>71170</v>
      </c>
      <c r="C165" t="str">
        <f>INDEX('TE_OA_20200805_INTRDY_2020-08-0'!$J$2:$J$870,MATCH(Filter!B165,'TE_OA_20200805_INTRDY_2020-08-0'!$G$2:$G$870))</f>
        <v>Delivery</v>
      </c>
      <c r="D165" t="str">
        <f>INDEX('Pipe Table'!$B$2:$B$14,MATCH(INDEX(TeAllPoints!$I$2:$I$957,MATCH(Filter!B165,TeAllPoints!$B$2:$B$957,0)),'Pipe Table'!$A$2:$A$14,0))</f>
        <v>LDC</v>
      </c>
      <c r="E165" t="str">
        <f>INDEX('TE_OA_20200805_INTRDY_2020-08-0'!$H$2:$H$870,MATCH(Filter!B165,'TE_OA_20200805_INTRDY_2020-08-0'!$G$2:$G$870))</f>
        <v>Midwest Nat. Gas - Medora, IN</v>
      </c>
      <c r="F165" t="str">
        <f>INDEX('Pipe Table'!$H$2:$H$8,MATCH('TE_OA_20200805_INTRDY_2020-08-0'!I146,'Pipe Table'!$G$2:$G$8,0))</f>
        <v>TETCO-M2</v>
      </c>
      <c r="G165" t="str">
        <f>INDEX(TeAllPoints!$D$2:$D$957,MATCH(Filter!B165,TeAllPoints!$B$2:$B$957,0))</f>
        <v>IN</v>
      </c>
      <c r="H165" t="str">
        <f>INDEX(TeAllPoints!$E$2:$E$957,MATCH(Filter!B165,TeAllPoints!$B$2:$B$957,0))</f>
        <v>JACKSON</v>
      </c>
      <c r="I165">
        <f>INDEX('TE_OA_20200805_INTRDY_2020-08-0'!$Q$2:$Q$870,MATCH(Filter!B165,'TE_OA_20200805_INTRDY_2020-08-0'!$G$2:$G$870))</f>
        <v>1679</v>
      </c>
      <c r="J165">
        <f>INDEX('TE_OA_20200805_INTRDY_2020-08-0'!$R$2:$R$870,MATCH(Filter!B165,'TE_OA_20200805_INTRDY_2020-08-0'!$G$2:$G$870))</f>
        <v>25</v>
      </c>
    </row>
    <row r="166" spans="1:10" x14ac:dyDescent="0.25">
      <c r="A166" t="str">
        <f>INDEX('Pipe Table'!$E$2:$E$10,MATCH(INDEX('TE_OA_20200805_INTRDY_2020-08-0'!$T$2:$T$870,MATCH(Filter!B166,'TE_OA_20200805_INTRDY_2020-08-0'!$G$2:$G$870,0)),'Pipe Table'!$D$2:$D$10,0))</f>
        <v>TETCO</v>
      </c>
      <c r="B166">
        <v>71189</v>
      </c>
      <c r="C166" t="str">
        <f>INDEX('TE_OA_20200805_INTRDY_2020-08-0'!$J$2:$J$870,MATCH(Filter!B166,'TE_OA_20200805_INTRDY_2020-08-0'!$G$2:$G$870))</f>
        <v>Delivery</v>
      </c>
      <c r="D166" t="str">
        <f>INDEX('Pipe Table'!$B$2:$B$14,MATCH(INDEX(TeAllPoints!$I$2:$I$957,MATCH(Filter!B166,TeAllPoints!$B$2:$B$957,0)),'Pipe Table'!$A$2:$A$14,0))</f>
        <v>LDC</v>
      </c>
      <c r="E166" t="str">
        <f>INDEX('TE_OA_20200805_INTRDY_2020-08-0'!$H$2:$H$870,MATCH(Filter!B166,'TE_OA_20200805_INTRDY_2020-08-0'!$G$2:$G$870))</f>
        <v>UGI CENTRAL - Valley Gas - Martinsburg, PA</v>
      </c>
      <c r="F166" t="str">
        <f>INDEX('Pipe Table'!$H$2:$H$8,MATCH('TE_OA_20200805_INTRDY_2020-08-0'!I147,'Pipe Table'!$G$2:$G$8,0))</f>
        <v>TETCO-M3</v>
      </c>
      <c r="G166" t="str">
        <f>INDEX(TeAllPoints!$D$2:$D$957,MATCH(Filter!B166,TeAllPoints!$B$2:$B$957,0))</f>
        <v>PA</v>
      </c>
      <c r="H166" t="str">
        <f>INDEX(TeAllPoints!$E$2:$E$957,MATCH(Filter!B166,TeAllPoints!$B$2:$B$957,0))</f>
        <v>BLAIR</v>
      </c>
      <c r="I166">
        <f>INDEX('TE_OA_20200805_INTRDY_2020-08-0'!$Q$2:$Q$870,MATCH(Filter!B166,'TE_OA_20200805_INTRDY_2020-08-0'!$G$2:$G$870))</f>
        <v>19154</v>
      </c>
      <c r="J166">
        <f>INDEX('TE_OA_20200805_INTRDY_2020-08-0'!$R$2:$R$870,MATCH(Filter!B166,'TE_OA_20200805_INTRDY_2020-08-0'!$G$2:$G$870))</f>
        <v>0</v>
      </c>
    </row>
    <row r="167" spans="1:10" x14ac:dyDescent="0.25">
      <c r="A167" t="str">
        <f>INDEX('Pipe Table'!$E$2:$E$10,MATCH(INDEX('TE_OA_20200805_INTRDY_2020-08-0'!$T$2:$T$870,MATCH(Filter!B167,'TE_OA_20200805_INTRDY_2020-08-0'!$G$2:$G$870,0)),'Pipe Table'!$D$2:$D$10,0))</f>
        <v>TETCO</v>
      </c>
      <c r="B167">
        <v>71190</v>
      </c>
      <c r="C167" t="str">
        <f>INDEX('TE_OA_20200805_INTRDY_2020-08-0'!$J$2:$J$870,MATCH(Filter!B167,'TE_OA_20200805_INTRDY_2020-08-0'!$G$2:$G$870))</f>
        <v>Delivery</v>
      </c>
      <c r="D167" t="str">
        <f>INDEX('Pipe Table'!$B$2:$B$14,MATCH(INDEX(TeAllPoints!$I$2:$I$957,MATCH(Filter!B167,TeAllPoints!$B$2:$B$957,0)),'Pipe Table'!$A$2:$A$14,0))</f>
        <v>LDC</v>
      </c>
      <c r="E167" t="str">
        <f>INDEX('TE_OA_20200805_INTRDY_2020-08-0'!$H$2:$H$870,MATCH(Filter!B167,'TE_OA_20200805_INTRDY_2020-08-0'!$G$2:$G$870))</f>
        <v>Poseyville, IN</v>
      </c>
      <c r="F167" t="str">
        <f>INDEX('Pipe Table'!$H$2:$H$8,MATCH('TE_OA_20200805_INTRDY_2020-08-0'!I148,'Pipe Table'!$G$2:$G$8,0))</f>
        <v>TETCO-M2</v>
      </c>
      <c r="G167" t="str">
        <f>INDEX(TeAllPoints!$D$2:$D$957,MATCH(Filter!B167,TeAllPoints!$B$2:$B$957,0))</f>
        <v>IN</v>
      </c>
      <c r="H167" t="str">
        <f>INDEX(TeAllPoints!$E$2:$E$957,MATCH(Filter!B167,TeAllPoints!$B$2:$B$957,0))</f>
        <v>GIBSON</v>
      </c>
      <c r="I167">
        <f>INDEX('TE_OA_20200805_INTRDY_2020-08-0'!$Q$2:$Q$870,MATCH(Filter!B167,'TE_OA_20200805_INTRDY_2020-08-0'!$G$2:$G$870))</f>
        <v>1928</v>
      </c>
      <c r="J167">
        <f>INDEX('TE_OA_20200805_INTRDY_2020-08-0'!$R$2:$R$870,MATCH(Filter!B167,'TE_OA_20200805_INTRDY_2020-08-0'!$G$2:$G$870))</f>
        <v>13</v>
      </c>
    </row>
    <row r="168" spans="1:10" x14ac:dyDescent="0.25">
      <c r="A168" t="str">
        <f>INDEX('Pipe Table'!$E$2:$E$10,MATCH(INDEX('TE_OA_20200805_INTRDY_2020-08-0'!$T$2:$T$870,MATCH(Filter!B168,'TE_OA_20200805_INTRDY_2020-08-0'!$G$2:$G$870,0)),'Pipe Table'!$D$2:$D$10,0))</f>
        <v>TETCO</v>
      </c>
      <c r="B168">
        <v>71196</v>
      </c>
      <c r="C168" t="str">
        <f>INDEX('TE_OA_20200805_INTRDY_2020-08-0'!$J$2:$J$870,MATCH(Filter!B168,'TE_OA_20200805_INTRDY_2020-08-0'!$G$2:$G$870))</f>
        <v>Delivery</v>
      </c>
      <c r="D168" t="str">
        <f>INDEX('Pipe Table'!$B$2:$B$14,MATCH(INDEX(TeAllPoints!$I$2:$I$957,MATCH(Filter!B168,TeAllPoints!$B$2:$B$957,0)),'Pipe Table'!$A$2:$A$14,0))</f>
        <v>LDC</v>
      </c>
      <c r="E168" t="str">
        <f>INDEX('TE_OA_20200805_INTRDY_2020-08-0'!$H$2:$H$870,MATCH(Filter!B168,'TE_OA_20200805_INTRDY_2020-08-0'!$G$2:$G$870))</f>
        <v>Public Service - Bound Brook, NJ</v>
      </c>
      <c r="F168" t="str">
        <f>INDEX('Pipe Table'!$H$2:$H$8,MATCH('TE_OA_20200805_INTRDY_2020-08-0'!I149,'Pipe Table'!$G$2:$G$8,0))</f>
        <v>TETCO-M3</v>
      </c>
      <c r="G168" t="str">
        <f>INDEX(TeAllPoints!$D$2:$D$957,MATCH(Filter!B168,TeAllPoints!$B$2:$B$957,0))</f>
        <v>NJ</v>
      </c>
      <c r="H168" t="str">
        <f>INDEX(TeAllPoints!$E$2:$E$957,MATCH(Filter!B168,TeAllPoints!$B$2:$B$957,0))</f>
        <v>SOMERSET</v>
      </c>
      <c r="I168">
        <f>INDEX('TE_OA_20200805_INTRDY_2020-08-0'!$Q$2:$Q$870,MATCH(Filter!B168,'TE_OA_20200805_INTRDY_2020-08-0'!$G$2:$G$870))</f>
        <v>41400</v>
      </c>
      <c r="J168">
        <f>INDEX('TE_OA_20200805_INTRDY_2020-08-0'!$R$2:$R$870,MATCH(Filter!B168,'TE_OA_20200805_INTRDY_2020-08-0'!$G$2:$G$870))</f>
        <v>4505</v>
      </c>
    </row>
    <row r="169" spans="1:10" x14ac:dyDescent="0.25">
      <c r="A169" t="str">
        <f>INDEX('Pipe Table'!$E$2:$E$10,MATCH(INDEX('TE_OA_20200805_INTRDY_2020-08-0'!$T$2:$T$870,MATCH(Filter!B169,'TE_OA_20200805_INTRDY_2020-08-0'!$G$2:$G$870,0)),'Pipe Table'!$D$2:$D$10,0))</f>
        <v>TETCO</v>
      </c>
      <c r="B169">
        <v>71200</v>
      </c>
      <c r="C169" t="str">
        <f>INDEX('TE_OA_20200805_INTRDY_2020-08-0'!$J$2:$J$870,MATCH(Filter!B169,'TE_OA_20200805_INTRDY_2020-08-0'!$G$2:$G$870))</f>
        <v>Receipt</v>
      </c>
      <c r="D169" t="str">
        <f>INDEX('Pipe Table'!$B$2:$B$14,MATCH(INDEX(TeAllPoints!$I$2:$I$957,MATCH(Filter!B169,TeAllPoints!$B$2:$B$957,0)),'Pipe Table'!$A$2:$A$14,0))</f>
        <v>GsPlnt</v>
      </c>
      <c r="E169" t="str">
        <f>INDEX('TE_OA_20200805_INTRDY_2020-08-0'!$H$2:$H$870,MATCH(Filter!B169,'TE_OA_20200805_INTRDY_2020-08-0'!$G$2:$G$870))</f>
        <v>Targa Resources - Venice, LA</v>
      </c>
      <c r="F169" t="str">
        <f>INDEX('Pipe Table'!$H$2:$H$8,MATCH('TE_OA_20200805_INTRDY_2020-08-0'!I150,'Pipe Table'!$G$2:$G$8,0))</f>
        <v>TETCO-ELA</v>
      </c>
      <c r="G169" t="str">
        <f>INDEX(TeAllPoints!$D$2:$D$957,MATCH(Filter!B169,TeAllPoints!$B$2:$B$957,0))</f>
        <v>LA</v>
      </c>
      <c r="H169" t="str">
        <f>INDEX(TeAllPoints!$E$2:$E$957,MATCH(Filter!B169,TeAllPoints!$B$2:$B$957,0))</f>
        <v>PLAQUEMINES</v>
      </c>
      <c r="I169">
        <f>INDEX('TE_OA_20200805_INTRDY_2020-08-0'!$Q$2:$Q$870,MATCH(Filter!B169,'TE_OA_20200805_INTRDY_2020-08-0'!$G$2:$G$870))</f>
        <v>975518</v>
      </c>
      <c r="J169">
        <f>INDEX('TE_OA_20200805_INTRDY_2020-08-0'!$R$2:$R$870,MATCH(Filter!B169,'TE_OA_20200805_INTRDY_2020-08-0'!$G$2:$G$870))</f>
        <v>150670</v>
      </c>
    </row>
    <row r="170" spans="1:10" x14ac:dyDescent="0.25">
      <c r="A170" t="str">
        <f>INDEX('Pipe Table'!$E$2:$E$10,MATCH(INDEX('TE_OA_20200805_INTRDY_2020-08-0'!$T$2:$T$870,MATCH(Filter!B170,'TE_OA_20200805_INTRDY_2020-08-0'!$G$2:$G$870,0)),'Pipe Table'!$D$2:$D$10,0))</f>
        <v>TETCO</v>
      </c>
      <c r="B170">
        <v>71209</v>
      </c>
      <c r="C170" t="str">
        <f>INDEX('TE_OA_20200805_INTRDY_2020-08-0'!$J$2:$J$870,MATCH(Filter!B170,'TE_OA_20200805_INTRDY_2020-08-0'!$G$2:$G$870))</f>
        <v>Delivery</v>
      </c>
      <c r="D170" t="str">
        <f>INDEX('Pipe Table'!$B$2:$B$14,MATCH(INDEX(TeAllPoints!$I$2:$I$957,MATCH(Filter!B170,TeAllPoints!$B$2:$B$957,0)),'Pipe Table'!$A$2:$A$14,0))</f>
        <v>LDC</v>
      </c>
      <c r="E170" t="str">
        <f>INDEX('TE_OA_20200805_INTRDY_2020-08-0'!$H$2:$H$870,MATCH(Filter!B170,'TE_OA_20200805_INTRDY_2020-08-0'!$G$2:$G$870))</f>
        <v>Public Service - Wanaque, NJ</v>
      </c>
      <c r="F170" t="str">
        <f>INDEX('Pipe Table'!$H$2:$H$8,MATCH('TE_OA_20200805_INTRDY_2020-08-0'!I151,'Pipe Table'!$G$2:$G$8,0))</f>
        <v>TETCO-M3</v>
      </c>
      <c r="G170" t="str">
        <f>INDEX(TeAllPoints!$D$2:$D$957,MATCH(Filter!B170,TeAllPoints!$B$2:$B$957,0))</f>
        <v>NJ</v>
      </c>
      <c r="H170" t="str">
        <f>INDEX(TeAllPoints!$E$2:$E$957,MATCH(Filter!B170,TeAllPoints!$B$2:$B$957,0))</f>
        <v>PASSAIC</v>
      </c>
      <c r="I170">
        <f>INDEX('TE_OA_20200805_INTRDY_2020-08-0'!$Q$2:$Q$870,MATCH(Filter!B170,'TE_OA_20200805_INTRDY_2020-08-0'!$G$2:$G$870))</f>
        <v>207130</v>
      </c>
      <c r="J170">
        <f>INDEX('TE_OA_20200805_INTRDY_2020-08-0'!$R$2:$R$870,MATCH(Filter!B170,'TE_OA_20200805_INTRDY_2020-08-0'!$G$2:$G$870))</f>
        <v>14514</v>
      </c>
    </row>
    <row r="171" spans="1:10" x14ac:dyDescent="0.25">
      <c r="A171" t="str">
        <f>INDEX('Pipe Table'!$E$2:$E$10,MATCH(INDEX('TE_OA_20200805_INTRDY_2020-08-0'!$T$2:$T$870,MATCH(Filter!B171,'TE_OA_20200805_INTRDY_2020-08-0'!$G$2:$G$870,0)),'Pipe Table'!$D$2:$D$10,0))</f>
        <v>TETCO</v>
      </c>
      <c r="B171">
        <v>71210</v>
      </c>
      <c r="C171" t="str">
        <f>INDEX('TE_OA_20200805_INTRDY_2020-08-0'!$J$2:$J$870,MATCH(Filter!B171,'TE_OA_20200805_INTRDY_2020-08-0'!$G$2:$G$870))</f>
        <v>Delivery</v>
      </c>
      <c r="D171" t="str">
        <f>INDEX('Pipe Table'!$B$2:$B$14,MATCH(INDEX(TeAllPoints!$I$2:$I$957,MATCH(Filter!B171,TeAllPoints!$B$2:$B$957,0)),'Pipe Table'!$A$2:$A$14,0))</f>
        <v>Intrcnnct</v>
      </c>
      <c r="E171" t="str">
        <f>INDEX('TE_OA_20200805_INTRDY_2020-08-0'!$H$2:$H$870,MATCH(Filter!B171,'TE_OA_20200805_INTRDY_2020-08-0'!$G$2:$G$870))</f>
        <v>AGT-WANAQUE INTERCONNECT. (PASSAIC,NJ)</v>
      </c>
      <c r="F171" t="str">
        <f>INDEX('Pipe Table'!$H$2:$H$8,MATCH('TE_OA_20200805_INTRDY_2020-08-0'!I152,'Pipe Table'!$G$2:$G$8,0))</f>
        <v>TETCO-M3</v>
      </c>
      <c r="G171" t="str">
        <f>INDEX(TeAllPoints!$D$2:$D$957,MATCH(Filter!B171,TeAllPoints!$B$2:$B$957,0))</f>
        <v>NJ</v>
      </c>
      <c r="H171" t="str">
        <f>INDEX(TeAllPoints!$E$2:$E$957,MATCH(Filter!B171,TeAllPoints!$B$2:$B$957,0))</f>
        <v>PASSAIC</v>
      </c>
      <c r="I171">
        <f>INDEX('TE_OA_20200805_INTRDY_2020-08-0'!$Q$2:$Q$870,MATCH(Filter!B171,'TE_OA_20200805_INTRDY_2020-08-0'!$G$2:$G$870))</f>
        <v>39727</v>
      </c>
      <c r="J171">
        <f>INDEX('TE_OA_20200805_INTRDY_2020-08-0'!$R$2:$R$870,MATCH(Filter!B171,'TE_OA_20200805_INTRDY_2020-08-0'!$G$2:$G$870))</f>
        <v>0</v>
      </c>
    </row>
    <row r="172" spans="1:10" x14ac:dyDescent="0.25">
      <c r="A172" t="str">
        <f>INDEX('Pipe Table'!$E$2:$E$10,MATCH(INDEX('TE_OA_20200805_INTRDY_2020-08-0'!$T$2:$T$870,MATCH(Filter!B172,'TE_OA_20200805_INTRDY_2020-08-0'!$G$2:$G$870,0)),'Pipe Table'!$D$2:$D$10,0))</f>
        <v>TETCO</v>
      </c>
      <c r="B172">
        <v>71217</v>
      </c>
      <c r="C172" t="str">
        <f>INDEX('TE_OA_20200805_INTRDY_2020-08-0'!$J$2:$J$870,MATCH(Filter!B172,'TE_OA_20200805_INTRDY_2020-08-0'!$G$2:$G$870))</f>
        <v>Delivery</v>
      </c>
      <c r="D172" t="str">
        <f>INDEX('Pipe Table'!$B$2:$B$14,MATCH(INDEX(TeAllPoints!$I$2:$I$957,MATCH(Filter!B172,TeAllPoints!$B$2:$B$957,0)),'Pipe Table'!$A$2:$A$14,0))</f>
        <v>EndUsr</v>
      </c>
      <c r="E172" t="str">
        <f>INDEX('TE_OA_20200805_INTRDY_2020-08-0'!$H$2:$H$870,MATCH(Filter!B172,'TE_OA_20200805_INTRDY_2020-08-0'!$G$2:$G$870))</f>
        <v>TE - LBI Instrument Gas - Greensburg, PA</v>
      </c>
      <c r="F172" t="str">
        <f>INDEX('Pipe Table'!$H$2:$H$8,MATCH('TE_OA_20200805_INTRDY_2020-08-0'!I153,'Pipe Table'!$G$2:$G$8,0))</f>
        <v>TETCO-M2</v>
      </c>
      <c r="G172" t="str">
        <f>INDEX(TeAllPoints!$D$2:$D$957,MATCH(Filter!B172,TeAllPoints!$B$2:$B$957,0))</f>
        <v>PA</v>
      </c>
      <c r="H172" t="str">
        <f>INDEX(TeAllPoints!$E$2:$E$957,MATCH(Filter!B172,TeAllPoints!$B$2:$B$957,0))</f>
        <v>WESTMORELAND</v>
      </c>
      <c r="I172">
        <f>INDEX('TE_OA_20200805_INTRDY_2020-08-0'!$Q$2:$Q$870,MATCH(Filter!B172,'TE_OA_20200805_INTRDY_2020-08-0'!$G$2:$G$870))</f>
        <v>1</v>
      </c>
      <c r="J172">
        <f>INDEX('TE_OA_20200805_INTRDY_2020-08-0'!$R$2:$R$870,MATCH(Filter!B172,'TE_OA_20200805_INTRDY_2020-08-0'!$G$2:$G$870))</f>
        <v>0</v>
      </c>
    </row>
    <row r="173" spans="1:10" x14ac:dyDescent="0.25">
      <c r="A173" t="str">
        <f>INDEX('Pipe Table'!$E$2:$E$10,MATCH(INDEX('TE_OA_20200805_INTRDY_2020-08-0'!$T$2:$T$870,MATCH(Filter!B173,'TE_OA_20200805_INTRDY_2020-08-0'!$G$2:$G$870,0)),'Pipe Table'!$D$2:$D$10,0))</f>
        <v>TETCO</v>
      </c>
      <c r="B173">
        <v>71219</v>
      </c>
      <c r="C173" t="str">
        <f>INDEX('TE_OA_20200805_INTRDY_2020-08-0'!$J$2:$J$870,MATCH(Filter!B173,'TE_OA_20200805_INTRDY_2020-08-0'!$G$2:$G$870))</f>
        <v>Delivery</v>
      </c>
      <c r="D173" t="str">
        <f>INDEX('Pipe Table'!$B$2:$B$14,MATCH(INDEX(TeAllPoints!$I$2:$I$957,MATCH(Filter!B173,TeAllPoints!$B$2:$B$957,0)),'Pipe Table'!$A$2:$A$14,0))</f>
        <v>Intrcnnct</v>
      </c>
      <c r="E173" t="str">
        <f>INDEX('TE_OA_20200805_INTRDY_2020-08-0'!$H$2:$H$870,MATCH(Filter!B173,'TE_OA_20200805_INTRDY_2020-08-0'!$G$2:$G$870))</f>
        <v>Columbia Gas of Pa. - York co. Pa.</v>
      </c>
      <c r="F173" t="str">
        <f>INDEX('Pipe Table'!$H$2:$H$8,MATCH('TE_OA_20200805_INTRDY_2020-08-0'!I154,'Pipe Table'!$G$2:$G$8,0))</f>
        <v>TETCO-M3</v>
      </c>
      <c r="G173" t="str">
        <f>INDEX(TeAllPoints!$D$2:$D$957,MATCH(Filter!B173,TeAllPoints!$B$2:$B$957,0))</f>
        <v>PA</v>
      </c>
      <c r="H173" t="str">
        <f>INDEX(TeAllPoints!$E$2:$E$957,MATCH(Filter!B173,TeAllPoints!$B$2:$B$957,0))</f>
        <v>YORK</v>
      </c>
      <c r="I173">
        <f>INDEX('TE_OA_20200805_INTRDY_2020-08-0'!$Q$2:$Q$870,MATCH(Filter!B173,'TE_OA_20200805_INTRDY_2020-08-0'!$G$2:$G$870))</f>
        <v>55588</v>
      </c>
      <c r="J173">
        <f>INDEX('TE_OA_20200805_INTRDY_2020-08-0'!$R$2:$R$870,MATCH(Filter!B173,'TE_OA_20200805_INTRDY_2020-08-0'!$G$2:$G$870))</f>
        <v>2300</v>
      </c>
    </row>
    <row r="174" spans="1:10" x14ac:dyDescent="0.25">
      <c r="A174" t="str">
        <f>INDEX('Pipe Table'!$E$2:$E$10,MATCH(INDEX('TE_OA_20200805_INTRDY_2020-08-0'!$T$2:$T$870,MATCH(Filter!B174,'TE_OA_20200805_INTRDY_2020-08-0'!$G$2:$G$870,0)),'Pipe Table'!$D$2:$D$10,0))</f>
        <v>TETCO</v>
      </c>
      <c r="B174">
        <v>71220</v>
      </c>
      <c r="C174" t="str">
        <f>INDEX('TE_OA_20200805_INTRDY_2020-08-0'!$J$2:$J$870,MATCH(Filter!B174,'TE_OA_20200805_INTRDY_2020-08-0'!$G$2:$G$870))</f>
        <v>Delivery</v>
      </c>
      <c r="D174" t="str">
        <f>INDEX('Pipe Table'!$B$2:$B$14,MATCH(INDEX(TeAllPoints!$I$2:$I$957,MATCH(Filter!B174,TeAllPoints!$B$2:$B$957,0)),'Pipe Table'!$A$2:$A$14,0))</f>
        <v>LDC</v>
      </c>
      <c r="E174" t="str">
        <f>INDEX('TE_OA_20200805_INTRDY_2020-08-0'!$H$2:$H$870,MATCH(Filter!B174,'TE_OA_20200805_INTRDY_2020-08-0'!$G$2:$G$870))</f>
        <v>PECO Energy - E. Greenville, PA</v>
      </c>
      <c r="F174" t="str">
        <f>INDEX('Pipe Table'!$H$2:$H$8,MATCH('TE_OA_20200805_INTRDY_2020-08-0'!I155,'Pipe Table'!$G$2:$G$8,0))</f>
        <v>TETCO-M3</v>
      </c>
      <c r="G174" t="str">
        <f>INDEX(TeAllPoints!$D$2:$D$957,MATCH(Filter!B174,TeAllPoints!$B$2:$B$957,0))</f>
        <v>PA</v>
      </c>
      <c r="H174" t="str">
        <f>INDEX(TeAllPoints!$E$2:$E$957,MATCH(Filter!B174,TeAllPoints!$B$2:$B$957,0))</f>
        <v>MONTGOMERY</v>
      </c>
      <c r="I174">
        <f>INDEX('TE_OA_20200805_INTRDY_2020-08-0'!$Q$2:$Q$870,MATCH(Filter!B174,'TE_OA_20200805_INTRDY_2020-08-0'!$G$2:$G$870))</f>
        <v>8221</v>
      </c>
      <c r="J174">
        <f>INDEX('TE_OA_20200805_INTRDY_2020-08-0'!$R$2:$R$870,MATCH(Filter!B174,'TE_OA_20200805_INTRDY_2020-08-0'!$G$2:$G$870))</f>
        <v>0</v>
      </c>
    </row>
    <row r="175" spans="1:10" x14ac:dyDescent="0.25">
      <c r="A175" t="str">
        <f>INDEX('Pipe Table'!$E$2:$E$10,MATCH(INDEX('TE_OA_20200805_INTRDY_2020-08-0'!$T$2:$T$870,MATCH(Filter!B175,'TE_OA_20200805_INTRDY_2020-08-0'!$G$2:$G$870,0)),'Pipe Table'!$D$2:$D$10,0))</f>
        <v>TETCO</v>
      </c>
      <c r="B175">
        <v>71221</v>
      </c>
      <c r="C175" t="str">
        <f>INDEX('TE_OA_20200805_INTRDY_2020-08-0'!$J$2:$J$870,MATCH(Filter!B175,'TE_OA_20200805_INTRDY_2020-08-0'!$G$2:$G$870))</f>
        <v>Delivery</v>
      </c>
      <c r="D175" t="str">
        <f>INDEX('Pipe Table'!$B$2:$B$14,MATCH(INDEX(TeAllPoints!$I$2:$I$957,MATCH(Filter!B175,TeAllPoints!$B$2:$B$957,0)),'Pipe Table'!$A$2:$A$14,0))</f>
        <v>LDC</v>
      </c>
      <c r="E175" t="str">
        <f>INDEX('TE_OA_20200805_INTRDY_2020-08-0'!$H$2:$H$870,MATCH(Filter!B175,'TE_OA_20200805_INTRDY_2020-08-0'!$G$2:$G$870))</f>
        <v>Mississippi Gas Corp. - Reeves, LA</v>
      </c>
      <c r="F175" t="str">
        <f>INDEX('Pipe Table'!$H$2:$H$8,MATCH('TE_OA_20200805_INTRDY_2020-08-0'!I156,'Pipe Table'!$G$2:$G$8,0))</f>
        <v>TETCO-WLA</v>
      </c>
      <c r="G175" t="str">
        <f>INDEX(TeAllPoints!$D$2:$D$957,MATCH(Filter!B175,TeAllPoints!$B$2:$B$957,0))</f>
        <v>LA</v>
      </c>
      <c r="H175" t="str">
        <f>INDEX(TeAllPoints!$E$2:$E$957,MATCH(Filter!B175,TeAllPoints!$B$2:$B$957,0))</f>
        <v>ALLEN</v>
      </c>
      <c r="I175">
        <f>INDEX('TE_OA_20200805_INTRDY_2020-08-0'!$Q$2:$Q$870,MATCH(Filter!B175,'TE_OA_20200805_INTRDY_2020-08-0'!$G$2:$G$870))</f>
        <v>1743</v>
      </c>
      <c r="J175">
        <f>INDEX('TE_OA_20200805_INTRDY_2020-08-0'!$R$2:$R$870,MATCH(Filter!B175,'TE_OA_20200805_INTRDY_2020-08-0'!$G$2:$G$870))</f>
        <v>5</v>
      </c>
    </row>
    <row r="176" spans="1:10" x14ac:dyDescent="0.25">
      <c r="A176" t="str">
        <f>INDEX('Pipe Table'!$E$2:$E$10,MATCH(INDEX('TE_OA_20200805_INTRDY_2020-08-0'!$T$2:$T$870,MATCH(Filter!B176,'TE_OA_20200805_INTRDY_2020-08-0'!$G$2:$G$870,0)),'Pipe Table'!$D$2:$D$10,0))</f>
        <v>TETCO</v>
      </c>
      <c r="B176">
        <v>71240</v>
      </c>
      <c r="C176" t="str">
        <f>INDEX('TE_OA_20200805_INTRDY_2020-08-0'!$J$2:$J$870,MATCH(Filter!B176,'TE_OA_20200805_INTRDY_2020-08-0'!$G$2:$G$870))</f>
        <v>Delivery</v>
      </c>
      <c r="D176" t="str">
        <f>INDEX('Pipe Table'!$B$2:$B$14,MATCH(INDEX(TeAllPoints!$I$2:$I$957,MATCH(Filter!B176,TeAllPoints!$B$2:$B$957,0)),'Pipe Table'!$A$2:$A$14,0))</f>
        <v>LDC</v>
      </c>
      <c r="E176" t="str">
        <f>INDEX('TE_OA_20200805_INTRDY_2020-08-0'!$H$2:$H$870,MATCH(Filter!B176,'TE_OA_20200805_INTRDY_2020-08-0'!$G$2:$G$870))</f>
        <v>Enfield, IL</v>
      </c>
      <c r="F176" t="str">
        <f>INDEX('Pipe Table'!$H$2:$H$8,MATCH('TE_OA_20200805_INTRDY_2020-08-0'!I157,'Pipe Table'!$G$2:$G$8,0))</f>
        <v>TETCO-M1</v>
      </c>
      <c r="G176" t="str">
        <f>INDEX(TeAllPoints!$D$2:$D$957,MATCH(Filter!B176,TeAllPoints!$B$2:$B$957,0))</f>
        <v>IL</v>
      </c>
      <c r="H176" t="str">
        <f>INDEX(TeAllPoints!$E$2:$E$957,MATCH(Filter!B176,TeAllPoints!$B$2:$B$957,0))</f>
        <v>WHITE</v>
      </c>
      <c r="I176">
        <f>INDEX('TE_OA_20200805_INTRDY_2020-08-0'!$Q$2:$Q$870,MATCH(Filter!B176,'TE_OA_20200805_INTRDY_2020-08-0'!$G$2:$G$870))</f>
        <v>1679</v>
      </c>
      <c r="J176">
        <f>INDEX('TE_OA_20200805_INTRDY_2020-08-0'!$R$2:$R$870,MATCH(Filter!B176,'TE_OA_20200805_INTRDY_2020-08-0'!$G$2:$G$870))</f>
        <v>10</v>
      </c>
    </row>
    <row r="177" spans="1:10" x14ac:dyDescent="0.25">
      <c r="A177" t="str">
        <f>INDEX('Pipe Table'!$E$2:$E$10,MATCH(INDEX('TE_OA_20200805_INTRDY_2020-08-0'!$T$2:$T$870,MATCH(Filter!B177,'TE_OA_20200805_INTRDY_2020-08-0'!$G$2:$G$870,0)),'Pipe Table'!$D$2:$D$10,0))</f>
        <v>TETCO</v>
      </c>
      <c r="B177">
        <v>71241</v>
      </c>
      <c r="C177" t="str">
        <f>INDEX('TE_OA_20200805_INTRDY_2020-08-0'!$J$2:$J$870,MATCH(Filter!B177,'TE_OA_20200805_INTRDY_2020-08-0'!$G$2:$G$870))</f>
        <v>Delivery</v>
      </c>
      <c r="D177" t="str">
        <f>INDEX('Pipe Table'!$B$2:$B$14,MATCH(INDEX(TeAllPoints!$I$2:$I$957,MATCH(Filter!B177,TeAllPoints!$B$2:$B$957,0)),'Pipe Table'!$A$2:$A$14,0))</f>
        <v>LDC</v>
      </c>
      <c r="E177" t="str">
        <f>INDEX('TE_OA_20200805_INTRDY_2020-08-0'!$H$2:$H$870,MATCH(Filter!B177,'TE_OA_20200805_INTRDY_2020-08-0'!$G$2:$G$870))</f>
        <v>Utica, MS</v>
      </c>
      <c r="F177" t="str">
        <f>INDEX('Pipe Table'!$H$2:$H$8,MATCH('TE_OA_20200805_INTRDY_2020-08-0'!I158,'Pipe Table'!$G$2:$G$8,0))</f>
        <v>TETCO-ELA</v>
      </c>
      <c r="G177" t="str">
        <f>INDEX(TeAllPoints!$D$2:$D$957,MATCH(Filter!B177,TeAllPoints!$B$2:$B$957,0))</f>
        <v>MS</v>
      </c>
      <c r="H177" t="str">
        <f>INDEX(TeAllPoints!$E$2:$E$957,MATCH(Filter!B177,TeAllPoints!$B$2:$B$957,0))</f>
        <v>COPIAH</v>
      </c>
      <c r="I177">
        <f>INDEX('TE_OA_20200805_INTRDY_2020-08-0'!$Q$2:$Q$870,MATCH(Filter!B177,'TE_OA_20200805_INTRDY_2020-08-0'!$G$2:$G$870))</f>
        <v>3286</v>
      </c>
      <c r="J177">
        <f>INDEX('TE_OA_20200805_INTRDY_2020-08-0'!$R$2:$R$870,MATCH(Filter!B177,'TE_OA_20200805_INTRDY_2020-08-0'!$G$2:$G$870))</f>
        <v>40</v>
      </c>
    </row>
    <row r="178" spans="1:10" x14ac:dyDescent="0.25">
      <c r="A178" t="str">
        <f>INDEX('Pipe Table'!$E$2:$E$10,MATCH(INDEX('TE_OA_20200805_INTRDY_2020-08-0'!$T$2:$T$870,MATCH(Filter!B178,'TE_OA_20200805_INTRDY_2020-08-0'!$G$2:$G$870,0)),'Pipe Table'!$D$2:$D$10,0))</f>
        <v>TETCO</v>
      </c>
      <c r="B178">
        <v>71242</v>
      </c>
      <c r="C178" t="str">
        <f>INDEX('TE_OA_20200805_INTRDY_2020-08-0'!$J$2:$J$870,MATCH(Filter!B178,'TE_OA_20200805_INTRDY_2020-08-0'!$G$2:$G$870))</f>
        <v>Delivery</v>
      </c>
      <c r="D178" t="str">
        <f>INDEX('Pipe Table'!$B$2:$B$14,MATCH(INDEX(TeAllPoints!$I$2:$I$957,MATCH(Filter!B178,TeAllPoints!$B$2:$B$957,0)),'Pipe Table'!$A$2:$A$14,0))</f>
        <v>LDC</v>
      </c>
      <c r="E178" t="str">
        <f>INDEX('TE_OA_20200805_INTRDY_2020-08-0'!$H$2:$H$870,MATCH(Filter!B178,'TE_OA_20200805_INTRDY_2020-08-0'!$G$2:$G$870))</f>
        <v>Cen Il Pub Serv -Goreville, IL</v>
      </c>
      <c r="F178" t="str">
        <f>INDEX('Pipe Table'!$H$2:$H$8,MATCH('TE_OA_20200805_INTRDY_2020-08-0'!I159,'Pipe Table'!$G$2:$G$8,0))</f>
        <v>TETCO-M1</v>
      </c>
      <c r="G178" t="str">
        <f>INDEX(TeAllPoints!$D$2:$D$957,MATCH(Filter!B178,TeAllPoints!$B$2:$B$957,0))</f>
        <v>IL</v>
      </c>
      <c r="H178" t="str">
        <f>INDEX(TeAllPoints!$E$2:$E$957,MATCH(Filter!B178,TeAllPoints!$B$2:$B$957,0))</f>
        <v>JOHNSON</v>
      </c>
      <c r="I178">
        <f>INDEX('TE_OA_20200805_INTRDY_2020-08-0'!$Q$2:$Q$870,MATCH(Filter!B178,'TE_OA_20200805_INTRDY_2020-08-0'!$G$2:$G$870))</f>
        <v>2141</v>
      </c>
      <c r="J178">
        <f>INDEX('TE_OA_20200805_INTRDY_2020-08-0'!$R$2:$R$870,MATCH(Filter!B178,'TE_OA_20200805_INTRDY_2020-08-0'!$G$2:$G$870))</f>
        <v>13</v>
      </c>
    </row>
    <row r="179" spans="1:10" x14ac:dyDescent="0.25">
      <c r="A179" t="str">
        <f>INDEX('Pipe Table'!$E$2:$E$10,MATCH(INDEX('TE_OA_20200805_INTRDY_2020-08-0'!$T$2:$T$870,MATCH(Filter!B179,'TE_OA_20200805_INTRDY_2020-08-0'!$G$2:$G$870,0)),'Pipe Table'!$D$2:$D$10,0))</f>
        <v>TETCO</v>
      </c>
      <c r="B179">
        <v>71256</v>
      </c>
      <c r="C179" t="str">
        <f>INDEX('TE_OA_20200805_INTRDY_2020-08-0'!$J$2:$J$870,MATCH(Filter!B179,'TE_OA_20200805_INTRDY_2020-08-0'!$G$2:$G$870))</f>
        <v>Delivery</v>
      </c>
      <c r="D179" t="str">
        <f>INDEX('Pipe Table'!$B$2:$B$14,MATCH(INDEX(TeAllPoints!$I$2:$I$957,MATCH(Filter!B179,TeAllPoints!$B$2:$B$957,0)),'Pipe Table'!$A$2:$A$14,0))</f>
        <v>LDC</v>
      </c>
      <c r="E179" t="str">
        <f>INDEX('TE_OA_20200805_INTRDY_2020-08-0'!$H$2:$H$870,MATCH(Filter!B179,'TE_OA_20200805_INTRDY_2020-08-0'!$G$2:$G$870))</f>
        <v>Liberty, KY</v>
      </c>
      <c r="F179" t="str">
        <f>INDEX('Pipe Table'!$H$2:$H$8,MATCH('TE_OA_20200805_INTRDY_2020-08-0'!I160,'Pipe Table'!$G$2:$G$8,0))</f>
        <v>TETCO-M2</v>
      </c>
      <c r="G179" t="str">
        <f>INDEX(TeAllPoints!$D$2:$D$957,MATCH(Filter!B179,TeAllPoints!$B$2:$B$957,0))</f>
        <v>KY</v>
      </c>
      <c r="H179" t="str">
        <f>INDEX(TeAllPoints!$E$2:$E$957,MATCH(Filter!B179,TeAllPoints!$B$2:$B$957,0))</f>
        <v>CASEY</v>
      </c>
      <c r="I179">
        <f>INDEX('TE_OA_20200805_INTRDY_2020-08-0'!$Q$2:$Q$870,MATCH(Filter!B179,'TE_OA_20200805_INTRDY_2020-08-0'!$G$2:$G$870))</f>
        <v>11760</v>
      </c>
      <c r="J179">
        <f>INDEX('TE_OA_20200805_INTRDY_2020-08-0'!$R$2:$R$870,MATCH(Filter!B179,'TE_OA_20200805_INTRDY_2020-08-0'!$G$2:$G$870))</f>
        <v>150</v>
      </c>
    </row>
    <row r="180" spans="1:10" x14ac:dyDescent="0.25">
      <c r="A180" t="str">
        <f>INDEX('Pipe Table'!$E$2:$E$10,MATCH(INDEX('TE_OA_20200805_INTRDY_2020-08-0'!$T$2:$T$870,MATCH(Filter!B180,'TE_OA_20200805_INTRDY_2020-08-0'!$G$2:$G$870,0)),'Pipe Table'!$D$2:$D$10,0))</f>
        <v>TETCO</v>
      </c>
      <c r="B180">
        <v>71287</v>
      </c>
      <c r="C180" t="str">
        <f>INDEX('TE_OA_20200805_INTRDY_2020-08-0'!$J$2:$J$870,MATCH(Filter!B180,'TE_OA_20200805_INTRDY_2020-08-0'!$G$2:$G$870))</f>
        <v>Delivery</v>
      </c>
      <c r="D180" t="str">
        <f>INDEX('Pipe Table'!$B$2:$B$14,MATCH(INDEX(TeAllPoints!$I$2:$I$957,MATCH(Filter!B180,TeAllPoints!$B$2:$B$957,0)),'Pipe Table'!$A$2:$A$14,0))</f>
        <v>LDC</v>
      </c>
      <c r="E180" t="str">
        <f>INDEX('TE_OA_20200805_INTRDY_2020-08-0'!$H$2:$H$870,MATCH(Filter!B180,'TE_OA_20200805_INTRDY_2020-08-0'!$G$2:$G$870))</f>
        <v>Gas Util Dist #2 - Lottie, LA</v>
      </c>
      <c r="F180" t="str">
        <f>INDEX('Pipe Table'!$H$2:$H$8,MATCH('TE_OA_20200805_INTRDY_2020-08-0'!I161,'Pipe Table'!$G$2:$G$8,0))</f>
        <v>TETCO-ELA</v>
      </c>
      <c r="G180" t="str">
        <f>INDEX(TeAllPoints!$D$2:$D$957,MATCH(Filter!B180,TeAllPoints!$B$2:$B$957,0))</f>
        <v>LA</v>
      </c>
      <c r="H180" t="str">
        <f>INDEX(TeAllPoints!$E$2:$E$957,MATCH(Filter!B180,TeAllPoints!$B$2:$B$957,0))</f>
        <v>POINTE COUPEE</v>
      </c>
      <c r="I180">
        <f>INDEX('TE_OA_20200805_INTRDY_2020-08-0'!$Q$2:$Q$870,MATCH(Filter!B180,'TE_OA_20200805_INTRDY_2020-08-0'!$G$2:$G$870))</f>
        <v>2826</v>
      </c>
      <c r="J180">
        <f>INDEX('TE_OA_20200805_INTRDY_2020-08-0'!$R$2:$R$870,MATCH(Filter!B180,'TE_OA_20200805_INTRDY_2020-08-0'!$G$2:$G$870))</f>
        <v>87</v>
      </c>
    </row>
    <row r="181" spans="1:10" x14ac:dyDescent="0.25">
      <c r="A181" t="str">
        <f>INDEX('Pipe Table'!$E$2:$E$10,MATCH(INDEX('TE_OA_20200805_INTRDY_2020-08-0'!$T$2:$T$870,MATCH(Filter!B181,'TE_OA_20200805_INTRDY_2020-08-0'!$G$2:$G$870,0)),'Pipe Table'!$D$2:$D$10,0))</f>
        <v>TETCO</v>
      </c>
      <c r="B181">
        <v>71288</v>
      </c>
      <c r="C181" t="str">
        <f>INDEX('TE_OA_20200805_INTRDY_2020-08-0'!$J$2:$J$870,MATCH(Filter!B181,'TE_OA_20200805_INTRDY_2020-08-0'!$G$2:$G$870))</f>
        <v>Delivery</v>
      </c>
      <c r="D181" t="str">
        <f>INDEX('Pipe Table'!$B$2:$B$14,MATCH(INDEX(TeAllPoints!$I$2:$I$957,MATCH(Filter!B181,TeAllPoints!$B$2:$B$957,0)),'Pipe Table'!$A$2:$A$14,0))</f>
        <v>LDC</v>
      </c>
      <c r="E181" t="str">
        <f>INDEX('TE_OA_20200805_INTRDY_2020-08-0'!$H$2:$H$870,MATCH(Filter!B181,'TE_OA_20200805_INTRDY_2020-08-0'!$G$2:$G$870))</f>
        <v>Gas Util Dist #2 - New Roads, LA</v>
      </c>
      <c r="F181" t="str">
        <f>INDEX('Pipe Table'!$H$2:$H$8,MATCH('TE_OA_20200805_INTRDY_2020-08-0'!I162,'Pipe Table'!$G$2:$G$8,0))</f>
        <v>TETCO-ELA</v>
      </c>
      <c r="G181" t="str">
        <f>INDEX(TeAllPoints!$D$2:$D$957,MATCH(Filter!B181,TeAllPoints!$B$2:$B$957,0))</f>
        <v>LA</v>
      </c>
      <c r="H181" t="str">
        <f>INDEX(TeAllPoints!$E$2:$E$957,MATCH(Filter!B181,TeAllPoints!$B$2:$B$957,0))</f>
        <v>POINTE COUPEE</v>
      </c>
      <c r="I181">
        <f>INDEX('TE_OA_20200805_INTRDY_2020-08-0'!$Q$2:$Q$870,MATCH(Filter!B181,'TE_OA_20200805_INTRDY_2020-08-0'!$G$2:$G$870))</f>
        <v>1980</v>
      </c>
      <c r="J181">
        <f>INDEX('TE_OA_20200805_INTRDY_2020-08-0'!$R$2:$R$870,MATCH(Filter!B181,'TE_OA_20200805_INTRDY_2020-08-0'!$G$2:$G$870))</f>
        <v>22</v>
      </c>
    </row>
    <row r="182" spans="1:10" x14ac:dyDescent="0.25">
      <c r="A182" t="str">
        <f>INDEX('Pipe Table'!$E$2:$E$10,MATCH(INDEX('TE_OA_20200805_INTRDY_2020-08-0'!$T$2:$T$870,MATCH(Filter!B182,'TE_OA_20200805_INTRDY_2020-08-0'!$G$2:$G$870,0)),'Pipe Table'!$D$2:$D$10,0))</f>
        <v>TETCO</v>
      </c>
      <c r="B182">
        <v>71290</v>
      </c>
      <c r="C182" t="str">
        <f>INDEX('TE_OA_20200805_INTRDY_2020-08-0'!$J$2:$J$870,MATCH(Filter!B182,'TE_OA_20200805_INTRDY_2020-08-0'!$G$2:$G$870))</f>
        <v>Receipt</v>
      </c>
      <c r="D182" t="str">
        <f>INDEX('Pipe Table'!$B$2:$B$14,MATCH(INDEX(TeAllPoints!$I$2:$I$957,MATCH(Filter!B182,TeAllPoints!$B$2:$B$957,0)),'Pipe Table'!$A$2:$A$14,0))</f>
        <v>Wellhead</v>
      </c>
      <c r="E182" t="str">
        <f>INDEX('TE_OA_20200805_INTRDY_2020-08-0'!$H$2:$H$870,MATCH(Filter!B182,'TE_OA_20200805_INTRDY_2020-08-0'!$G$2:$G$870))</f>
        <v>Britanco, LLC - Loma Alta Hagist CP, Duval Co., TX</v>
      </c>
      <c r="F182" t="str">
        <f>INDEX('Pipe Table'!$H$2:$H$8,MATCH('TE_OA_20200805_INTRDY_2020-08-0'!I163,'Pipe Table'!$G$2:$G$8,0))</f>
        <v>TETCO-STX</v>
      </c>
      <c r="G182" t="str">
        <f>INDEX(TeAllPoints!$D$2:$D$957,MATCH(Filter!B182,TeAllPoints!$B$2:$B$957,0))</f>
        <v>TX</v>
      </c>
      <c r="H182" t="str">
        <f>INDEX(TeAllPoints!$E$2:$E$957,MATCH(Filter!B182,TeAllPoints!$B$2:$B$957,0))</f>
        <v>DUVAL</v>
      </c>
      <c r="I182">
        <f>INDEX('TE_OA_20200805_INTRDY_2020-08-0'!$Q$2:$Q$870,MATCH(Filter!B182,'TE_OA_20200805_INTRDY_2020-08-0'!$G$2:$G$870))</f>
        <v>9739</v>
      </c>
      <c r="J182">
        <f>INDEX('TE_OA_20200805_INTRDY_2020-08-0'!$R$2:$R$870,MATCH(Filter!B182,'TE_OA_20200805_INTRDY_2020-08-0'!$G$2:$G$870))</f>
        <v>0</v>
      </c>
    </row>
    <row r="183" spans="1:10" x14ac:dyDescent="0.25">
      <c r="A183" t="str">
        <f>INDEX('Pipe Table'!$E$2:$E$10,MATCH(INDEX('TE_OA_20200805_INTRDY_2020-08-0'!$T$2:$T$870,MATCH(Filter!B183,'TE_OA_20200805_INTRDY_2020-08-0'!$G$2:$G$870,0)),'Pipe Table'!$D$2:$D$10,0))</f>
        <v>TETCO</v>
      </c>
      <c r="B183">
        <v>71293</v>
      </c>
      <c r="C183" t="str">
        <f>INDEX('TE_OA_20200805_INTRDY_2020-08-0'!$J$2:$J$870,MATCH(Filter!B183,'TE_OA_20200805_INTRDY_2020-08-0'!$G$2:$G$870))</f>
        <v>Delivery</v>
      </c>
      <c r="D183" t="str">
        <f>INDEX('Pipe Table'!$B$2:$B$14,MATCH(INDEX(TeAllPoints!$I$2:$I$957,MATCH(Filter!B183,TeAllPoints!$B$2:$B$957,0)),'Pipe Table'!$A$2:$A$14,0))</f>
        <v>LDC</v>
      </c>
      <c r="E183" t="str">
        <f>INDEX('TE_OA_20200805_INTRDY_2020-08-0'!$H$2:$H$870,MATCH(Filter!B183,'TE_OA_20200805_INTRDY_2020-08-0'!$G$2:$G$870))</f>
        <v>Loretto, TN</v>
      </c>
      <c r="F183" t="str">
        <f>INDEX('Pipe Table'!$H$2:$H$8,MATCH('TE_OA_20200805_INTRDY_2020-08-0'!I164,'Pipe Table'!$G$2:$G$8,0))</f>
        <v>TETCO-M1</v>
      </c>
      <c r="G183" t="str">
        <f>INDEX(TeAllPoints!$D$2:$D$957,MATCH(Filter!B183,TeAllPoints!$B$2:$B$957,0))</f>
        <v>TN</v>
      </c>
      <c r="H183" t="str">
        <f>INDEX(TeAllPoints!$E$2:$E$957,MATCH(Filter!B183,TeAllPoints!$B$2:$B$957,0))</f>
        <v>LAWRENCE</v>
      </c>
      <c r="I183">
        <f>INDEX('TE_OA_20200805_INTRDY_2020-08-0'!$Q$2:$Q$870,MATCH(Filter!B183,'TE_OA_20200805_INTRDY_2020-08-0'!$G$2:$G$870))</f>
        <v>2726</v>
      </c>
      <c r="J183">
        <f>INDEX('TE_OA_20200805_INTRDY_2020-08-0'!$R$2:$R$870,MATCH(Filter!B183,'TE_OA_20200805_INTRDY_2020-08-0'!$G$2:$G$870))</f>
        <v>100</v>
      </c>
    </row>
    <row r="184" spans="1:10" x14ac:dyDescent="0.25">
      <c r="A184" t="str">
        <f>INDEX('Pipe Table'!$E$2:$E$10,MATCH(INDEX('TE_OA_20200805_INTRDY_2020-08-0'!$T$2:$T$870,MATCH(Filter!B184,'TE_OA_20200805_INTRDY_2020-08-0'!$G$2:$G$870,0)),'Pipe Table'!$D$2:$D$10,0))</f>
        <v>TETCO</v>
      </c>
      <c r="B184">
        <v>71297</v>
      </c>
      <c r="C184" t="str">
        <f>INDEX('TE_OA_20200805_INTRDY_2020-08-0'!$J$2:$J$870,MATCH(Filter!B184,'TE_OA_20200805_INTRDY_2020-08-0'!$G$2:$G$870))</f>
        <v>Delivery</v>
      </c>
      <c r="D184" t="str">
        <f>INDEX('Pipe Table'!$B$2:$B$14,MATCH(INDEX(TeAllPoints!$I$2:$I$957,MATCH(Filter!B184,TeAllPoints!$B$2:$B$957,0)),'Pipe Table'!$A$2:$A$14,0))</f>
        <v>LDC</v>
      </c>
      <c r="E184" t="str">
        <f>INDEX('TE_OA_20200805_INTRDY_2020-08-0'!$H$2:$H$870,MATCH(Filter!B184,'TE_OA_20200805_INTRDY_2020-08-0'!$G$2:$G$870))</f>
        <v>Weir, Choctaw Co., MS</v>
      </c>
      <c r="F184" t="str">
        <f>INDEX('Pipe Table'!$H$2:$H$8,MATCH('TE_OA_20200805_INTRDY_2020-08-0'!I165,'Pipe Table'!$G$2:$G$8,0))</f>
        <v>TETCO-M1</v>
      </c>
      <c r="G184" t="str">
        <f>INDEX(TeAllPoints!$D$2:$D$957,MATCH(Filter!B184,TeAllPoints!$B$2:$B$957,0))</f>
        <v>MS</v>
      </c>
      <c r="H184" t="str">
        <f>INDEX(TeAllPoints!$E$2:$E$957,MATCH(Filter!B184,TeAllPoints!$B$2:$B$957,0))</f>
        <v>CHOCTAW</v>
      </c>
      <c r="I184">
        <f>INDEX('TE_OA_20200805_INTRDY_2020-08-0'!$Q$2:$Q$870,MATCH(Filter!B184,'TE_OA_20200805_INTRDY_2020-08-0'!$G$2:$G$870))</f>
        <v>1244</v>
      </c>
      <c r="J184">
        <f>INDEX('TE_OA_20200805_INTRDY_2020-08-0'!$R$2:$R$870,MATCH(Filter!B184,'TE_OA_20200805_INTRDY_2020-08-0'!$G$2:$G$870))</f>
        <v>1</v>
      </c>
    </row>
    <row r="185" spans="1:10" x14ac:dyDescent="0.25">
      <c r="A185" t="str">
        <f>INDEX('Pipe Table'!$E$2:$E$10,MATCH(INDEX('TE_OA_20200805_INTRDY_2020-08-0'!$T$2:$T$870,MATCH(Filter!B185,'TE_OA_20200805_INTRDY_2020-08-0'!$G$2:$G$870,0)),'Pipe Table'!$D$2:$D$10,0))</f>
        <v>TETCO</v>
      </c>
      <c r="B185">
        <v>71298</v>
      </c>
      <c r="C185" t="str">
        <f>INDEX('TE_OA_20200805_INTRDY_2020-08-0'!$J$2:$J$870,MATCH(Filter!B185,'TE_OA_20200805_INTRDY_2020-08-0'!$G$2:$G$870))</f>
        <v>Delivery</v>
      </c>
      <c r="D185" t="str">
        <f>INDEX('Pipe Table'!$B$2:$B$14,MATCH(INDEX(TeAllPoints!$I$2:$I$957,MATCH(Filter!B185,TeAllPoints!$B$2:$B$957,0)),'Pipe Table'!$A$2:$A$14,0))</f>
        <v>Intrcnnct</v>
      </c>
      <c r="E185" t="str">
        <f>INDEX('TE_OA_20200805_INTRDY_2020-08-0'!$H$2:$H$870,MATCH(Filter!B185,'TE_OA_20200805_INTRDY_2020-08-0'!$G$2:$G$870))</f>
        <v>E.Tennessee Gas - Mt. Pleasant, Giles Co. TN -DEL (B/D 76298)</v>
      </c>
      <c r="F185" t="str">
        <f>INDEX('Pipe Table'!$H$2:$H$8,MATCH('TE_OA_20200805_INTRDY_2020-08-0'!I166,'Pipe Table'!$G$2:$G$8,0))</f>
        <v>TETCO-M1</v>
      </c>
      <c r="G185" t="str">
        <f>INDEX(TeAllPoints!$D$2:$D$957,MATCH(Filter!B185,TeAllPoints!$B$2:$B$957,0))</f>
        <v>TN</v>
      </c>
      <c r="H185" t="str">
        <f>INDEX(TeAllPoints!$E$2:$E$957,MATCH(Filter!B185,TeAllPoints!$B$2:$B$957,0))</f>
        <v>GILES</v>
      </c>
      <c r="I185">
        <f>INDEX('TE_OA_20200805_INTRDY_2020-08-0'!$Q$2:$Q$870,MATCH(Filter!B185,'TE_OA_20200805_INTRDY_2020-08-0'!$G$2:$G$870))</f>
        <v>549003</v>
      </c>
      <c r="J185">
        <f>INDEX('TE_OA_20200805_INTRDY_2020-08-0'!$R$2:$R$870,MATCH(Filter!B185,'TE_OA_20200805_INTRDY_2020-08-0'!$G$2:$G$870))</f>
        <v>39157</v>
      </c>
    </row>
    <row r="186" spans="1:10" x14ac:dyDescent="0.25">
      <c r="A186" t="str">
        <f>INDEX('Pipe Table'!$E$2:$E$10,MATCH(INDEX('TE_OA_20200805_INTRDY_2020-08-0'!$T$2:$T$870,MATCH(Filter!B186,'TE_OA_20200805_INTRDY_2020-08-0'!$G$2:$G$870,0)),'Pipe Table'!$D$2:$D$10,0))</f>
        <v>TETCO</v>
      </c>
      <c r="B186">
        <v>71299</v>
      </c>
      <c r="C186" t="str">
        <f>INDEX('TE_OA_20200805_INTRDY_2020-08-0'!$J$2:$J$870,MATCH(Filter!B186,'TE_OA_20200805_INTRDY_2020-08-0'!$G$2:$G$870))</f>
        <v>Delivery</v>
      </c>
      <c r="D186" t="str">
        <f>INDEX('Pipe Table'!$B$2:$B$14,MATCH(INDEX(TeAllPoints!$I$2:$I$957,MATCH(Filter!B186,TeAllPoints!$B$2:$B$957,0)),'Pipe Table'!$A$2:$A$14,0))</f>
        <v>Intrcnnct</v>
      </c>
      <c r="E186" t="str">
        <f>INDEX('TE_OA_20200805_INTRDY_2020-08-0'!$H$2:$H$870,MATCH(Filter!B186,'TE_OA_20200805_INTRDY_2020-08-0'!$G$2:$G$870))</f>
        <v>East Tenn Gas - Hartsville, TN</v>
      </c>
      <c r="F186" t="str">
        <f>INDEX('Pipe Table'!$H$2:$H$8,MATCH('TE_OA_20200805_INTRDY_2020-08-0'!I167,'Pipe Table'!$G$2:$G$8,0))</f>
        <v>TETCO-M1</v>
      </c>
      <c r="G186" t="str">
        <f>INDEX(TeAllPoints!$D$2:$D$957,MATCH(Filter!B186,TeAllPoints!$B$2:$B$957,0))</f>
        <v>TN</v>
      </c>
      <c r="H186" t="str">
        <f>INDEX(TeAllPoints!$E$2:$E$957,MATCH(Filter!B186,TeAllPoints!$B$2:$B$957,0))</f>
        <v>TROUSDALE</v>
      </c>
      <c r="I186">
        <f>INDEX('TE_OA_20200805_INTRDY_2020-08-0'!$Q$2:$Q$870,MATCH(Filter!B186,'TE_OA_20200805_INTRDY_2020-08-0'!$G$2:$G$870))</f>
        <v>635100</v>
      </c>
      <c r="J186">
        <f>INDEX('TE_OA_20200805_INTRDY_2020-08-0'!$R$2:$R$870,MATCH(Filter!B186,'TE_OA_20200805_INTRDY_2020-08-0'!$G$2:$G$870))</f>
        <v>0</v>
      </c>
    </row>
    <row r="187" spans="1:10" x14ac:dyDescent="0.25">
      <c r="A187" t="str">
        <f>INDEX('Pipe Table'!$E$2:$E$10,MATCH(INDEX('TE_OA_20200805_INTRDY_2020-08-0'!$T$2:$T$870,MATCH(Filter!B187,'TE_OA_20200805_INTRDY_2020-08-0'!$G$2:$G$870,0)),'Pipe Table'!$D$2:$D$10,0))</f>
        <v>TETCO</v>
      </c>
      <c r="B187">
        <v>71331</v>
      </c>
      <c r="C187" t="str">
        <f>INDEX('TE_OA_20200805_INTRDY_2020-08-0'!$J$2:$J$870,MATCH(Filter!B187,'TE_OA_20200805_INTRDY_2020-08-0'!$G$2:$G$870))</f>
        <v>Delivery</v>
      </c>
      <c r="D187" t="str">
        <f>INDEX('Pipe Table'!$B$2:$B$14,MATCH(INDEX(TeAllPoints!$I$2:$I$957,MATCH(Filter!B187,TeAllPoints!$B$2:$B$957,0)),'Pipe Table'!$A$2:$A$14,0))</f>
        <v>LDC</v>
      </c>
      <c r="E187" t="str">
        <f>INDEX('TE_OA_20200805_INTRDY_2020-08-0'!$H$2:$H$870,MATCH(Filter!B187,'TE_OA_20200805_INTRDY_2020-08-0'!$G$2:$G$870))</f>
        <v>Thebes, IL</v>
      </c>
      <c r="F187" t="str">
        <f>INDEX('Pipe Table'!$H$2:$H$8,MATCH('TE_OA_20200805_INTRDY_2020-08-0'!I168,'Pipe Table'!$G$2:$G$8,0))</f>
        <v>TETCO-M1</v>
      </c>
      <c r="G187" t="str">
        <f>INDEX(TeAllPoints!$D$2:$D$957,MATCH(Filter!B187,TeAllPoints!$B$2:$B$957,0))</f>
        <v>IL</v>
      </c>
      <c r="H187" t="str">
        <f>INDEX(TeAllPoints!$E$2:$E$957,MATCH(Filter!B187,TeAllPoints!$B$2:$B$957,0))</f>
        <v>ALEXANDER</v>
      </c>
      <c r="I187">
        <f>INDEX('TE_OA_20200805_INTRDY_2020-08-0'!$Q$2:$Q$870,MATCH(Filter!B187,'TE_OA_20200805_INTRDY_2020-08-0'!$G$2:$G$870))</f>
        <v>1617</v>
      </c>
      <c r="J187">
        <f>INDEX('TE_OA_20200805_INTRDY_2020-08-0'!$R$2:$R$870,MATCH(Filter!B187,'TE_OA_20200805_INTRDY_2020-08-0'!$G$2:$G$870))</f>
        <v>1</v>
      </c>
    </row>
    <row r="188" spans="1:10" x14ac:dyDescent="0.25">
      <c r="A188" t="str">
        <f>INDEX('Pipe Table'!$E$2:$E$10,MATCH(INDEX('TE_OA_20200805_INTRDY_2020-08-0'!$T$2:$T$870,MATCH(Filter!B188,'TE_OA_20200805_INTRDY_2020-08-0'!$G$2:$G$870,0)),'Pipe Table'!$D$2:$D$10,0))</f>
        <v>TETCO</v>
      </c>
      <c r="B188">
        <v>71353</v>
      </c>
      <c r="C188" t="str">
        <f>INDEX('TE_OA_20200805_INTRDY_2020-08-0'!$J$2:$J$870,MATCH(Filter!B188,'TE_OA_20200805_INTRDY_2020-08-0'!$G$2:$G$870))</f>
        <v>Delivery</v>
      </c>
      <c r="D188" t="str">
        <f>INDEX('Pipe Table'!$B$2:$B$14,MATCH(INDEX(TeAllPoints!$I$2:$I$957,MATCH(Filter!B188,TeAllPoints!$B$2:$B$957,0)),'Pipe Table'!$A$2:$A$14,0))</f>
        <v>Intrcnnct</v>
      </c>
      <c r="E188" t="str">
        <f>INDEX('TE_OA_20200805_INTRDY_2020-08-0'!$H$2:$H$870,MATCH(Filter!B188,'TE_OA_20200805_INTRDY_2020-08-0'!$G$2:$G$870))</f>
        <v>Col. Gas - East Middletown, OH</v>
      </c>
      <c r="F188" t="str">
        <f>INDEX('Pipe Table'!$H$2:$H$8,MATCH('TE_OA_20200805_INTRDY_2020-08-0'!I169,'Pipe Table'!$G$2:$G$8,0))</f>
        <v>TETCO-M2</v>
      </c>
      <c r="G188" t="str">
        <f>INDEX(TeAllPoints!$D$2:$D$957,MATCH(Filter!B188,TeAllPoints!$B$2:$B$957,0))</f>
        <v>OH</v>
      </c>
      <c r="H188" t="str">
        <f>INDEX(TeAllPoints!$E$2:$E$957,MATCH(Filter!B188,TeAllPoints!$B$2:$B$957,0))</f>
        <v>WARREN</v>
      </c>
      <c r="I188">
        <f>INDEX('TE_OA_20200805_INTRDY_2020-08-0'!$Q$2:$Q$870,MATCH(Filter!B188,'TE_OA_20200805_INTRDY_2020-08-0'!$G$2:$G$870))</f>
        <v>11461</v>
      </c>
      <c r="J188">
        <f>INDEX('TE_OA_20200805_INTRDY_2020-08-0'!$R$2:$R$870,MATCH(Filter!B188,'TE_OA_20200805_INTRDY_2020-08-0'!$G$2:$G$870))</f>
        <v>2500</v>
      </c>
    </row>
    <row r="189" spans="1:10" x14ac:dyDescent="0.25">
      <c r="A189" t="str">
        <f>INDEX('Pipe Table'!$E$2:$E$10,MATCH(INDEX('TE_OA_20200805_INTRDY_2020-08-0'!$T$2:$T$870,MATCH(Filter!B189,'TE_OA_20200805_INTRDY_2020-08-0'!$G$2:$G$870,0)),'Pipe Table'!$D$2:$D$10,0))</f>
        <v>TETCO</v>
      </c>
      <c r="B189">
        <v>71362</v>
      </c>
      <c r="C189" t="str">
        <f>INDEX('TE_OA_20200805_INTRDY_2020-08-0'!$J$2:$J$870,MATCH(Filter!B189,'TE_OA_20200805_INTRDY_2020-08-0'!$G$2:$G$870))</f>
        <v>Delivery</v>
      </c>
      <c r="D189" t="str">
        <f>INDEX('Pipe Table'!$B$2:$B$14,MATCH(INDEX(TeAllPoints!$I$2:$I$957,MATCH(Filter!B189,TeAllPoints!$B$2:$B$957,0)),'Pipe Table'!$A$2:$A$14,0))</f>
        <v>LDC</v>
      </c>
      <c r="E189" t="str">
        <f>INDEX('TE_OA_20200805_INTRDY_2020-08-0'!$H$2:$H$870,MATCH(Filter!B189,'TE_OA_20200805_INTRDY_2020-08-0'!$G$2:$G$870))</f>
        <v>Jonesboro, IL</v>
      </c>
      <c r="F189" t="str">
        <f>INDEX('Pipe Table'!$H$2:$H$8,MATCH('TE_OA_20200805_INTRDY_2020-08-0'!I170,'Pipe Table'!$G$2:$G$8,0))</f>
        <v>TETCO-M1</v>
      </c>
      <c r="G189" t="str">
        <f>INDEX(TeAllPoints!$D$2:$D$957,MATCH(Filter!B189,TeAllPoints!$B$2:$B$957,0))</f>
        <v>IL</v>
      </c>
      <c r="H189" t="str">
        <f>INDEX(TeAllPoints!$E$2:$E$957,MATCH(Filter!B189,TeAllPoints!$B$2:$B$957,0))</f>
        <v>UNION</v>
      </c>
      <c r="I189">
        <f>INDEX('TE_OA_20200805_INTRDY_2020-08-0'!$Q$2:$Q$870,MATCH(Filter!B189,'TE_OA_20200805_INTRDY_2020-08-0'!$G$2:$G$870))</f>
        <v>3246</v>
      </c>
      <c r="J189">
        <f>INDEX('TE_OA_20200805_INTRDY_2020-08-0'!$R$2:$R$870,MATCH(Filter!B189,'TE_OA_20200805_INTRDY_2020-08-0'!$G$2:$G$870))</f>
        <v>28</v>
      </c>
    </row>
    <row r="190" spans="1:10" x14ac:dyDescent="0.25">
      <c r="A190" t="str">
        <f>INDEX('Pipe Table'!$E$2:$E$10,MATCH(INDEX('TE_OA_20200805_INTRDY_2020-08-0'!$T$2:$T$870,MATCH(Filter!B190,'TE_OA_20200805_INTRDY_2020-08-0'!$G$2:$G$870,0)),'Pipe Table'!$D$2:$D$10,0))</f>
        <v>TETCO</v>
      </c>
      <c r="B190">
        <v>71363</v>
      </c>
      <c r="C190" t="str">
        <f>INDEX('TE_OA_20200805_INTRDY_2020-08-0'!$J$2:$J$870,MATCH(Filter!B190,'TE_OA_20200805_INTRDY_2020-08-0'!$G$2:$G$870))</f>
        <v>Delivery</v>
      </c>
      <c r="D190" t="str">
        <f>INDEX('Pipe Table'!$B$2:$B$14,MATCH(INDEX(TeAllPoints!$I$2:$I$957,MATCH(Filter!B190,TeAllPoints!$B$2:$B$957,0)),'Pipe Table'!$A$2:$A$14,0))</f>
        <v>Intrcnnct</v>
      </c>
      <c r="E190" t="str">
        <f>INDEX('TE_OA_20200805_INTRDY_2020-08-0'!$H$2:$H$870,MATCH(Filter!B190,'TE_OA_20200805_INTRDY_2020-08-0'!$G$2:$G$870))</f>
        <v>Columbia Gas of  PA.  - Pleasant Gap, PA</v>
      </c>
      <c r="F190" t="str">
        <f>INDEX('Pipe Table'!$H$2:$H$8,MATCH('TE_OA_20200805_INTRDY_2020-08-0'!I171,'Pipe Table'!$G$2:$G$8,0))</f>
        <v>TETCO-M3</v>
      </c>
      <c r="G190" t="str">
        <f>INDEX(TeAllPoints!$D$2:$D$957,MATCH(Filter!B190,TeAllPoints!$B$2:$B$957,0))</f>
        <v>PA</v>
      </c>
      <c r="H190" t="str">
        <f>INDEX(TeAllPoints!$E$2:$E$957,MATCH(Filter!B190,TeAllPoints!$B$2:$B$957,0))</f>
        <v>CENTRE</v>
      </c>
      <c r="I190">
        <f>INDEX('TE_OA_20200805_INTRDY_2020-08-0'!$Q$2:$Q$870,MATCH(Filter!B190,'TE_OA_20200805_INTRDY_2020-08-0'!$G$2:$G$870))</f>
        <v>20788</v>
      </c>
      <c r="J190">
        <f>INDEX('TE_OA_20200805_INTRDY_2020-08-0'!$R$2:$R$870,MATCH(Filter!B190,'TE_OA_20200805_INTRDY_2020-08-0'!$G$2:$G$870))</f>
        <v>638</v>
      </c>
    </row>
    <row r="191" spans="1:10" x14ac:dyDescent="0.25">
      <c r="A191" t="str">
        <f>INDEX('Pipe Table'!$E$2:$E$10,MATCH(INDEX('TE_OA_20200805_INTRDY_2020-08-0'!$T$2:$T$870,MATCH(Filter!B191,'TE_OA_20200805_INTRDY_2020-08-0'!$G$2:$G$870,0)),'Pipe Table'!$D$2:$D$10,0))</f>
        <v>TETCO</v>
      </c>
      <c r="B191">
        <v>71366</v>
      </c>
      <c r="C191" t="str">
        <f>INDEX('TE_OA_20200805_INTRDY_2020-08-0'!$J$2:$J$870,MATCH(Filter!B191,'TE_OA_20200805_INTRDY_2020-08-0'!$G$2:$G$870))</f>
        <v>Delivery</v>
      </c>
      <c r="D191" t="str">
        <f>INDEX('Pipe Table'!$B$2:$B$14,MATCH(INDEX(TeAllPoints!$I$2:$I$957,MATCH(Filter!B191,TeAllPoints!$B$2:$B$957,0)),'Pipe Table'!$A$2:$A$14,0))</f>
        <v>LDC</v>
      </c>
      <c r="E191" t="str">
        <f>INDEX('TE_OA_20200805_INTRDY_2020-08-0'!$H$2:$H$870,MATCH(Filter!B191,'TE_OA_20200805_INTRDY_2020-08-0'!$G$2:$G$870))</f>
        <v>Osgood, IN</v>
      </c>
      <c r="F191" t="str">
        <f>INDEX('Pipe Table'!$H$2:$H$8,MATCH('TE_OA_20200805_INTRDY_2020-08-0'!I172,'Pipe Table'!$G$2:$G$8,0))</f>
        <v>TETCO-M2</v>
      </c>
      <c r="G191" t="str">
        <f>INDEX(TeAllPoints!$D$2:$D$957,MATCH(Filter!B191,TeAllPoints!$B$2:$B$957,0))</f>
        <v>IN</v>
      </c>
      <c r="H191" t="str">
        <f>INDEX(TeAllPoints!$E$2:$E$957,MATCH(Filter!B191,TeAllPoints!$B$2:$B$957,0))</f>
        <v>RIPLEY</v>
      </c>
      <c r="I191">
        <f>INDEX('TE_OA_20200805_INTRDY_2020-08-0'!$Q$2:$Q$870,MATCH(Filter!B191,'TE_OA_20200805_INTRDY_2020-08-0'!$G$2:$G$870))</f>
        <v>2488</v>
      </c>
      <c r="J191">
        <f>INDEX('TE_OA_20200805_INTRDY_2020-08-0'!$R$2:$R$870,MATCH(Filter!B191,'TE_OA_20200805_INTRDY_2020-08-0'!$G$2:$G$870))</f>
        <v>65</v>
      </c>
    </row>
    <row r="192" spans="1:10" x14ac:dyDescent="0.25">
      <c r="A192" t="str">
        <f>INDEX('Pipe Table'!$E$2:$E$10,MATCH(INDEX('TE_OA_20200805_INTRDY_2020-08-0'!$T$2:$T$870,MATCH(Filter!B192,'TE_OA_20200805_INTRDY_2020-08-0'!$G$2:$G$870,0)),'Pipe Table'!$D$2:$D$10,0))</f>
        <v>TETCO</v>
      </c>
      <c r="B192">
        <v>71401</v>
      </c>
      <c r="C192" t="str">
        <f>INDEX('TE_OA_20200805_INTRDY_2020-08-0'!$J$2:$J$870,MATCH(Filter!B192,'TE_OA_20200805_INTRDY_2020-08-0'!$G$2:$G$870))</f>
        <v>Delivery</v>
      </c>
      <c r="D192" t="str">
        <f>INDEX('Pipe Table'!$B$2:$B$14,MATCH(INDEX(TeAllPoints!$I$2:$I$957,MATCH(Filter!B192,TeAllPoints!$B$2:$B$957,0)),'Pipe Table'!$A$2:$A$14,0))</f>
        <v>LDC</v>
      </c>
      <c r="E192" t="str">
        <f>INDEX('TE_OA_20200805_INTRDY_2020-08-0'!$H$2:$H$870,MATCH(Filter!B192,'TE_OA_20200805_INTRDY_2020-08-0'!$G$2:$G$870))</f>
        <v>United Cities - Galatia, IL</v>
      </c>
      <c r="F192" t="str">
        <f>INDEX('Pipe Table'!$H$2:$H$8,MATCH('TE_OA_20200805_INTRDY_2020-08-0'!I173,'Pipe Table'!$G$2:$G$8,0))</f>
        <v>TETCO-M1</v>
      </c>
      <c r="G192" t="str">
        <f>INDEX(TeAllPoints!$D$2:$D$957,MATCH(Filter!B192,TeAllPoints!$B$2:$B$957,0))</f>
        <v>IL</v>
      </c>
      <c r="H192" t="str">
        <f>INDEX(TeAllPoints!$E$2:$E$957,MATCH(Filter!B192,TeAllPoints!$B$2:$B$957,0))</f>
        <v>SALINE</v>
      </c>
      <c r="I192">
        <f>INDEX('TE_OA_20200805_INTRDY_2020-08-0'!$Q$2:$Q$870,MATCH(Filter!B192,'TE_OA_20200805_INTRDY_2020-08-0'!$G$2:$G$870))</f>
        <v>7334</v>
      </c>
      <c r="J192">
        <f>INDEX('TE_OA_20200805_INTRDY_2020-08-0'!$R$2:$R$870,MATCH(Filter!B192,'TE_OA_20200805_INTRDY_2020-08-0'!$G$2:$G$870))</f>
        <v>0</v>
      </c>
    </row>
    <row r="193" spans="1:10" x14ac:dyDescent="0.25">
      <c r="A193" t="str">
        <f>INDEX('Pipe Table'!$E$2:$E$10,MATCH(INDEX('TE_OA_20200805_INTRDY_2020-08-0'!$T$2:$T$870,MATCH(Filter!B193,'TE_OA_20200805_INTRDY_2020-08-0'!$G$2:$G$870,0)),'Pipe Table'!$D$2:$D$10,0))</f>
        <v>TETCO</v>
      </c>
      <c r="B193">
        <v>71402</v>
      </c>
      <c r="C193" t="str">
        <f>INDEX('TE_OA_20200805_INTRDY_2020-08-0'!$J$2:$J$870,MATCH(Filter!B193,'TE_OA_20200805_INTRDY_2020-08-0'!$G$2:$G$870))</f>
        <v>Delivery</v>
      </c>
      <c r="D193" t="str">
        <f>INDEX('Pipe Table'!$B$2:$B$14,MATCH(INDEX(TeAllPoints!$I$2:$I$957,MATCH(Filter!B193,TeAllPoints!$B$2:$B$957,0)),'Pipe Table'!$A$2:$A$14,0))</f>
        <v>LDC</v>
      </c>
      <c r="E193" t="str">
        <f>INDEX('TE_OA_20200805_INTRDY_2020-08-0'!$H$2:$H$870,MATCH(Filter!B193,'TE_OA_20200805_INTRDY_2020-08-0'!$G$2:$G$870))</f>
        <v>Creal Springs, IL</v>
      </c>
      <c r="F193" t="str">
        <f>INDEX('Pipe Table'!$H$2:$H$8,MATCH('TE_OA_20200805_INTRDY_2020-08-0'!I174,'Pipe Table'!$G$2:$G$8,0))</f>
        <v>TETCO-M1</v>
      </c>
      <c r="G193" t="str">
        <f>INDEX(TeAllPoints!$D$2:$D$957,MATCH(Filter!B193,TeAllPoints!$B$2:$B$957,0))</f>
        <v>IL</v>
      </c>
      <c r="H193" t="str">
        <f>INDEX(TeAllPoints!$E$2:$E$957,MATCH(Filter!B193,TeAllPoints!$B$2:$B$957,0))</f>
        <v>WILLIAMSON</v>
      </c>
      <c r="I193">
        <f>INDEX('TE_OA_20200805_INTRDY_2020-08-0'!$Q$2:$Q$870,MATCH(Filter!B193,'TE_OA_20200805_INTRDY_2020-08-0'!$G$2:$G$870))</f>
        <v>1962</v>
      </c>
      <c r="J193">
        <f>INDEX('TE_OA_20200805_INTRDY_2020-08-0'!$R$2:$R$870,MATCH(Filter!B193,'TE_OA_20200805_INTRDY_2020-08-0'!$G$2:$G$870))</f>
        <v>5</v>
      </c>
    </row>
    <row r="194" spans="1:10" x14ac:dyDescent="0.25">
      <c r="A194" t="str">
        <f>INDEX('Pipe Table'!$E$2:$E$10,MATCH(INDEX('TE_OA_20200805_INTRDY_2020-08-0'!$T$2:$T$870,MATCH(Filter!B194,'TE_OA_20200805_INTRDY_2020-08-0'!$G$2:$G$870,0)),'Pipe Table'!$D$2:$D$10,0))</f>
        <v>TETCO</v>
      </c>
      <c r="B194">
        <v>71423</v>
      </c>
      <c r="C194" t="str">
        <f>INDEX('TE_OA_20200805_INTRDY_2020-08-0'!$J$2:$J$870,MATCH(Filter!B194,'TE_OA_20200805_INTRDY_2020-08-0'!$G$2:$G$870))</f>
        <v>Delivery</v>
      </c>
      <c r="D194" t="str">
        <f>INDEX('Pipe Table'!$B$2:$B$14,MATCH(INDEX(TeAllPoints!$I$2:$I$957,MATCH(Filter!B194,TeAllPoints!$B$2:$B$957,0)),'Pipe Table'!$A$2:$A$14,0))</f>
        <v>LDC</v>
      </c>
      <c r="E194" t="str">
        <f>INDEX('TE_OA_20200805_INTRDY_2020-08-0'!$H$2:$H$870,MATCH(Filter!B194,'TE_OA_20200805_INTRDY_2020-08-0'!$G$2:$G$870))</f>
        <v>New Jersey Natural - Montville, NJ</v>
      </c>
      <c r="F194" t="str">
        <f>INDEX('Pipe Table'!$H$2:$H$8,MATCH('TE_OA_20200805_INTRDY_2020-08-0'!I175,'Pipe Table'!$G$2:$G$8,0))</f>
        <v>TETCO-M3</v>
      </c>
      <c r="G194" t="str">
        <f>INDEX(TeAllPoints!$D$2:$D$957,MATCH(Filter!B194,TeAllPoints!$B$2:$B$957,0))</f>
        <v>NJ</v>
      </c>
      <c r="H194" t="str">
        <f>INDEX(TeAllPoints!$E$2:$E$957,MATCH(Filter!B194,TeAllPoints!$B$2:$B$957,0))</f>
        <v>MORRIS</v>
      </c>
      <c r="I194">
        <f>INDEX('TE_OA_20200805_INTRDY_2020-08-0'!$Q$2:$Q$870,MATCH(Filter!B194,'TE_OA_20200805_INTRDY_2020-08-0'!$G$2:$G$870))</f>
        <v>54105</v>
      </c>
      <c r="J194">
        <f>INDEX('TE_OA_20200805_INTRDY_2020-08-0'!$R$2:$R$870,MATCH(Filter!B194,'TE_OA_20200805_INTRDY_2020-08-0'!$G$2:$G$870))</f>
        <v>0</v>
      </c>
    </row>
    <row r="195" spans="1:10" x14ac:dyDescent="0.25">
      <c r="A195" t="str">
        <f>INDEX('Pipe Table'!$E$2:$E$10,MATCH(INDEX('TE_OA_20200805_INTRDY_2020-08-0'!$T$2:$T$870,MATCH(Filter!B195,'TE_OA_20200805_INTRDY_2020-08-0'!$G$2:$G$870,0)),'Pipe Table'!$D$2:$D$10,0))</f>
        <v>TETCO</v>
      </c>
      <c r="B195">
        <v>71424</v>
      </c>
      <c r="C195" t="str">
        <f>INDEX('TE_OA_20200805_INTRDY_2020-08-0'!$J$2:$J$870,MATCH(Filter!B195,'TE_OA_20200805_INTRDY_2020-08-0'!$G$2:$G$870))</f>
        <v>Delivery</v>
      </c>
      <c r="D195" t="str">
        <f>INDEX('Pipe Table'!$B$2:$B$14,MATCH(INDEX(TeAllPoints!$I$2:$I$957,MATCH(Filter!B195,TeAllPoints!$B$2:$B$957,0)),'Pipe Table'!$A$2:$A$14,0))</f>
        <v>LDC</v>
      </c>
      <c r="E195" t="str">
        <f>INDEX('TE_OA_20200805_INTRDY_2020-08-0'!$H$2:$H$870,MATCH(Filter!B195,'TE_OA_20200805_INTRDY_2020-08-0'!$G$2:$G$870))</f>
        <v>New Roads, LA</v>
      </c>
      <c r="F195" t="str">
        <f>INDEX('Pipe Table'!$H$2:$H$8,MATCH('TE_OA_20200805_INTRDY_2020-08-0'!I176,'Pipe Table'!$G$2:$G$8,0))</f>
        <v>TETCO-ELA</v>
      </c>
      <c r="G195" t="str">
        <f>INDEX(TeAllPoints!$D$2:$D$957,MATCH(Filter!B195,TeAllPoints!$B$2:$B$957,0))</f>
        <v>LA</v>
      </c>
      <c r="H195" t="str">
        <f>INDEX(TeAllPoints!$E$2:$E$957,MATCH(Filter!B195,TeAllPoints!$B$2:$B$957,0))</f>
        <v>POINTE COUPEE</v>
      </c>
      <c r="I195">
        <f>INDEX('TE_OA_20200805_INTRDY_2020-08-0'!$Q$2:$Q$870,MATCH(Filter!B195,'TE_OA_20200805_INTRDY_2020-08-0'!$G$2:$G$870))</f>
        <v>8653</v>
      </c>
      <c r="J195">
        <f>INDEX('TE_OA_20200805_INTRDY_2020-08-0'!$R$2:$R$870,MATCH(Filter!B195,'TE_OA_20200805_INTRDY_2020-08-0'!$G$2:$G$870))</f>
        <v>125</v>
      </c>
    </row>
    <row r="196" spans="1:10" x14ac:dyDescent="0.25">
      <c r="A196" t="str">
        <f>INDEX('Pipe Table'!$E$2:$E$10,MATCH(INDEX('TE_OA_20200805_INTRDY_2020-08-0'!$T$2:$T$870,MATCH(Filter!B196,'TE_OA_20200805_INTRDY_2020-08-0'!$G$2:$G$870,0)),'Pipe Table'!$D$2:$D$10,0))</f>
        <v>TETCO</v>
      </c>
      <c r="B196">
        <v>71425</v>
      </c>
      <c r="C196" t="str">
        <f>INDEX('TE_OA_20200805_INTRDY_2020-08-0'!$J$2:$J$870,MATCH(Filter!B196,'TE_OA_20200805_INTRDY_2020-08-0'!$G$2:$G$870))</f>
        <v>Delivery</v>
      </c>
      <c r="D196" t="str">
        <f>INDEX('Pipe Table'!$B$2:$B$14,MATCH(INDEX(TeAllPoints!$I$2:$I$957,MATCH(Filter!B196,TeAllPoints!$B$2:$B$957,0)),'Pipe Table'!$A$2:$A$14,0))</f>
        <v>LDC</v>
      </c>
      <c r="E196" t="str">
        <f>INDEX('TE_OA_20200805_INTRDY_2020-08-0'!$H$2:$H$870,MATCH(Filter!B196,'TE_OA_20200805_INTRDY_2020-08-0'!$G$2:$G$870))</f>
        <v>Morganza, LA</v>
      </c>
      <c r="F196" t="str">
        <f>INDEX('Pipe Table'!$H$2:$H$8,MATCH('TE_OA_20200805_INTRDY_2020-08-0'!I177,'Pipe Table'!$G$2:$G$8,0))</f>
        <v>TETCO-ELA</v>
      </c>
      <c r="G196" t="str">
        <f>INDEX(TeAllPoints!$D$2:$D$957,MATCH(Filter!B196,TeAllPoints!$B$2:$B$957,0))</f>
        <v>LA</v>
      </c>
      <c r="H196" t="str">
        <f>INDEX(TeAllPoints!$E$2:$E$957,MATCH(Filter!B196,TeAllPoints!$B$2:$B$957,0))</f>
        <v>POINTE COUPEE</v>
      </c>
      <c r="I196">
        <f>INDEX('TE_OA_20200805_INTRDY_2020-08-0'!$Q$2:$Q$870,MATCH(Filter!B196,'TE_OA_20200805_INTRDY_2020-08-0'!$G$2:$G$870))</f>
        <v>2358</v>
      </c>
      <c r="J196">
        <f>INDEX('TE_OA_20200805_INTRDY_2020-08-0'!$R$2:$R$870,MATCH(Filter!B196,'TE_OA_20200805_INTRDY_2020-08-0'!$G$2:$G$870))</f>
        <v>9</v>
      </c>
    </row>
    <row r="197" spans="1:10" x14ac:dyDescent="0.25">
      <c r="A197" t="str">
        <f>INDEX('Pipe Table'!$E$2:$E$10,MATCH(INDEX('TE_OA_20200805_INTRDY_2020-08-0'!$T$2:$T$870,MATCH(Filter!B197,'TE_OA_20200805_INTRDY_2020-08-0'!$G$2:$G$870,0)),'Pipe Table'!$D$2:$D$10,0))</f>
        <v>TETCO</v>
      </c>
      <c r="B197">
        <v>71426</v>
      </c>
      <c r="C197" t="str">
        <f>INDEX('TE_OA_20200805_INTRDY_2020-08-0'!$J$2:$J$870,MATCH(Filter!B197,'TE_OA_20200805_INTRDY_2020-08-0'!$G$2:$G$870))</f>
        <v>Delivery</v>
      </c>
      <c r="D197" t="str">
        <f>INDEX('Pipe Table'!$B$2:$B$14,MATCH(INDEX(TeAllPoints!$I$2:$I$957,MATCH(Filter!B197,TeAllPoints!$B$2:$B$957,0)),'Pipe Table'!$A$2:$A$14,0))</f>
        <v>LDC</v>
      </c>
      <c r="E197" t="str">
        <f>INDEX('TE_OA_20200805_INTRDY_2020-08-0'!$H$2:$H$870,MATCH(Filter!B197,'TE_OA_20200805_INTRDY_2020-08-0'!$G$2:$G$870))</f>
        <v>Mantachie Gas Dist -Fulton, MS</v>
      </c>
      <c r="F197" t="str">
        <f>INDEX('Pipe Table'!$H$2:$H$8,MATCH('TE_OA_20200805_INTRDY_2020-08-0'!I178,'Pipe Table'!$G$2:$G$8,0))</f>
        <v>TETCO-M1</v>
      </c>
      <c r="G197" t="str">
        <f>INDEX(TeAllPoints!$D$2:$D$957,MATCH(Filter!B197,TeAllPoints!$B$2:$B$957,0))</f>
        <v>MS</v>
      </c>
      <c r="H197" t="str">
        <f>INDEX(TeAllPoints!$E$2:$E$957,MATCH(Filter!B197,TeAllPoints!$B$2:$B$957,0))</f>
        <v>ITAWAMBA</v>
      </c>
      <c r="I197">
        <f>INDEX('TE_OA_20200805_INTRDY_2020-08-0'!$Q$2:$Q$870,MATCH(Filter!B197,'TE_OA_20200805_INTRDY_2020-08-0'!$G$2:$G$870))</f>
        <v>3922</v>
      </c>
      <c r="J197">
        <f>INDEX('TE_OA_20200805_INTRDY_2020-08-0'!$R$2:$R$870,MATCH(Filter!B197,'TE_OA_20200805_INTRDY_2020-08-0'!$G$2:$G$870))</f>
        <v>71</v>
      </c>
    </row>
    <row r="198" spans="1:10" x14ac:dyDescent="0.25">
      <c r="A198" t="str">
        <f>INDEX('Pipe Table'!$E$2:$E$10,MATCH(INDEX('TE_OA_20200805_INTRDY_2020-08-0'!$T$2:$T$870,MATCH(Filter!B198,'TE_OA_20200805_INTRDY_2020-08-0'!$G$2:$G$870,0)),'Pipe Table'!$D$2:$D$10,0))</f>
        <v>TETCO</v>
      </c>
      <c r="B198">
        <v>71430</v>
      </c>
      <c r="C198" t="str">
        <f>INDEX('TE_OA_20200805_INTRDY_2020-08-0'!$J$2:$J$870,MATCH(Filter!B198,'TE_OA_20200805_INTRDY_2020-08-0'!$G$2:$G$870))</f>
        <v>Delivery</v>
      </c>
      <c r="D198" t="str">
        <f>INDEX('Pipe Table'!$B$2:$B$14,MATCH(INDEX(TeAllPoints!$I$2:$I$957,MATCH(Filter!B198,TeAllPoints!$B$2:$B$957,0)),'Pipe Table'!$A$2:$A$14,0))</f>
        <v>LDC</v>
      </c>
      <c r="E198" t="str">
        <f>INDEX('TE_OA_20200805_INTRDY_2020-08-0'!$H$2:$H$870,MATCH(Filter!B198,'TE_OA_20200805_INTRDY_2020-08-0'!$G$2:$G$870))</f>
        <v>United Cities -Nolensville, TN</v>
      </c>
      <c r="F198" t="str">
        <f>INDEX('Pipe Table'!$H$2:$H$8,MATCH('TE_OA_20200805_INTRDY_2020-08-0'!I179,'Pipe Table'!$G$2:$G$8,0))</f>
        <v>TETCO-M1</v>
      </c>
      <c r="G198" t="str">
        <f>INDEX(TeAllPoints!$D$2:$D$957,MATCH(Filter!B198,TeAllPoints!$B$2:$B$957,0))</f>
        <v>TN</v>
      </c>
      <c r="H198" t="str">
        <f>INDEX(TeAllPoints!$E$2:$E$957,MATCH(Filter!B198,TeAllPoints!$B$2:$B$957,0))</f>
        <v>WILLIAMSON</v>
      </c>
      <c r="I198">
        <f>INDEX('TE_OA_20200805_INTRDY_2020-08-0'!$Q$2:$Q$870,MATCH(Filter!B198,'TE_OA_20200805_INTRDY_2020-08-0'!$G$2:$G$870))</f>
        <v>2786</v>
      </c>
      <c r="J198">
        <f>INDEX('TE_OA_20200805_INTRDY_2020-08-0'!$R$2:$R$870,MATCH(Filter!B198,'TE_OA_20200805_INTRDY_2020-08-0'!$G$2:$G$870))</f>
        <v>0</v>
      </c>
    </row>
    <row r="199" spans="1:10" x14ac:dyDescent="0.25">
      <c r="A199" t="str">
        <f>INDEX('Pipe Table'!$E$2:$E$10,MATCH(INDEX('TE_OA_20200805_INTRDY_2020-08-0'!$T$2:$T$870,MATCH(Filter!B199,'TE_OA_20200805_INTRDY_2020-08-0'!$G$2:$G$870,0)),'Pipe Table'!$D$2:$D$10,0))</f>
        <v>TETCO</v>
      </c>
      <c r="B199">
        <v>71435</v>
      </c>
      <c r="C199" t="str">
        <f>INDEX('TE_OA_20200805_INTRDY_2020-08-0'!$J$2:$J$870,MATCH(Filter!B199,'TE_OA_20200805_INTRDY_2020-08-0'!$G$2:$G$870))</f>
        <v>Delivery</v>
      </c>
      <c r="D199" t="str">
        <f>INDEX('Pipe Table'!$B$2:$B$14,MATCH(INDEX(TeAllPoints!$I$2:$I$957,MATCH(Filter!B199,TeAllPoints!$B$2:$B$957,0)),'Pipe Table'!$A$2:$A$14,0))</f>
        <v>LDC</v>
      </c>
      <c r="E199" t="str">
        <f>INDEX('TE_OA_20200805_INTRDY_2020-08-0'!$H$2:$H$870,MATCH(Filter!B199,'TE_OA_20200805_INTRDY_2020-08-0'!$G$2:$G$870))</f>
        <v>Cleco Energy - Chireno #1, TX  (Delivery)</v>
      </c>
      <c r="F199" t="str">
        <f>INDEX('Pipe Table'!$H$2:$H$8,MATCH('TE_OA_20200805_INTRDY_2020-08-0'!I180,'Pipe Table'!$G$2:$G$8,0))</f>
        <v>TETCO-ETX</v>
      </c>
      <c r="G199" t="str">
        <f>INDEX(TeAllPoints!$D$2:$D$957,MATCH(Filter!B199,TeAllPoints!$B$2:$B$957,0))</f>
        <v>TX</v>
      </c>
      <c r="H199" t="str">
        <f>INDEX(TeAllPoints!$E$2:$E$957,MATCH(Filter!B199,TeAllPoints!$B$2:$B$957,0))</f>
        <v>NACOGDOCHES</v>
      </c>
      <c r="I199">
        <f>INDEX('TE_OA_20200805_INTRDY_2020-08-0'!$Q$2:$Q$870,MATCH(Filter!B199,'TE_OA_20200805_INTRDY_2020-08-0'!$G$2:$G$870))</f>
        <v>32434</v>
      </c>
      <c r="J199">
        <f>INDEX('TE_OA_20200805_INTRDY_2020-08-0'!$R$2:$R$870,MATCH(Filter!B199,'TE_OA_20200805_INTRDY_2020-08-0'!$G$2:$G$870))</f>
        <v>4</v>
      </c>
    </row>
    <row r="200" spans="1:10" x14ac:dyDescent="0.25">
      <c r="A200" t="str">
        <f>INDEX('Pipe Table'!$E$2:$E$10,MATCH(INDEX('TE_OA_20200805_INTRDY_2020-08-0'!$T$2:$T$870,MATCH(Filter!B200,'TE_OA_20200805_INTRDY_2020-08-0'!$G$2:$G$870,0)),'Pipe Table'!$D$2:$D$10,0))</f>
        <v>TETCO</v>
      </c>
      <c r="B200">
        <v>71436</v>
      </c>
      <c r="C200" t="str">
        <f>INDEX('TE_OA_20200805_INTRDY_2020-08-0'!$J$2:$J$870,MATCH(Filter!B200,'TE_OA_20200805_INTRDY_2020-08-0'!$G$2:$G$870))</f>
        <v>Delivery</v>
      </c>
      <c r="D200" t="str">
        <f>INDEX('Pipe Table'!$B$2:$B$14,MATCH(INDEX(TeAllPoints!$I$2:$I$957,MATCH(Filter!B200,TeAllPoints!$B$2:$B$957,0)),'Pipe Table'!$A$2:$A$14,0))</f>
        <v>LDC</v>
      </c>
      <c r="E200" t="str">
        <f>INDEX('TE_OA_20200805_INTRDY_2020-08-0'!$H$2:$H$870,MATCH(Filter!B200,'TE_OA_20200805_INTRDY_2020-08-0'!$G$2:$G$870))</f>
        <v>Cleco Energy - Chireno #2, TX  (Delivery)</v>
      </c>
      <c r="F200" t="str">
        <f>INDEX('Pipe Table'!$H$2:$H$8,MATCH('TE_OA_20200805_INTRDY_2020-08-0'!I181,'Pipe Table'!$G$2:$G$8,0))</f>
        <v>TETCO-ETX</v>
      </c>
      <c r="G200" t="str">
        <f>INDEX(TeAllPoints!$D$2:$D$957,MATCH(Filter!B200,TeAllPoints!$B$2:$B$957,0))</f>
        <v>TX</v>
      </c>
      <c r="H200" t="str">
        <f>INDEX(TeAllPoints!$E$2:$E$957,MATCH(Filter!B200,TeAllPoints!$B$2:$B$957,0))</f>
        <v>NACOGDOCHES</v>
      </c>
      <c r="I200">
        <f>INDEX('TE_OA_20200805_INTRDY_2020-08-0'!$Q$2:$Q$870,MATCH(Filter!B200,'TE_OA_20200805_INTRDY_2020-08-0'!$G$2:$G$870))</f>
        <v>32434</v>
      </c>
      <c r="J200">
        <f>INDEX('TE_OA_20200805_INTRDY_2020-08-0'!$R$2:$R$870,MATCH(Filter!B200,'TE_OA_20200805_INTRDY_2020-08-0'!$G$2:$G$870))</f>
        <v>70</v>
      </c>
    </row>
    <row r="201" spans="1:10" x14ac:dyDescent="0.25">
      <c r="A201" t="str">
        <f>INDEX('Pipe Table'!$E$2:$E$10,MATCH(INDEX('TE_OA_20200805_INTRDY_2020-08-0'!$T$2:$T$870,MATCH(Filter!B201,'TE_OA_20200805_INTRDY_2020-08-0'!$G$2:$G$870,0)),'Pipe Table'!$D$2:$D$10,0))</f>
        <v>TETCO</v>
      </c>
      <c r="B201">
        <v>71438</v>
      </c>
      <c r="C201" t="str">
        <f>INDEX('TE_OA_20200805_INTRDY_2020-08-0'!$J$2:$J$870,MATCH(Filter!B201,'TE_OA_20200805_INTRDY_2020-08-0'!$G$2:$G$870))</f>
        <v>Delivery</v>
      </c>
      <c r="D201" t="str">
        <f>INDEX('Pipe Table'!$B$2:$B$14,MATCH(INDEX(TeAllPoints!$I$2:$I$957,MATCH(Filter!B201,TeAllPoints!$B$2:$B$957,0)),'Pipe Table'!$A$2:$A$14,0))</f>
        <v>LDC</v>
      </c>
      <c r="E201" t="str">
        <f>INDEX('TE_OA_20200805_INTRDY_2020-08-0'!$H$2:$H$870,MATCH(Filter!B201,'TE_OA_20200805_INTRDY_2020-08-0'!$G$2:$G$870))</f>
        <v>UGI CENTRAL - Dauphin Co. Gas - Annville, PA</v>
      </c>
      <c r="F201" t="str">
        <f>INDEX('Pipe Table'!$H$2:$H$8,MATCH('TE_OA_20200805_INTRDY_2020-08-0'!I182,'Pipe Table'!$G$2:$G$8,0))</f>
        <v>TETCO-M3</v>
      </c>
      <c r="G201" t="str">
        <f>INDEX(TeAllPoints!$D$2:$D$957,MATCH(Filter!B201,TeAllPoints!$B$2:$B$957,0))</f>
        <v>PA</v>
      </c>
      <c r="H201" t="str">
        <f>INDEX(TeAllPoints!$E$2:$E$957,MATCH(Filter!B201,TeAllPoints!$B$2:$B$957,0))</f>
        <v>LEBANON</v>
      </c>
      <c r="I201">
        <f>INDEX('TE_OA_20200805_INTRDY_2020-08-0'!$Q$2:$Q$870,MATCH(Filter!B201,'TE_OA_20200805_INTRDY_2020-08-0'!$G$2:$G$870))</f>
        <v>32157</v>
      </c>
      <c r="J201">
        <f>INDEX('TE_OA_20200805_INTRDY_2020-08-0'!$R$2:$R$870,MATCH(Filter!B201,'TE_OA_20200805_INTRDY_2020-08-0'!$G$2:$G$870))</f>
        <v>0</v>
      </c>
    </row>
    <row r="202" spans="1:10" x14ac:dyDescent="0.25">
      <c r="A202" t="str">
        <f>INDEX('Pipe Table'!$E$2:$E$10,MATCH(INDEX('TE_OA_20200805_INTRDY_2020-08-0'!$T$2:$T$870,MATCH(Filter!B202,'TE_OA_20200805_INTRDY_2020-08-0'!$G$2:$G$870,0)),'Pipe Table'!$D$2:$D$10,0))</f>
        <v>TETCO</v>
      </c>
      <c r="B202">
        <v>71439</v>
      </c>
      <c r="C202" t="str">
        <f>INDEX('TE_OA_20200805_INTRDY_2020-08-0'!$J$2:$J$870,MATCH(Filter!B202,'TE_OA_20200805_INTRDY_2020-08-0'!$G$2:$G$870))</f>
        <v>Delivery</v>
      </c>
      <c r="D202" t="str">
        <f>INDEX('Pipe Table'!$B$2:$B$14,MATCH(INDEX(TeAllPoints!$I$2:$I$957,MATCH(Filter!B202,TeAllPoints!$B$2:$B$957,0)),'Pipe Table'!$A$2:$A$14,0))</f>
        <v>LDC</v>
      </c>
      <c r="E202" t="str">
        <f>INDEX('TE_OA_20200805_INTRDY_2020-08-0'!$H$2:$H$870,MATCH(Filter!B202,'TE_OA_20200805_INTRDY_2020-08-0'!$G$2:$G$870))</f>
        <v>Indiana Gas Co. - Dubois, IN</v>
      </c>
      <c r="F202" t="str">
        <f>INDEX('Pipe Table'!$H$2:$H$8,MATCH('TE_OA_20200805_INTRDY_2020-08-0'!I183,'Pipe Table'!$G$2:$G$8,0))</f>
        <v>TETCO-M2</v>
      </c>
      <c r="G202" t="str">
        <f>INDEX(TeAllPoints!$D$2:$D$957,MATCH(Filter!B202,TeAllPoints!$B$2:$B$957,0))</f>
        <v>IN</v>
      </c>
      <c r="H202" t="str">
        <f>INDEX(TeAllPoints!$E$2:$E$957,MATCH(Filter!B202,TeAllPoints!$B$2:$B$957,0))</f>
        <v>DUBOIS</v>
      </c>
      <c r="I202">
        <f>INDEX('TE_OA_20200805_INTRDY_2020-08-0'!$Q$2:$Q$870,MATCH(Filter!B202,'TE_OA_20200805_INTRDY_2020-08-0'!$G$2:$G$870))</f>
        <v>5878</v>
      </c>
      <c r="J202">
        <f>INDEX('TE_OA_20200805_INTRDY_2020-08-0'!$R$2:$R$870,MATCH(Filter!B202,'TE_OA_20200805_INTRDY_2020-08-0'!$G$2:$G$870))</f>
        <v>375</v>
      </c>
    </row>
    <row r="203" spans="1:10" x14ac:dyDescent="0.25">
      <c r="A203" t="str">
        <f>INDEX('Pipe Table'!$E$2:$E$10,MATCH(INDEX('TE_OA_20200805_INTRDY_2020-08-0'!$T$2:$T$870,MATCH(Filter!B203,'TE_OA_20200805_INTRDY_2020-08-0'!$G$2:$G$870,0)),'Pipe Table'!$D$2:$D$10,0))</f>
        <v>TETCO</v>
      </c>
      <c r="B203">
        <v>71455</v>
      </c>
      <c r="C203" t="str">
        <f>INDEX('TE_OA_20200805_INTRDY_2020-08-0'!$J$2:$J$870,MATCH(Filter!B203,'TE_OA_20200805_INTRDY_2020-08-0'!$G$2:$G$870))</f>
        <v>Delivery</v>
      </c>
      <c r="D203" t="str">
        <f>INDEX('Pipe Table'!$B$2:$B$14,MATCH(INDEX(TeAllPoints!$I$2:$I$957,MATCH(Filter!B203,TeAllPoints!$B$2:$B$957,0)),'Pipe Table'!$A$2:$A$14,0))</f>
        <v>LDC</v>
      </c>
      <c r="E203" t="str">
        <f>INDEX('TE_OA_20200805_INTRDY_2020-08-0'!$H$2:$H$870,MATCH(Filter!B203,'TE_OA_20200805_INTRDY_2020-08-0'!$G$2:$G$870))</f>
        <v>UGI CENTRAL - Huntingdon Gas - Mapleton, PA</v>
      </c>
      <c r="F203" t="str">
        <f>INDEX('Pipe Table'!$H$2:$H$8,MATCH('TE_OA_20200805_INTRDY_2020-08-0'!I184,'Pipe Table'!$G$2:$G$8,0))</f>
        <v>TETCO-M3</v>
      </c>
      <c r="G203" t="str">
        <f>INDEX(TeAllPoints!$D$2:$D$957,MATCH(Filter!B203,TeAllPoints!$B$2:$B$957,0))</f>
        <v>PA</v>
      </c>
      <c r="H203" t="str">
        <f>INDEX(TeAllPoints!$E$2:$E$957,MATCH(Filter!B203,TeAllPoints!$B$2:$B$957,0))</f>
        <v>HUNTINGDON</v>
      </c>
      <c r="I203">
        <f>INDEX('TE_OA_20200805_INTRDY_2020-08-0'!$Q$2:$Q$870,MATCH(Filter!B203,'TE_OA_20200805_INTRDY_2020-08-0'!$G$2:$G$870))</f>
        <v>5353</v>
      </c>
      <c r="J203">
        <f>INDEX('TE_OA_20200805_INTRDY_2020-08-0'!$R$2:$R$870,MATCH(Filter!B203,'TE_OA_20200805_INTRDY_2020-08-0'!$G$2:$G$870))</f>
        <v>0</v>
      </c>
    </row>
    <row r="204" spans="1:10" x14ac:dyDescent="0.25">
      <c r="A204" t="str">
        <f>INDEX('Pipe Table'!$E$2:$E$10,MATCH(INDEX('TE_OA_20200805_INTRDY_2020-08-0'!$T$2:$T$870,MATCH(Filter!B204,'TE_OA_20200805_INTRDY_2020-08-0'!$G$2:$G$870,0)),'Pipe Table'!$D$2:$D$10,0))</f>
        <v>TETCO</v>
      </c>
      <c r="B204">
        <v>71461</v>
      </c>
      <c r="C204" t="str">
        <f>INDEX('TE_OA_20200805_INTRDY_2020-08-0'!$J$2:$J$870,MATCH(Filter!B204,'TE_OA_20200805_INTRDY_2020-08-0'!$G$2:$G$870))</f>
        <v>Delivery</v>
      </c>
      <c r="D204" t="str">
        <f>INDEX('Pipe Table'!$B$2:$B$14,MATCH(INDEX(TeAllPoints!$I$2:$I$957,MATCH(Filter!B204,TeAllPoints!$B$2:$B$957,0)),'Pipe Table'!$A$2:$A$14,0))</f>
        <v>LDC</v>
      </c>
      <c r="E204" t="str">
        <f>INDEX('TE_OA_20200805_INTRDY_2020-08-0'!$H$2:$H$870,MATCH(Filter!B204,'TE_OA_20200805_INTRDY_2020-08-0'!$G$2:$G$870))</f>
        <v>UGI UTIL (Columbia Gas) - Rich Hill, PA</v>
      </c>
      <c r="F204" t="str">
        <f>INDEX('Pipe Table'!$H$2:$H$8,MATCH('TE_OA_20200805_INTRDY_2020-08-0'!I185,'Pipe Table'!$G$2:$G$8,0))</f>
        <v>TETCO-M3</v>
      </c>
      <c r="G204" t="str">
        <f>INDEX(TeAllPoints!$D$2:$D$957,MATCH(Filter!B204,TeAllPoints!$B$2:$B$957,0))</f>
        <v>PA</v>
      </c>
      <c r="H204" t="str">
        <f>INDEX(TeAllPoints!$E$2:$E$957,MATCH(Filter!B204,TeAllPoints!$B$2:$B$957,0))</f>
        <v>BUCKS</v>
      </c>
      <c r="I204">
        <f>INDEX('TE_OA_20200805_INTRDY_2020-08-0'!$Q$2:$Q$870,MATCH(Filter!B204,'TE_OA_20200805_INTRDY_2020-08-0'!$G$2:$G$870))</f>
        <v>10922</v>
      </c>
      <c r="J204">
        <f>INDEX('TE_OA_20200805_INTRDY_2020-08-0'!$R$2:$R$870,MATCH(Filter!B204,'TE_OA_20200805_INTRDY_2020-08-0'!$G$2:$G$870))</f>
        <v>1297</v>
      </c>
    </row>
    <row r="205" spans="1:10" x14ac:dyDescent="0.25">
      <c r="A205" t="str">
        <f>INDEX('Pipe Table'!$E$2:$E$10,MATCH(INDEX('TE_OA_20200805_INTRDY_2020-08-0'!$T$2:$T$870,MATCH(Filter!B205,'TE_OA_20200805_INTRDY_2020-08-0'!$G$2:$G$870,0)),'Pipe Table'!$D$2:$D$10,0))</f>
        <v>TETCO</v>
      </c>
      <c r="B205">
        <v>71463</v>
      </c>
      <c r="C205" t="str">
        <f>INDEX('TE_OA_20200805_INTRDY_2020-08-0'!$J$2:$J$870,MATCH(Filter!B205,'TE_OA_20200805_INTRDY_2020-08-0'!$G$2:$G$870))</f>
        <v>Delivery</v>
      </c>
      <c r="D205" t="str">
        <f>INDEX('Pipe Table'!$B$2:$B$14,MATCH(INDEX(TeAllPoints!$I$2:$I$957,MATCH(Filter!B205,TeAllPoints!$B$2:$B$957,0)),'Pipe Table'!$A$2:$A$14,0))</f>
        <v>LDC</v>
      </c>
      <c r="E205" t="str">
        <f>INDEX('TE_OA_20200805_INTRDY_2020-08-0'!$H$2:$H$870,MATCH(Filter!B205,'TE_OA_20200805_INTRDY_2020-08-0'!$G$2:$G$870))</f>
        <v>Tamms, IL</v>
      </c>
      <c r="F205" t="str">
        <f>INDEX('Pipe Table'!$H$2:$H$8,MATCH('TE_OA_20200805_INTRDY_2020-08-0'!I186,'Pipe Table'!$G$2:$G$8,0))</f>
        <v>TETCO-M1</v>
      </c>
      <c r="G205" t="str">
        <f>INDEX(TeAllPoints!$D$2:$D$957,MATCH(Filter!B205,TeAllPoints!$B$2:$B$957,0))</f>
        <v>IL</v>
      </c>
      <c r="H205" t="str">
        <f>INDEX(TeAllPoints!$E$2:$E$957,MATCH(Filter!B205,TeAllPoints!$B$2:$B$957,0))</f>
        <v>UNION</v>
      </c>
      <c r="I205">
        <f>INDEX('TE_OA_20200805_INTRDY_2020-08-0'!$Q$2:$Q$870,MATCH(Filter!B205,'TE_OA_20200805_INTRDY_2020-08-0'!$G$2:$G$870))</f>
        <v>8090</v>
      </c>
      <c r="J205">
        <f>INDEX('TE_OA_20200805_INTRDY_2020-08-0'!$R$2:$R$870,MATCH(Filter!B205,'TE_OA_20200805_INTRDY_2020-08-0'!$G$2:$G$870))</f>
        <v>39</v>
      </c>
    </row>
    <row r="206" spans="1:10" x14ac:dyDescent="0.25">
      <c r="A206" t="str">
        <f>INDEX('Pipe Table'!$E$2:$E$10,MATCH(INDEX('TE_OA_20200805_INTRDY_2020-08-0'!$T$2:$T$870,MATCH(Filter!B206,'TE_OA_20200805_INTRDY_2020-08-0'!$G$2:$G$870,0)),'Pipe Table'!$D$2:$D$10,0))</f>
        <v>TETCO</v>
      </c>
      <c r="B206">
        <v>71464</v>
      </c>
      <c r="C206" t="str">
        <f>INDEX('TE_OA_20200805_INTRDY_2020-08-0'!$J$2:$J$870,MATCH(Filter!B206,'TE_OA_20200805_INTRDY_2020-08-0'!$G$2:$G$870))</f>
        <v>Delivery</v>
      </c>
      <c r="D206" t="str">
        <f>INDEX('Pipe Table'!$B$2:$B$14,MATCH(INDEX(TeAllPoints!$I$2:$I$957,MATCH(Filter!B206,TeAllPoints!$B$2:$B$957,0)),'Pipe Table'!$A$2:$A$14,0))</f>
        <v>LDC</v>
      </c>
      <c r="E206" t="str">
        <f>INDEX('TE_OA_20200805_INTRDY_2020-08-0'!$H$2:$H$870,MATCH(Filter!B206,'TE_OA_20200805_INTRDY_2020-08-0'!$G$2:$G$870))</f>
        <v>Public Service - Hillsborough, NJ</v>
      </c>
      <c r="F206" t="str">
        <f>INDEX('Pipe Table'!$H$2:$H$8,MATCH('TE_OA_20200805_INTRDY_2020-08-0'!I187,'Pipe Table'!$G$2:$G$8,0))</f>
        <v>TETCO-M3</v>
      </c>
      <c r="G206" t="str">
        <f>INDEX(TeAllPoints!$D$2:$D$957,MATCH(Filter!B206,TeAllPoints!$B$2:$B$957,0))</f>
        <v>NJ</v>
      </c>
      <c r="H206" t="str">
        <f>INDEX(TeAllPoints!$E$2:$E$957,MATCH(Filter!B206,TeAllPoints!$B$2:$B$957,0))</f>
        <v>SOMERSET</v>
      </c>
      <c r="I206">
        <f>INDEX('TE_OA_20200805_INTRDY_2020-08-0'!$Q$2:$Q$870,MATCH(Filter!B206,'TE_OA_20200805_INTRDY_2020-08-0'!$G$2:$G$870))</f>
        <v>96299</v>
      </c>
      <c r="J206">
        <f>INDEX('TE_OA_20200805_INTRDY_2020-08-0'!$R$2:$R$870,MATCH(Filter!B206,'TE_OA_20200805_INTRDY_2020-08-0'!$G$2:$G$870))</f>
        <v>2883</v>
      </c>
    </row>
    <row r="207" spans="1:10" x14ac:dyDescent="0.25">
      <c r="A207" t="str">
        <f>INDEX('Pipe Table'!$E$2:$E$10,MATCH(INDEX('TE_OA_20200805_INTRDY_2020-08-0'!$T$2:$T$870,MATCH(Filter!B207,'TE_OA_20200805_INTRDY_2020-08-0'!$G$2:$G$870,0)),'Pipe Table'!$D$2:$D$10,0))</f>
        <v>TETCO</v>
      </c>
      <c r="B207">
        <v>71469</v>
      </c>
      <c r="C207" t="str">
        <f>INDEX('TE_OA_20200805_INTRDY_2020-08-0'!$J$2:$J$870,MATCH(Filter!B207,'TE_OA_20200805_INTRDY_2020-08-0'!$G$2:$G$870))</f>
        <v>Delivery</v>
      </c>
      <c r="D207" t="str">
        <f>INDEX('Pipe Table'!$B$2:$B$14,MATCH(INDEX(TeAllPoints!$I$2:$I$957,MATCH(Filter!B207,TeAllPoints!$B$2:$B$957,0)),'Pipe Table'!$A$2:$A$14,0))</f>
        <v>LDC</v>
      </c>
      <c r="E207" t="str">
        <f>INDEX('TE_OA_20200805_INTRDY_2020-08-0'!$H$2:$H$870,MATCH(Filter!B207,'TE_OA_20200805_INTRDY_2020-08-0'!$G$2:$G$870))</f>
        <v>Atmos Energy Corporation - Qulin, MO</v>
      </c>
      <c r="F207" t="str">
        <f>INDEX('Pipe Table'!$H$2:$H$8,MATCH('TE_OA_20200805_INTRDY_2020-08-0'!I188,'Pipe Table'!$G$2:$G$8,0))</f>
        <v>TETCO-M1</v>
      </c>
      <c r="G207" t="str">
        <f>INDEX(TeAllPoints!$D$2:$D$957,MATCH(Filter!B207,TeAllPoints!$B$2:$B$957,0))</f>
        <v>MO</v>
      </c>
      <c r="H207" t="str">
        <f>INDEX(TeAllPoints!$E$2:$E$957,MATCH(Filter!B207,TeAllPoints!$B$2:$B$957,0))</f>
        <v>BUTLER</v>
      </c>
      <c r="I207">
        <f>INDEX('TE_OA_20200805_INTRDY_2020-08-0'!$Q$2:$Q$870,MATCH(Filter!B207,'TE_OA_20200805_INTRDY_2020-08-0'!$G$2:$G$870))</f>
        <v>4809</v>
      </c>
      <c r="J207">
        <f>INDEX('TE_OA_20200805_INTRDY_2020-08-0'!$R$2:$R$870,MATCH(Filter!B207,'TE_OA_20200805_INTRDY_2020-08-0'!$G$2:$G$870))</f>
        <v>1</v>
      </c>
    </row>
    <row r="208" spans="1:10" x14ac:dyDescent="0.25">
      <c r="A208" t="str">
        <f>INDEX('Pipe Table'!$E$2:$E$10,MATCH(INDEX('TE_OA_20200805_INTRDY_2020-08-0'!$T$2:$T$870,MATCH(Filter!B208,'TE_OA_20200805_INTRDY_2020-08-0'!$G$2:$G$870,0)),'Pipe Table'!$D$2:$D$10,0))</f>
        <v>TETCO</v>
      </c>
      <c r="B208">
        <v>71473</v>
      </c>
      <c r="C208" t="str">
        <f>INDEX('TE_OA_20200805_INTRDY_2020-08-0'!$J$2:$J$870,MATCH(Filter!B208,'TE_OA_20200805_INTRDY_2020-08-0'!$G$2:$G$870))</f>
        <v>Delivery</v>
      </c>
      <c r="D208" t="str">
        <f>INDEX('Pipe Table'!$B$2:$B$14,MATCH(INDEX(TeAllPoints!$I$2:$I$957,MATCH(Filter!B208,TeAllPoints!$B$2:$B$957,0)),'Pipe Table'!$A$2:$A$14,0))</f>
        <v>LDC</v>
      </c>
      <c r="E208" t="str">
        <f>INDEX('TE_OA_20200805_INTRDY_2020-08-0'!$H$2:$H$870,MATCH(Filter!B208,'TE_OA_20200805_INTRDY_2020-08-0'!$G$2:$G$870))</f>
        <v>Mississippi Gas - LeBlanc, LA</v>
      </c>
      <c r="F208" t="str">
        <f>INDEX('Pipe Table'!$H$2:$H$8,MATCH('TE_OA_20200805_INTRDY_2020-08-0'!I189,'Pipe Table'!$G$2:$G$8,0))</f>
        <v>TETCO-WLA</v>
      </c>
      <c r="G208" t="str">
        <f>INDEX(TeAllPoints!$D$2:$D$957,MATCH(Filter!B208,TeAllPoints!$B$2:$B$957,0))</f>
        <v>LA</v>
      </c>
      <c r="H208" t="str">
        <f>INDEX(TeAllPoints!$E$2:$E$957,MATCH(Filter!B208,TeAllPoints!$B$2:$B$957,0))</f>
        <v>ALLEN</v>
      </c>
      <c r="I208">
        <f>INDEX('TE_OA_20200805_INTRDY_2020-08-0'!$Q$2:$Q$870,MATCH(Filter!B208,'TE_OA_20200805_INTRDY_2020-08-0'!$G$2:$G$870))</f>
        <v>720</v>
      </c>
      <c r="J208">
        <f>INDEX('TE_OA_20200805_INTRDY_2020-08-0'!$R$2:$R$870,MATCH(Filter!B208,'TE_OA_20200805_INTRDY_2020-08-0'!$G$2:$G$870))</f>
        <v>99</v>
      </c>
    </row>
    <row r="209" spans="1:10" x14ac:dyDescent="0.25">
      <c r="A209" t="str">
        <f>INDEX('Pipe Table'!$E$2:$E$10,MATCH(INDEX('TE_OA_20200805_INTRDY_2020-08-0'!$T$2:$T$870,MATCH(Filter!B209,'TE_OA_20200805_INTRDY_2020-08-0'!$G$2:$G$870,0)),'Pipe Table'!$D$2:$D$10,0))</f>
        <v>TETCO</v>
      </c>
      <c r="B209">
        <v>71485</v>
      </c>
      <c r="C209" t="str">
        <f>INDEX('TE_OA_20200805_INTRDY_2020-08-0'!$J$2:$J$870,MATCH(Filter!B209,'TE_OA_20200805_INTRDY_2020-08-0'!$G$2:$G$870))</f>
        <v>Delivery</v>
      </c>
      <c r="D209" t="str">
        <f>INDEX('Pipe Table'!$B$2:$B$14,MATCH(INDEX(TeAllPoints!$I$2:$I$957,MATCH(Filter!B209,TeAllPoints!$B$2:$B$957,0)),'Pipe Table'!$A$2:$A$14,0))</f>
        <v>Intrcnnct</v>
      </c>
      <c r="E209" t="str">
        <f>INDEX('TE_OA_20200805_INTRDY_2020-08-0'!$H$2:$H$870,MATCH(Filter!B209,'TE_OA_20200805_INTRDY_2020-08-0'!$G$2:$G$870))</f>
        <v>GULF SOUTH PIPELINE COMPANY - Gillis, LA</v>
      </c>
      <c r="F209" t="str">
        <f>INDEX('Pipe Table'!$H$2:$H$8,MATCH('TE_OA_20200805_INTRDY_2020-08-0'!I190,'Pipe Table'!$G$2:$G$8,0))</f>
        <v>TETCO-WLA</v>
      </c>
      <c r="G209" t="str">
        <f>INDEX(TeAllPoints!$D$2:$D$957,MATCH(Filter!B209,TeAllPoints!$B$2:$B$957,0))</f>
        <v>LA</v>
      </c>
      <c r="H209" t="str">
        <f>INDEX(TeAllPoints!$E$2:$E$957,MATCH(Filter!B209,TeAllPoints!$B$2:$B$957,0))</f>
        <v>BEAUREGARD</v>
      </c>
      <c r="I209">
        <f>INDEX('TE_OA_20200805_INTRDY_2020-08-0'!$Q$2:$Q$870,MATCH(Filter!B209,'TE_OA_20200805_INTRDY_2020-08-0'!$G$2:$G$870))</f>
        <v>152656</v>
      </c>
      <c r="J209">
        <f>INDEX('TE_OA_20200805_INTRDY_2020-08-0'!$R$2:$R$870,MATCH(Filter!B209,'TE_OA_20200805_INTRDY_2020-08-0'!$G$2:$G$870))</f>
        <v>0</v>
      </c>
    </row>
    <row r="210" spans="1:10" x14ac:dyDescent="0.25">
      <c r="A210" t="str">
        <f>INDEX('Pipe Table'!$E$2:$E$10,MATCH(INDEX('TE_OA_20200805_INTRDY_2020-08-0'!$T$2:$T$870,MATCH(Filter!B210,'TE_OA_20200805_INTRDY_2020-08-0'!$G$2:$G$870,0)),'Pipe Table'!$D$2:$D$10,0))</f>
        <v>TETCO</v>
      </c>
      <c r="B210">
        <v>71486</v>
      </c>
      <c r="C210" t="str">
        <f>INDEX('TE_OA_20200805_INTRDY_2020-08-0'!$J$2:$J$870,MATCH(Filter!B210,'TE_OA_20200805_INTRDY_2020-08-0'!$G$2:$G$870))</f>
        <v>Receipt</v>
      </c>
      <c r="D210" t="str">
        <f>INDEX('Pipe Table'!$B$2:$B$14,MATCH(INDEX(TeAllPoints!$I$2:$I$957,MATCH(Filter!B210,TeAllPoints!$B$2:$B$957,0)),'Pipe Table'!$A$2:$A$14,0))</f>
        <v>Intrcnnct</v>
      </c>
      <c r="E210" t="str">
        <f>INDEX('TE_OA_20200805_INTRDY_2020-08-0'!$H$2:$H$870,MATCH(Filter!B210,'TE_OA_20200805_INTRDY_2020-08-0'!$G$2:$G$870))</f>
        <v>GULF SOUTH PIPELINE COMPANY - Opelousas, LA</v>
      </c>
      <c r="F210" t="str">
        <f>INDEX('Pipe Table'!$H$2:$H$8,MATCH('TE_OA_20200805_INTRDY_2020-08-0'!I191,'Pipe Table'!$G$2:$G$8,0))</f>
        <v>TETCO-ELA</v>
      </c>
      <c r="G210" t="str">
        <f>INDEX(TeAllPoints!$D$2:$D$957,MATCH(Filter!B210,TeAllPoints!$B$2:$B$957,0))</f>
        <v>LA</v>
      </c>
      <c r="H210" t="str">
        <f>INDEX(TeAllPoints!$E$2:$E$957,MATCH(Filter!B210,TeAllPoints!$B$2:$B$957,0))</f>
        <v>ST LANDRY</v>
      </c>
      <c r="I210">
        <f>INDEX('TE_OA_20200805_INTRDY_2020-08-0'!$Q$2:$Q$870,MATCH(Filter!B210,'TE_OA_20200805_INTRDY_2020-08-0'!$G$2:$G$870))</f>
        <v>399596</v>
      </c>
      <c r="J210">
        <f>INDEX('TE_OA_20200805_INTRDY_2020-08-0'!$R$2:$R$870,MATCH(Filter!B210,'TE_OA_20200805_INTRDY_2020-08-0'!$G$2:$G$870))</f>
        <v>25000</v>
      </c>
    </row>
    <row r="211" spans="1:10" x14ac:dyDescent="0.25">
      <c r="A211" t="str">
        <f>INDEX('Pipe Table'!$E$2:$E$10,MATCH(INDEX('TE_OA_20200805_INTRDY_2020-08-0'!$T$2:$T$870,MATCH(Filter!B211,'TE_OA_20200805_INTRDY_2020-08-0'!$G$2:$G$870,0)),'Pipe Table'!$D$2:$D$10,0))</f>
        <v>TETCO</v>
      </c>
      <c r="B211">
        <v>71497</v>
      </c>
      <c r="C211" t="str">
        <f>INDEX('TE_OA_20200805_INTRDY_2020-08-0'!$J$2:$J$870,MATCH(Filter!B211,'TE_OA_20200805_INTRDY_2020-08-0'!$G$2:$G$870))</f>
        <v>Delivery</v>
      </c>
      <c r="D211" t="str">
        <f>INDEX('Pipe Table'!$B$2:$B$14,MATCH(INDEX(TeAllPoints!$I$2:$I$957,MATCH(Filter!B211,TeAllPoints!$B$2:$B$957,0)),'Pipe Table'!$A$2:$A$14,0))</f>
        <v>Intrcnnct</v>
      </c>
      <c r="E211" t="str">
        <f>INDEX('TE_OA_20200805_INTRDY_2020-08-0'!$H$2:$H$870,MATCH(Filter!B211,'TE_OA_20200805_INTRDY_2020-08-0'!$G$2:$G$870))</f>
        <v>GULF SOUTH PIPELINE COMPANY, LP - Canton, MS</v>
      </c>
      <c r="F211" t="str">
        <f>INDEX('Pipe Table'!$H$2:$H$8,MATCH('TE_OA_20200805_INTRDY_2020-08-0'!I192,'Pipe Table'!$G$2:$G$8,0))</f>
        <v>TETCO-ELA</v>
      </c>
      <c r="G211" t="str">
        <f>INDEX(TeAllPoints!$D$2:$D$957,MATCH(Filter!B211,TeAllPoints!$B$2:$B$957,0))</f>
        <v>MS</v>
      </c>
      <c r="H211" t="str">
        <f>INDEX(TeAllPoints!$E$2:$E$957,MATCH(Filter!B211,TeAllPoints!$B$2:$B$957,0))</f>
        <v>MADISON</v>
      </c>
      <c r="I211">
        <f>INDEX('TE_OA_20200805_INTRDY_2020-08-0'!$Q$2:$Q$870,MATCH(Filter!B211,'TE_OA_20200805_INTRDY_2020-08-0'!$G$2:$G$870))</f>
        <v>44669</v>
      </c>
      <c r="J211">
        <f>INDEX('TE_OA_20200805_INTRDY_2020-08-0'!$R$2:$R$870,MATCH(Filter!B211,'TE_OA_20200805_INTRDY_2020-08-0'!$G$2:$G$870))</f>
        <v>0</v>
      </c>
    </row>
    <row r="212" spans="1:10" x14ac:dyDescent="0.25">
      <c r="A212" t="str">
        <f>INDEX('Pipe Table'!$E$2:$E$10,MATCH(INDEX('TE_OA_20200805_INTRDY_2020-08-0'!$T$2:$T$870,MATCH(Filter!B212,'TE_OA_20200805_INTRDY_2020-08-0'!$G$2:$G$870,0)),'Pipe Table'!$D$2:$D$10,0))</f>
        <v>TETCO</v>
      </c>
      <c r="B212">
        <v>71503</v>
      </c>
      <c r="C212" t="str">
        <f>INDEX('TE_OA_20200805_INTRDY_2020-08-0'!$J$2:$J$870,MATCH(Filter!B212,'TE_OA_20200805_INTRDY_2020-08-0'!$G$2:$G$870))</f>
        <v>Receipt</v>
      </c>
      <c r="D212" t="str">
        <f>INDEX('Pipe Table'!$B$2:$B$14,MATCH(INDEX(TeAllPoints!$I$2:$I$957,MATCH(Filter!B212,TeAllPoints!$B$2:$B$957,0)),'Pipe Table'!$A$2:$A$14,0))</f>
        <v>Wellhead</v>
      </c>
      <c r="E212" t="str">
        <f>INDEX('TE_OA_20200805_INTRDY_2020-08-0'!$H$2:$H$870,MATCH(Filter!B212,'TE_OA_20200805_INTRDY_2020-08-0'!$G$2:$G$870))</f>
        <v>Henderson Petroleum Corp.-SW Lake Boeuf Lafourche Psh.,LA</v>
      </c>
      <c r="F212" t="str">
        <f>INDEX('Pipe Table'!$H$2:$H$8,MATCH('TE_OA_20200805_INTRDY_2020-08-0'!I193,'Pipe Table'!$G$2:$G$8,0))</f>
        <v>TETCO-ELA</v>
      </c>
      <c r="G212" t="str">
        <f>INDEX(TeAllPoints!$D$2:$D$957,MATCH(Filter!B212,TeAllPoints!$B$2:$B$957,0))</f>
        <v>LA</v>
      </c>
      <c r="H212" t="str">
        <f>INDEX(TeAllPoints!$E$2:$E$957,MATCH(Filter!B212,TeAllPoints!$B$2:$B$957,0))</f>
        <v>LAFOURCHE</v>
      </c>
      <c r="I212">
        <f>INDEX('TE_OA_20200805_INTRDY_2020-08-0'!$Q$2:$Q$870,MATCH(Filter!B212,'TE_OA_20200805_INTRDY_2020-08-0'!$G$2:$G$870))</f>
        <v>9291</v>
      </c>
      <c r="J212">
        <f>INDEX('TE_OA_20200805_INTRDY_2020-08-0'!$R$2:$R$870,MATCH(Filter!B212,'TE_OA_20200805_INTRDY_2020-08-0'!$G$2:$G$870))</f>
        <v>200</v>
      </c>
    </row>
    <row r="213" spans="1:10" x14ac:dyDescent="0.25">
      <c r="A213" t="str">
        <f>INDEX('Pipe Table'!$E$2:$E$10,MATCH(INDEX('TE_OA_20200805_INTRDY_2020-08-0'!$T$2:$T$870,MATCH(Filter!B213,'TE_OA_20200805_INTRDY_2020-08-0'!$G$2:$G$870,0)),'Pipe Table'!$D$2:$D$10,0))</f>
        <v>TETCO</v>
      </c>
      <c r="B213">
        <v>71512</v>
      </c>
      <c r="C213" t="str">
        <f>INDEX('TE_OA_20200805_INTRDY_2020-08-0'!$J$2:$J$870,MATCH(Filter!B213,'TE_OA_20200805_INTRDY_2020-08-0'!$G$2:$G$870))</f>
        <v>Delivery</v>
      </c>
      <c r="D213" t="str">
        <f>INDEX('Pipe Table'!$B$2:$B$14,MATCH(INDEX(TeAllPoints!$I$2:$I$957,MATCH(Filter!B213,TeAllPoints!$B$2:$B$957,0)),'Pipe Table'!$A$2:$A$14,0))</f>
        <v>LDC</v>
      </c>
      <c r="E213" t="str">
        <f>INDEX('TE_OA_20200805_INTRDY_2020-08-0'!$H$2:$H$870,MATCH(Filter!B213,'TE_OA_20200805_INTRDY_2020-08-0'!$G$2:$G$870))</f>
        <v>Cen Il Pub Serv -Broughton, IL</v>
      </c>
      <c r="F213" t="str">
        <f>INDEX('Pipe Table'!$H$2:$H$8,MATCH('TE_OA_20200805_INTRDY_2020-08-0'!I194,'Pipe Table'!$G$2:$G$8,0))</f>
        <v>TETCO-M1</v>
      </c>
      <c r="G213" t="str">
        <f>INDEX(TeAllPoints!$D$2:$D$957,MATCH(Filter!B213,TeAllPoints!$B$2:$B$957,0))</f>
        <v>IL</v>
      </c>
      <c r="H213" t="str">
        <f>INDEX(TeAllPoints!$E$2:$E$957,MATCH(Filter!B213,TeAllPoints!$B$2:$B$957,0))</f>
        <v>HAMILTON</v>
      </c>
      <c r="I213">
        <f>INDEX('TE_OA_20200805_INTRDY_2020-08-0'!$Q$2:$Q$870,MATCH(Filter!B213,'TE_OA_20200805_INTRDY_2020-08-0'!$G$2:$G$870))</f>
        <v>1953</v>
      </c>
      <c r="J213">
        <f>INDEX('TE_OA_20200805_INTRDY_2020-08-0'!$R$2:$R$870,MATCH(Filter!B213,'TE_OA_20200805_INTRDY_2020-08-0'!$G$2:$G$870))</f>
        <v>0</v>
      </c>
    </row>
    <row r="214" spans="1:10" x14ac:dyDescent="0.25">
      <c r="A214" t="str">
        <f>INDEX('Pipe Table'!$E$2:$E$10,MATCH(INDEX('TE_OA_20200805_INTRDY_2020-08-0'!$T$2:$T$870,MATCH(Filter!B214,'TE_OA_20200805_INTRDY_2020-08-0'!$G$2:$G$870,0)),'Pipe Table'!$D$2:$D$10,0))</f>
        <v>TETCO</v>
      </c>
      <c r="B214">
        <v>71528</v>
      </c>
      <c r="C214" t="str">
        <f>INDEX('TE_OA_20200805_INTRDY_2020-08-0'!$J$2:$J$870,MATCH(Filter!B214,'TE_OA_20200805_INTRDY_2020-08-0'!$G$2:$G$870))</f>
        <v>Delivery</v>
      </c>
      <c r="D214" t="str">
        <f>INDEX('Pipe Table'!$B$2:$B$14,MATCH(INDEX(TeAllPoints!$I$2:$I$957,MATCH(Filter!B214,TeAllPoints!$B$2:$B$957,0)),'Pipe Table'!$A$2:$A$14,0))</f>
        <v>Intrcnnct</v>
      </c>
      <c r="E214" t="str">
        <f>INDEX('TE_OA_20200805_INTRDY_2020-08-0'!$H$2:$H$870,MATCH(Filter!B214,'TE_OA_20200805_INTRDY_2020-08-0'!$G$2:$G$870))</f>
        <v>UGI UTIL (Columbia Gas) - Lancaster, PA</v>
      </c>
      <c r="F214" t="str">
        <f>INDEX('Pipe Table'!$H$2:$H$8,MATCH('TE_OA_20200805_INTRDY_2020-08-0'!I195,'Pipe Table'!$G$2:$G$8,0))</f>
        <v>TETCO-M3</v>
      </c>
      <c r="G214" t="str">
        <f>INDEX(TeAllPoints!$D$2:$D$957,MATCH(Filter!B214,TeAllPoints!$B$2:$B$957,0))</f>
        <v>PA</v>
      </c>
      <c r="H214" t="str">
        <f>INDEX(TeAllPoints!$E$2:$E$957,MATCH(Filter!B214,TeAllPoints!$B$2:$B$957,0))</f>
        <v>LANCASTER</v>
      </c>
      <c r="I214">
        <f>INDEX('TE_OA_20200805_INTRDY_2020-08-0'!$Q$2:$Q$870,MATCH(Filter!B214,'TE_OA_20200805_INTRDY_2020-08-0'!$G$2:$G$870))</f>
        <v>20248</v>
      </c>
      <c r="J214">
        <f>INDEX('TE_OA_20200805_INTRDY_2020-08-0'!$R$2:$R$870,MATCH(Filter!B214,'TE_OA_20200805_INTRDY_2020-08-0'!$G$2:$G$870))</f>
        <v>1505</v>
      </c>
    </row>
    <row r="215" spans="1:10" x14ac:dyDescent="0.25">
      <c r="A215" t="str">
        <f>INDEX('Pipe Table'!$E$2:$E$10,MATCH(INDEX('TE_OA_20200805_INTRDY_2020-08-0'!$T$2:$T$870,MATCH(Filter!B215,'TE_OA_20200805_INTRDY_2020-08-0'!$G$2:$G$870,0)),'Pipe Table'!$D$2:$D$10,0))</f>
        <v>TETCO</v>
      </c>
      <c r="B215">
        <v>71579</v>
      </c>
      <c r="C215" t="str">
        <f>INDEX('TE_OA_20200805_INTRDY_2020-08-0'!$J$2:$J$870,MATCH(Filter!B215,'TE_OA_20200805_INTRDY_2020-08-0'!$G$2:$G$870))</f>
        <v>Receipt</v>
      </c>
      <c r="D215" t="str">
        <f>INDEX('Pipe Table'!$B$2:$B$14,MATCH(INDEX(TeAllPoints!$I$2:$I$957,MATCH(Filter!B215,TeAllPoints!$B$2:$B$957,0)),'Pipe Table'!$A$2:$A$14,0))</f>
        <v>Wellhead</v>
      </c>
      <c r="E215" t="str">
        <f>INDEX('TE_OA_20200805_INTRDY_2020-08-0'!$H$2:$H$870,MATCH(Filter!B215,'TE_OA_20200805_INTRDY_2020-08-0'!$G$2:$G$870))</f>
        <v>Fieldwood Energy</v>
      </c>
      <c r="F215" t="str">
        <f>INDEX('Pipe Table'!$H$2:$H$8,MATCH('TE_OA_20200805_INTRDY_2020-08-0'!I196,'Pipe Table'!$G$2:$G$8,0))</f>
        <v>TETCO-WLA</v>
      </c>
      <c r="G215" t="str">
        <f>INDEX(TeAllPoints!$D$2:$D$957,MATCH(Filter!B215,TeAllPoints!$B$2:$B$957,0))</f>
        <v>OF</v>
      </c>
      <c r="H215" t="str">
        <f>INDEX(TeAllPoints!$E$2:$E$957,MATCH(Filter!B215,TeAllPoints!$B$2:$B$957,0))</f>
        <v>VERMILLION</v>
      </c>
      <c r="I215">
        <f>INDEX('TE_OA_20200805_INTRDY_2020-08-0'!$Q$2:$Q$870,MATCH(Filter!B215,'TE_OA_20200805_INTRDY_2020-08-0'!$G$2:$G$870))</f>
        <v>63581</v>
      </c>
      <c r="J215">
        <f>INDEX('TE_OA_20200805_INTRDY_2020-08-0'!$R$2:$R$870,MATCH(Filter!B215,'TE_OA_20200805_INTRDY_2020-08-0'!$G$2:$G$870))</f>
        <v>0</v>
      </c>
    </row>
    <row r="216" spans="1:10" x14ac:dyDescent="0.25">
      <c r="A216" t="str">
        <f>INDEX('Pipe Table'!$E$2:$E$10,MATCH(INDEX('TE_OA_20200805_INTRDY_2020-08-0'!$T$2:$T$870,MATCH(Filter!B216,'TE_OA_20200805_INTRDY_2020-08-0'!$G$2:$G$870,0)),'Pipe Table'!$D$2:$D$10,0))</f>
        <v>TETCO</v>
      </c>
      <c r="B216">
        <v>71607</v>
      </c>
      <c r="C216" t="str">
        <f>INDEX('TE_OA_20200805_INTRDY_2020-08-0'!$J$2:$J$870,MATCH(Filter!B216,'TE_OA_20200805_INTRDY_2020-08-0'!$G$2:$G$870))</f>
        <v>Receipt</v>
      </c>
      <c r="D216" t="str">
        <f>INDEX('Pipe Table'!$B$2:$B$14,MATCH(INDEX(TeAllPoints!$I$2:$I$957,MATCH(Filter!B216,TeAllPoints!$B$2:$B$957,0)),'Pipe Table'!$A$2:$A$14,0))</f>
        <v>Wellhead</v>
      </c>
      <c r="E216" t="str">
        <f>INDEX('TE_OA_20200805_INTRDY_2020-08-0'!$H$2:$H$870,MATCH(Filter!B216,'TE_OA_20200805_INTRDY_2020-08-0'!$G$2:$G$870))</f>
        <v>Victoria Operating - Anna Barre Field, Dewitt Co., TX  (REC)</v>
      </c>
      <c r="F216" t="str">
        <f>INDEX('Pipe Table'!$H$2:$H$8,MATCH('TE_OA_20200805_INTRDY_2020-08-0'!I197,'Pipe Table'!$G$2:$G$8,0))</f>
        <v>TETCO-STX</v>
      </c>
      <c r="G216" t="str">
        <f>INDEX(TeAllPoints!$D$2:$D$957,MATCH(Filter!B216,TeAllPoints!$B$2:$B$957,0))</f>
        <v>TX</v>
      </c>
      <c r="H216" t="str">
        <f>INDEX(TeAllPoints!$E$2:$E$957,MATCH(Filter!B216,TeAllPoints!$B$2:$B$957,0))</f>
        <v>DE WITT</v>
      </c>
      <c r="I216">
        <f>INDEX('TE_OA_20200805_INTRDY_2020-08-0'!$Q$2:$Q$870,MATCH(Filter!B216,'TE_OA_20200805_INTRDY_2020-08-0'!$G$2:$G$870))</f>
        <v>9733</v>
      </c>
      <c r="J216">
        <f>INDEX('TE_OA_20200805_INTRDY_2020-08-0'!$R$2:$R$870,MATCH(Filter!B216,'TE_OA_20200805_INTRDY_2020-08-0'!$G$2:$G$870))</f>
        <v>0</v>
      </c>
    </row>
    <row r="217" spans="1:10" x14ac:dyDescent="0.25">
      <c r="A217" t="str">
        <f>INDEX('Pipe Table'!$E$2:$E$10,MATCH(INDEX('TE_OA_20200805_INTRDY_2020-08-0'!$T$2:$T$870,MATCH(Filter!B217,'TE_OA_20200805_INTRDY_2020-08-0'!$G$2:$G$870,0)),'Pipe Table'!$D$2:$D$10,0))</f>
        <v>TETCO</v>
      </c>
      <c r="B217">
        <v>71616</v>
      </c>
      <c r="C217" t="str">
        <f>INDEX('TE_OA_20200805_INTRDY_2020-08-0'!$J$2:$J$870,MATCH(Filter!B217,'TE_OA_20200805_INTRDY_2020-08-0'!$G$2:$G$870))</f>
        <v>Receipt</v>
      </c>
      <c r="D217" t="str">
        <f>INDEX('Pipe Table'!$B$2:$B$14,MATCH(INDEX(TeAllPoints!$I$2:$I$957,MATCH(Filter!B217,TeAllPoints!$B$2:$B$957,0)),'Pipe Table'!$A$2:$A$14,0))</f>
        <v>Intrcnnct</v>
      </c>
      <c r="E217" t="str">
        <f>INDEX('TE_OA_20200805_INTRDY_2020-08-0'!$H$2:$H$870,MATCH(Filter!B217,'TE_OA_20200805_INTRDY_2020-08-0'!$G$2:$G$870))</f>
        <v>Col. Gas - Fairfield Co., OH</v>
      </c>
      <c r="F217" t="str">
        <f>INDEX('Pipe Table'!$H$2:$H$8,MATCH('TE_OA_20200805_INTRDY_2020-08-0'!I198,'Pipe Table'!$G$2:$G$8,0))</f>
        <v>TETCO-M2</v>
      </c>
      <c r="G217" t="str">
        <f>INDEX(TeAllPoints!$D$2:$D$957,MATCH(Filter!B217,TeAllPoints!$B$2:$B$957,0))</f>
        <v>OH</v>
      </c>
      <c r="H217" t="str">
        <f>INDEX(TeAllPoints!$E$2:$E$957,MATCH(Filter!B217,TeAllPoints!$B$2:$B$957,0))</f>
        <v>FAIRFIELD</v>
      </c>
      <c r="I217">
        <f>INDEX('TE_OA_20200805_INTRDY_2020-08-0'!$Q$2:$Q$870,MATCH(Filter!B217,'TE_OA_20200805_INTRDY_2020-08-0'!$G$2:$G$870))</f>
        <v>280765</v>
      </c>
      <c r="J217">
        <f>INDEX('TE_OA_20200805_INTRDY_2020-08-0'!$R$2:$R$870,MATCH(Filter!B217,'TE_OA_20200805_INTRDY_2020-08-0'!$G$2:$G$870))</f>
        <v>1185</v>
      </c>
    </row>
    <row r="218" spans="1:10" x14ac:dyDescent="0.25">
      <c r="A218" t="str">
        <f>INDEX('Pipe Table'!$E$2:$E$10,MATCH(INDEX('TE_OA_20200805_INTRDY_2020-08-0'!$T$2:$T$870,MATCH(Filter!B218,'TE_OA_20200805_INTRDY_2020-08-0'!$G$2:$G$870,0)),'Pipe Table'!$D$2:$D$10,0))</f>
        <v>TETCO</v>
      </c>
      <c r="B218">
        <v>71655</v>
      </c>
      <c r="C218" t="str">
        <f>INDEX('TE_OA_20200805_INTRDY_2020-08-0'!$J$2:$J$870,MATCH(Filter!B218,'TE_OA_20200805_INTRDY_2020-08-0'!$G$2:$G$870))</f>
        <v>Storage Withdrawal</v>
      </c>
      <c r="D218" t="str">
        <f>INDEX('Pipe Table'!$B$2:$B$14,MATCH(INDEX(TeAllPoints!$I$2:$I$957,MATCH(Filter!B218,TeAllPoints!$B$2:$B$957,0)),'Pipe Table'!$A$2:$A$14,0))</f>
        <v>Stor</v>
      </c>
      <c r="E218" t="str">
        <f>INDEX('TE_OA_20200805_INTRDY_2020-08-0'!$H$2:$H$870,MATCH(Filter!B218,'TE_OA_20200805_INTRDY_2020-08-0'!$G$2:$G$870))</f>
        <v>Dominion Energy Transmission, Inc - South Oakford - Oakford Storag</v>
      </c>
      <c r="F218" t="str">
        <f>INDEX('Pipe Table'!$H$2:$H$8,MATCH('TE_OA_20200805_INTRDY_2020-08-0'!I199,'Pipe Table'!$G$2:$G$8,0))</f>
        <v>TETCO-M2</v>
      </c>
      <c r="G218" t="str">
        <f>INDEX(TeAllPoints!$D$2:$D$957,MATCH(Filter!B218,TeAllPoints!$B$2:$B$957,0))</f>
        <v>PA</v>
      </c>
      <c r="H218" t="str">
        <f>INDEX(TeAllPoints!$E$2:$E$957,MATCH(Filter!B218,TeAllPoints!$B$2:$B$957,0))</f>
        <v>WESTMORELAND</v>
      </c>
      <c r="I218">
        <f>INDEX('TE_OA_20200805_INTRDY_2020-08-0'!$Q$2:$Q$870,MATCH(Filter!B218,'TE_OA_20200805_INTRDY_2020-08-0'!$G$2:$G$870))</f>
        <v>694652</v>
      </c>
      <c r="J218">
        <f>INDEX('TE_OA_20200805_INTRDY_2020-08-0'!$R$2:$R$870,MATCH(Filter!B218,'TE_OA_20200805_INTRDY_2020-08-0'!$G$2:$G$870))</f>
        <v>262</v>
      </c>
    </row>
    <row r="219" spans="1:10" x14ac:dyDescent="0.25">
      <c r="A219" t="str">
        <f>INDEX('Pipe Table'!$E$2:$E$10,MATCH(INDEX('TE_OA_20200805_INTRDY_2020-08-0'!$T$2:$T$870,MATCH(Filter!B219,'TE_OA_20200805_INTRDY_2020-08-0'!$G$2:$G$870,0)),'Pipe Table'!$D$2:$D$10,0))</f>
        <v>TETCO</v>
      </c>
      <c r="B219">
        <v>71671</v>
      </c>
      <c r="C219" t="str">
        <f>INDEX('TE_OA_20200805_INTRDY_2020-08-0'!$J$2:$J$870,MATCH(Filter!B219,'TE_OA_20200805_INTRDY_2020-08-0'!$G$2:$G$870))</f>
        <v>Delivery</v>
      </c>
      <c r="D219" t="str">
        <f>INDEX('Pipe Table'!$B$2:$B$14,MATCH(INDEX(TeAllPoints!$I$2:$I$957,MATCH(Filter!B219,TeAllPoints!$B$2:$B$957,0)),'Pipe Table'!$A$2:$A$14,0))</f>
        <v>Intrcnnct</v>
      </c>
      <c r="E219" t="str">
        <f>INDEX('TE_OA_20200805_INTRDY_2020-08-0'!$H$2:$H$870,MATCH(Filter!B219,'TE_OA_20200805_INTRDY_2020-08-0'!$G$2:$G$870))</f>
        <v>PEOPLES NAT - Rager Mountain, PA</v>
      </c>
      <c r="F219" t="str">
        <f>INDEX('Pipe Table'!$H$2:$H$8,MATCH('TE_OA_20200805_INTRDY_2020-08-0'!I200,'Pipe Table'!$G$2:$G$8,0))</f>
        <v>TETCO-M3</v>
      </c>
      <c r="G219" t="str">
        <f>INDEX(TeAllPoints!$D$2:$D$957,MATCH(Filter!B219,TeAllPoints!$B$2:$B$957,0))</f>
        <v>PA</v>
      </c>
      <c r="H219" t="str">
        <f>INDEX(TeAllPoints!$E$2:$E$957,MATCH(Filter!B219,TeAllPoints!$B$2:$B$957,0))</f>
        <v>CAMBRIA</v>
      </c>
      <c r="I219">
        <f>INDEX('TE_OA_20200805_INTRDY_2020-08-0'!$Q$2:$Q$870,MATCH(Filter!B219,'TE_OA_20200805_INTRDY_2020-08-0'!$G$2:$G$870))</f>
        <v>76328</v>
      </c>
      <c r="J219">
        <f>INDEX('TE_OA_20200805_INTRDY_2020-08-0'!$R$2:$R$870,MATCH(Filter!B219,'TE_OA_20200805_INTRDY_2020-08-0'!$G$2:$G$870))</f>
        <v>0</v>
      </c>
    </row>
    <row r="220" spans="1:10" x14ac:dyDescent="0.25">
      <c r="A220" t="str">
        <f>INDEX('Pipe Table'!$E$2:$E$10,MATCH(INDEX('TE_OA_20200805_INTRDY_2020-08-0'!$T$2:$T$870,MATCH(Filter!B220,'TE_OA_20200805_INTRDY_2020-08-0'!$G$2:$G$870,0)),'Pipe Table'!$D$2:$D$10,0))</f>
        <v>TETCO</v>
      </c>
      <c r="B220">
        <v>71682</v>
      </c>
      <c r="C220" t="str">
        <f>INDEX('TE_OA_20200805_INTRDY_2020-08-0'!$J$2:$J$870,MATCH(Filter!B220,'TE_OA_20200805_INTRDY_2020-08-0'!$G$2:$G$870))</f>
        <v>Delivery</v>
      </c>
      <c r="D220" t="str">
        <f>INDEX('Pipe Table'!$B$2:$B$14,MATCH(INDEX(TeAllPoints!$I$2:$I$957,MATCH(Filter!B220,TeAllPoints!$B$2:$B$957,0)),'Pipe Table'!$A$2:$A$14,0))</f>
        <v>LDC</v>
      </c>
      <c r="E220" t="str">
        <f>INDEX('TE_OA_20200805_INTRDY_2020-08-0'!$H$2:$H$870,MATCH(Filter!B220,'TE_OA_20200805_INTRDY_2020-08-0'!$G$2:$G$870))</f>
        <v>Philadelphia Gas Works Penrose (Eastwick)-Philadelphia, PA</v>
      </c>
      <c r="F220" t="str">
        <f>INDEX('Pipe Table'!$H$2:$H$8,MATCH('TE_OA_20200805_INTRDY_2020-08-0'!I201,'Pipe Table'!$G$2:$G$8,0))</f>
        <v>TETCO-M3</v>
      </c>
      <c r="G220" t="str">
        <f>INDEX(TeAllPoints!$D$2:$D$957,MATCH(Filter!B220,TeAllPoints!$B$2:$B$957,0))</f>
        <v>PA</v>
      </c>
      <c r="H220" t="str">
        <f>INDEX(TeAllPoints!$E$2:$E$957,MATCH(Filter!B220,TeAllPoints!$B$2:$B$957,0))</f>
        <v>PHILADELPHIA</v>
      </c>
      <c r="I220">
        <f>INDEX('TE_OA_20200805_INTRDY_2020-08-0'!$Q$2:$Q$870,MATCH(Filter!B220,'TE_OA_20200805_INTRDY_2020-08-0'!$G$2:$G$870))</f>
        <v>12212</v>
      </c>
      <c r="J220">
        <f>INDEX('TE_OA_20200805_INTRDY_2020-08-0'!$R$2:$R$870,MATCH(Filter!B220,'TE_OA_20200805_INTRDY_2020-08-0'!$G$2:$G$870))</f>
        <v>0</v>
      </c>
    </row>
    <row r="221" spans="1:10" x14ac:dyDescent="0.25">
      <c r="A221" t="str">
        <f>INDEX('Pipe Table'!$E$2:$E$10,MATCH(INDEX('TE_OA_20200805_INTRDY_2020-08-0'!$T$2:$T$870,MATCH(Filter!B221,'TE_OA_20200805_INTRDY_2020-08-0'!$G$2:$G$870,0)),'Pipe Table'!$D$2:$D$10,0))</f>
        <v>TETCO</v>
      </c>
      <c r="B221">
        <v>71704</v>
      </c>
      <c r="C221" t="str">
        <f>INDEX('TE_OA_20200805_INTRDY_2020-08-0'!$J$2:$J$870,MATCH(Filter!B221,'TE_OA_20200805_INTRDY_2020-08-0'!$G$2:$G$870))</f>
        <v>Delivery</v>
      </c>
      <c r="D221" t="str">
        <f>INDEX('Pipe Table'!$B$2:$B$14,MATCH(INDEX(TeAllPoints!$I$2:$I$957,MATCH(Filter!B221,TeAllPoints!$B$2:$B$957,0)),'Pipe Table'!$A$2:$A$14,0))</f>
        <v>Intrcnnct</v>
      </c>
      <c r="E221" t="str">
        <f>INDEX('TE_OA_20200805_INTRDY_2020-08-0'!$H$2:$H$870,MATCH(Filter!B221,'TE_OA_20200805_INTRDY_2020-08-0'!$G$2:$G$870))</f>
        <v>Gulf South Pipeline Company, LP - Darnell, LA  (Delivery)</v>
      </c>
      <c r="F221" t="str">
        <f>INDEX('Pipe Table'!$H$2:$H$8,MATCH('TE_OA_20200805_INTRDY_2020-08-0'!I202,'Pipe Table'!$G$2:$G$8,0))</f>
        <v>TETCO-ELA</v>
      </c>
      <c r="G221" t="str">
        <f>INDEX(TeAllPoints!$D$2:$D$957,MATCH(Filter!B221,TeAllPoints!$B$2:$B$957,0))</f>
        <v>LA</v>
      </c>
      <c r="H221" t="str">
        <f>INDEX(TeAllPoints!$E$2:$E$957,MATCH(Filter!B221,TeAllPoints!$B$2:$B$957,0))</f>
        <v>WEST CARROLL</v>
      </c>
      <c r="I221">
        <f>INDEX('TE_OA_20200805_INTRDY_2020-08-0'!$Q$2:$Q$870,MATCH(Filter!B221,'TE_OA_20200805_INTRDY_2020-08-0'!$G$2:$G$870))</f>
        <v>37177</v>
      </c>
      <c r="J221">
        <f>INDEX('TE_OA_20200805_INTRDY_2020-08-0'!$R$2:$R$870,MATCH(Filter!B221,'TE_OA_20200805_INTRDY_2020-08-0'!$G$2:$G$870))</f>
        <v>0</v>
      </c>
    </row>
    <row r="222" spans="1:10" x14ac:dyDescent="0.25">
      <c r="A222" t="str">
        <f>INDEX('Pipe Table'!$E$2:$E$10,MATCH(INDEX('TE_OA_20200805_INTRDY_2020-08-0'!$T$2:$T$870,MATCH(Filter!B222,'TE_OA_20200805_INTRDY_2020-08-0'!$G$2:$G$870,0)),'Pipe Table'!$D$2:$D$10,0))</f>
        <v>TETCO</v>
      </c>
      <c r="B222">
        <v>71706</v>
      </c>
      <c r="C222" t="str">
        <f>INDEX('TE_OA_20200805_INTRDY_2020-08-0'!$J$2:$J$870,MATCH(Filter!B222,'TE_OA_20200805_INTRDY_2020-08-0'!$G$2:$G$870))</f>
        <v>Receipt</v>
      </c>
      <c r="D222" t="str">
        <f>INDEX('Pipe Table'!$B$2:$B$14,MATCH(INDEX(TeAllPoints!$I$2:$I$957,MATCH(Filter!B222,TeAllPoints!$B$2:$B$957,0)),'Pipe Table'!$A$2:$A$14,0))</f>
        <v>Intrcnnct</v>
      </c>
      <c r="E222" t="str">
        <f>INDEX('TE_OA_20200805_INTRDY_2020-08-0'!$H$2:$H$870,MATCH(Filter!B222,'TE_OA_20200805_INTRDY_2020-08-0'!$G$2:$G$870))</f>
        <v>NorAm - Shelby Co., TX  (Receipt)</v>
      </c>
      <c r="F222" t="str">
        <f>INDEX('Pipe Table'!$H$2:$H$8,MATCH('TE_OA_20200805_INTRDY_2020-08-0'!I203,'Pipe Table'!$G$2:$G$8,0))</f>
        <v>TETCO-ETX</v>
      </c>
      <c r="G222" t="str">
        <f>INDEX(TeAllPoints!$D$2:$D$957,MATCH(Filter!B222,TeAllPoints!$B$2:$B$957,0))</f>
        <v>TX</v>
      </c>
      <c r="H222" t="str">
        <f>INDEX(TeAllPoints!$E$2:$E$957,MATCH(Filter!B222,TeAllPoints!$B$2:$B$957,0))</f>
        <v>SHELBY</v>
      </c>
      <c r="I222">
        <f>INDEX('TE_OA_20200805_INTRDY_2020-08-0'!$Q$2:$Q$870,MATCH(Filter!B222,'TE_OA_20200805_INTRDY_2020-08-0'!$G$2:$G$870))</f>
        <v>16726</v>
      </c>
      <c r="J222">
        <f>INDEX('TE_OA_20200805_INTRDY_2020-08-0'!$R$2:$R$870,MATCH(Filter!B222,'TE_OA_20200805_INTRDY_2020-08-0'!$G$2:$G$870))</f>
        <v>420</v>
      </c>
    </row>
    <row r="223" spans="1:10" x14ac:dyDescent="0.25">
      <c r="A223" t="str">
        <f>INDEX('Pipe Table'!$E$2:$E$10,MATCH(INDEX('TE_OA_20200805_INTRDY_2020-08-0'!$T$2:$T$870,MATCH(Filter!B223,'TE_OA_20200805_INTRDY_2020-08-0'!$G$2:$G$870,0)),'Pipe Table'!$D$2:$D$10,0))</f>
        <v>TETCO</v>
      </c>
      <c r="B223">
        <v>71709</v>
      </c>
      <c r="C223" t="str">
        <f>INDEX('TE_OA_20200805_INTRDY_2020-08-0'!$J$2:$J$870,MATCH(Filter!B223,'TE_OA_20200805_INTRDY_2020-08-0'!$G$2:$G$870))</f>
        <v>Delivery</v>
      </c>
      <c r="D223" t="str">
        <f>INDEX('Pipe Table'!$B$2:$B$14,MATCH(INDEX(TeAllPoints!$I$2:$I$957,MATCH(Filter!B223,TeAllPoints!$B$2:$B$957,0)),'Pipe Table'!$A$2:$A$14,0))</f>
        <v>Intrcnnct</v>
      </c>
      <c r="E223" t="str">
        <f>INDEX('TE_OA_20200805_INTRDY_2020-08-0'!$H$2:$H$870,MATCH(Filter!B223,'TE_OA_20200805_INTRDY_2020-08-0'!$G$2:$G$870))</f>
        <v>NorAm - Jefferson #2, TX  (Delivery)</v>
      </c>
      <c r="F223" t="str">
        <f>INDEX('Pipe Table'!$H$2:$H$8,MATCH('TE_OA_20200805_INTRDY_2020-08-0'!I204,'Pipe Table'!$G$2:$G$8,0))</f>
        <v>TETCO-ETX</v>
      </c>
      <c r="G223" t="str">
        <f>INDEX(TeAllPoints!$D$2:$D$957,MATCH(Filter!B223,TeAllPoints!$B$2:$B$957,0))</f>
        <v>TX</v>
      </c>
      <c r="H223" t="str">
        <f>INDEX(TeAllPoints!$E$2:$E$957,MATCH(Filter!B223,TeAllPoints!$B$2:$B$957,0))</f>
        <v>MARION</v>
      </c>
      <c r="I223">
        <f>INDEX('TE_OA_20200805_INTRDY_2020-08-0'!$Q$2:$Q$870,MATCH(Filter!B223,'TE_OA_20200805_INTRDY_2020-08-0'!$G$2:$G$870))</f>
        <v>5085</v>
      </c>
      <c r="J223">
        <f>INDEX('TE_OA_20200805_INTRDY_2020-08-0'!$R$2:$R$870,MATCH(Filter!B223,'TE_OA_20200805_INTRDY_2020-08-0'!$G$2:$G$870))</f>
        <v>0</v>
      </c>
    </row>
    <row r="224" spans="1:10" x14ac:dyDescent="0.25">
      <c r="A224" t="str">
        <f>INDEX('Pipe Table'!$E$2:$E$10,MATCH(INDEX('TE_OA_20200805_INTRDY_2020-08-0'!$T$2:$T$870,MATCH(Filter!B224,'TE_OA_20200805_INTRDY_2020-08-0'!$G$2:$G$870,0)),'Pipe Table'!$D$2:$D$10,0))</f>
        <v>TETCO</v>
      </c>
      <c r="B224">
        <v>71716</v>
      </c>
      <c r="C224" t="str">
        <f>INDEX('TE_OA_20200805_INTRDY_2020-08-0'!$J$2:$J$870,MATCH(Filter!B224,'TE_OA_20200805_INTRDY_2020-08-0'!$G$2:$G$870))</f>
        <v>Receipt</v>
      </c>
      <c r="D224" t="str">
        <f>INDEX('Pipe Table'!$B$2:$B$14,MATCH(INDEX(TeAllPoints!$I$2:$I$957,MATCH(Filter!B224,TeAllPoints!$B$2:$B$957,0)),'Pipe Table'!$A$2:$A$14,0))</f>
        <v>Intrcnnct</v>
      </c>
      <c r="E224" t="str">
        <f>INDEX('TE_OA_20200805_INTRDY_2020-08-0'!$H$2:$H$870,MATCH(Filter!B224,'TE_OA_20200805_INTRDY_2020-08-0'!$G$2:$G$870))</f>
        <v>Trunkline - Beauregard Psh., LA</v>
      </c>
      <c r="F224" t="str">
        <f>INDEX('Pipe Table'!$H$2:$H$8,MATCH('TE_OA_20200805_INTRDY_2020-08-0'!I205,'Pipe Table'!$G$2:$G$8,0))</f>
        <v>TETCO-WLA</v>
      </c>
      <c r="G224" t="str">
        <f>INDEX(TeAllPoints!$D$2:$D$957,MATCH(Filter!B224,TeAllPoints!$B$2:$B$957,0))</f>
        <v>LA</v>
      </c>
      <c r="H224" t="str">
        <f>INDEX(TeAllPoints!$E$2:$E$957,MATCH(Filter!B224,TeAllPoints!$B$2:$B$957,0))</f>
        <v>BEAUREGARD</v>
      </c>
      <c r="I224">
        <f>INDEX('TE_OA_20200805_INTRDY_2020-08-0'!$Q$2:$Q$870,MATCH(Filter!B224,'TE_OA_20200805_INTRDY_2020-08-0'!$G$2:$G$870))</f>
        <v>266391</v>
      </c>
      <c r="J224">
        <f>INDEX('TE_OA_20200805_INTRDY_2020-08-0'!$R$2:$R$870,MATCH(Filter!B224,'TE_OA_20200805_INTRDY_2020-08-0'!$G$2:$G$870))</f>
        <v>0</v>
      </c>
    </row>
    <row r="225" spans="1:10" x14ac:dyDescent="0.25">
      <c r="A225" t="str">
        <f>INDEX('Pipe Table'!$E$2:$E$10,MATCH(INDEX('TE_OA_20200805_INTRDY_2020-08-0'!$T$2:$T$870,MATCH(Filter!B225,'TE_OA_20200805_INTRDY_2020-08-0'!$G$2:$G$870,0)),'Pipe Table'!$D$2:$D$10,0))</f>
        <v>TETCO</v>
      </c>
      <c r="B225">
        <v>71744</v>
      </c>
      <c r="C225" t="str">
        <f>INDEX('TE_OA_20200805_INTRDY_2020-08-0'!$J$2:$J$870,MATCH(Filter!B225,'TE_OA_20200805_INTRDY_2020-08-0'!$G$2:$G$870))</f>
        <v>Delivery</v>
      </c>
      <c r="D225" t="str">
        <f>INDEX('Pipe Table'!$B$2:$B$14,MATCH(INDEX(TeAllPoints!$I$2:$I$957,MATCH(Filter!B225,TeAllPoints!$B$2:$B$957,0)),'Pipe Table'!$A$2:$A$14,0))</f>
        <v>Intrcnnct</v>
      </c>
      <c r="E225" t="str">
        <f>INDEX('TE_OA_20200805_INTRDY_2020-08-0'!$H$2:$H$870,MATCH(Filter!B225,'TE_OA_20200805_INTRDY_2020-08-0'!$G$2:$G$870))</f>
        <v>Dominion Energy Transmission, Inc - Perulack, PA</v>
      </c>
      <c r="F225" t="str">
        <f>INDEX('Pipe Table'!$H$2:$H$8,MATCH('TE_OA_20200805_INTRDY_2020-08-0'!I206,'Pipe Table'!$G$2:$G$8,0))</f>
        <v>TETCO-M3</v>
      </c>
      <c r="G225" t="str">
        <f>INDEX(TeAllPoints!$D$2:$D$957,MATCH(Filter!B225,TeAllPoints!$B$2:$B$957,0))</f>
        <v>PA</v>
      </c>
      <c r="H225" t="str">
        <f>INDEX(TeAllPoints!$E$2:$E$957,MATCH(Filter!B225,TeAllPoints!$B$2:$B$957,0))</f>
        <v>JUNIATA</v>
      </c>
      <c r="I225">
        <f>INDEX('TE_OA_20200805_INTRDY_2020-08-0'!$Q$2:$Q$870,MATCH(Filter!B225,'TE_OA_20200805_INTRDY_2020-08-0'!$G$2:$G$870))</f>
        <v>377137</v>
      </c>
      <c r="J225">
        <f>INDEX('TE_OA_20200805_INTRDY_2020-08-0'!$R$2:$R$870,MATCH(Filter!B225,'TE_OA_20200805_INTRDY_2020-08-0'!$G$2:$G$870))</f>
        <v>0</v>
      </c>
    </row>
    <row r="226" spans="1:10" x14ac:dyDescent="0.25">
      <c r="A226" t="str">
        <f>INDEX('Pipe Table'!$E$2:$E$10,MATCH(INDEX('TE_OA_20200805_INTRDY_2020-08-0'!$T$2:$T$870,MATCH(Filter!B226,'TE_OA_20200805_INTRDY_2020-08-0'!$G$2:$G$870,0)),'Pipe Table'!$D$2:$D$10,0))</f>
        <v>TETCO</v>
      </c>
      <c r="B226">
        <v>71745</v>
      </c>
      <c r="C226" t="str">
        <f>INDEX('TE_OA_20200805_INTRDY_2020-08-0'!$J$2:$J$870,MATCH(Filter!B226,'TE_OA_20200805_INTRDY_2020-08-0'!$G$2:$G$870))</f>
        <v>Delivery</v>
      </c>
      <c r="D226" t="str">
        <f>INDEX('Pipe Table'!$B$2:$B$14,MATCH(INDEX(TeAllPoints!$I$2:$I$957,MATCH(Filter!B226,TeAllPoints!$B$2:$B$957,0)),'Pipe Table'!$A$2:$A$14,0))</f>
        <v>Intrcnnct</v>
      </c>
      <c r="E226" t="str">
        <f>INDEX('TE_OA_20200805_INTRDY_2020-08-0'!$H$2:$H$870,MATCH(Filter!B226,'TE_OA_20200805_INTRDY_2020-08-0'!$G$2:$G$870))</f>
        <v>Dominion Energy Transmission, Inc - Chambersburg, PA</v>
      </c>
      <c r="F226" t="str">
        <f>INDEX('Pipe Table'!$H$2:$H$8,MATCH('TE_OA_20200805_INTRDY_2020-08-0'!I207,'Pipe Table'!$G$2:$G$8,0))</f>
        <v>TETCO-M3</v>
      </c>
      <c r="G226" t="str">
        <f>INDEX(TeAllPoints!$D$2:$D$957,MATCH(Filter!B226,TeAllPoints!$B$2:$B$957,0))</f>
        <v>PA</v>
      </c>
      <c r="H226" t="str">
        <f>INDEX(TeAllPoints!$E$2:$E$957,MATCH(Filter!B226,TeAllPoints!$B$2:$B$957,0))</f>
        <v>FRANKLIN</v>
      </c>
      <c r="I226">
        <f>INDEX('TE_OA_20200805_INTRDY_2020-08-0'!$Q$2:$Q$870,MATCH(Filter!B226,'TE_OA_20200805_INTRDY_2020-08-0'!$G$2:$G$870))</f>
        <v>736372</v>
      </c>
      <c r="J226">
        <f>INDEX('TE_OA_20200805_INTRDY_2020-08-0'!$R$2:$R$870,MATCH(Filter!B226,'TE_OA_20200805_INTRDY_2020-08-0'!$G$2:$G$870))</f>
        <v>65464</v>
      </c>
    </row>
    <row r="227" spans="1:10" x14ac:dyDescent="0.25">
      <c r="A227" t="str">
        <f>INDEX('Pipe Table'!$E$2:$E$10,MATCH(INDEX('TE_OA_20200805_INTRDY_2020-08-0'!$T$2:$T$870,MATCH(Filter!B227,'TE_OA_20200805_INTRDY_2020-08-0'!$G$2:$G$870,0)),'Pipe Table'!$D$2:$D$10,0))</f>
        <v>TETCO</v>
      </c>
      <c r="B227">
        <v>71750</v>
      </c>
      <c r="C227" t="str">
        <f>INDEX('TE_OA_20200805_INTRDY_2020-08-0'!$J$2:$J$870,MATCH(Filter!B227,'TE_OA_20200805_INTRDY_2020-08-0'!$G$2:$G$870))</f>
        <v>Receipt</v>
      </c>
      <c r="D227" t="str">
        <f>INDEX('Pipe Table'!$B$2:$B$14,MATCH(INDEX(TeAllPoints!$I$2:$I$957,MATCH(Filter!B227,TeAllPoints!$B$2:$B$957,0)),'Pipe Table'!$A$2:$A$14,0))</f>
        <v>Intrcnnct</v>
      </c>
      <c r="E227" t="str">
        <f>INDEX('TE_OA_20200805_INTRDY_2020-08-0'!$H$2:$H$870,MATCH(Filter!B227,'TE_OA_20200805_INTRDY_2020-08-0'!$G$2:$G$870))</f>
        <v>Columbia Gulf - St. Landry Psh., LA</v>
      </c>
      <c r="F227" t="str">
        <f>INDEX('Pipe Table'!$H$2:$H$8,MATCH('TE_OA_20200805_INTRDY_2020-08-0'!I208,'Pipe Table'!$G$2:$G$8,0))</f>
        <v>TETCO-WLA</v>
      </c>
      <c r="G227" t="str">
        <f>INDEX(TeAllPoints!$D$2:$D$957,MATCH(Filter!B227,TeAllPoints!$B$2:$B$957,0))</f>
        <v>LA</v>
      </c>
      <c r="H227" t="str">
        <f>INDEX(TeAllPoints!$E$2:$E$957,MATCH(Filter!B227,TeAllPoints!$B$2:$B$957,0))</f>
        <v>ST LANDRY</v>
      </c>
      <c r="I227">
        <f>INDEX('TE_OA_20200805_INTRDY_2020-08-0'!$Q$2:$Q$870,MATCH(Filter!B227,'TE_OA_20200805_INTRDY_2020-08-0'!$G$2:$G$870))</f>
        <v>124061</v>
      </c>
      <c r="J227">
        <f>INDEX('TE_OA_20200805_INTRDY_2020-08-0'!$R$2:$R$870,MATCH(Filter!B227,'TE_OA_20200805_INTRDY_2020-08-0'!$G$2:$G$870))</f>
        <v>0</v>
      </c>
    </row>
    <row r="228" spans="1:10" x14ac:dyDescent="0.25">
      <c r="A228" t="str">
        <f>INDEX('Pipe Table'!$E$2:$E$10,MATCH(INDEX('TE_OA_20200805_INTRDY_2020-08-0'!$T$2:$T$870,MATCH(Filter!B228,'TE_OA_20200805_INTRDY_2020-08-0'!$G$2:$G$870,0)),'Pipe Table'!$D$2:$D$10,0))</f>
        <v>TETCO</v>
      </c>
      <c r="B228">
        <v>71773</v>
      </c>
      <c r="C228" t="str">
        <f>INDEX('TE_OA_20200805_INTRDY_2020-08-0'!$J$2:$J$870,MATCH(Filter!B228,'TE_OA_20200805_INTRDY_2020-08-0'!$G$2:$G$870))</f>
        <v>Receipt</v>
      </c>
      <c r="D228" t="str">
        <f>INDEX('Pipe Table'!$B$2:$B$14,MATCH(INDEX(TeAllPoints!$I$2:$I$957,MATCH(Filter!B228,TeAllPoints!$B$2:$B$957,0)),'Pipe Table'!$A$2:$A$14,0))</f>
        <v>Wellhead</v>
      </c>
      <c r="E228" t="str">
        <f>INDEX('TE_OA_20200805_INTRDY_2020-08-0'!$H$2:$H$870,MATCH(Filter!B228,'TE_OA_20200805_INTRDY_2020-08-0'!$G$2:$G$870))</f>
        <v>James L. Nelson - Junker, Dewitt Co., TX</v>
      </c>
      <c r="F228" t="str">
        <f>INDEX('Pipe Table'!$H$2:$H$8,MATCH('TE_OA_20200805_INTRDY_2020-08-0'!I209,'Pipe Table'!$G$2:$G$8,0))</f>
        <v>TETCO-STX</v>
      </c>
      <c r="G228" t="str">
        <f>INDEX(TeAllPoints!$D$2:$D$957,MATCH(Filter!B228,TeAllPoints!$B$2:$B$957,0))</f>
        <v>TX</v>
      </c>
      <c r="H228" t="str">
        <f>INDEX(TeAllPoints!$E$2:$E$957,MATCH(Filter!B228,TeAllPoints!$B$2:$B$957,0))</f>
        <v>DE WITT</v>
      </c>
      <c r="I228">
        <f>INDEX('TE_OA_20200805_INTRDY_2020-08-0'!$Q$2:$Q$870,MATCH(Filter!B228,'TE_OA_20200805_INTRDY_2020-08-0'!$G$2:$G$870))</f>
        <v>4427</v>
      </c>
      <c r="J228">
        <f>INDEX('TE_OA_20200805_INTRDY_2020-08-0'!$R$2:$R$870,MATCH(Filter!B228,'TE_OA_20200805_INTRDY_2020-08-0'!$G$2:$G$870))</f>
        <v>1</v>
      </c>
    </row>
    <row r="229" spans="1:10" x14ac:dyDescent="0.25">
      <c r="A229" t="str">
        <f>INDEX('Pipe Table'!$E$2:$E$10,MATCH(INDEX('TE_OA_20200805_INTRDY_2020-08-0'!$T$2:$T$870,MATCH(Filter!B229,'TE_OA_20200805_INTRDY_2020-08-0'!$G$2:$G$870,0)),'Pipe Table'!$D$2:$D$10,0))</f>
        <v>TETCO</v>
      </c>
      <c r="B229">
        <v>71814</v>
      </c>
      <c r="C229" t="str">
        <f>INDEX('TE_OA_20200805_INTRDY_2020-08-0'!$J$2:$J$870,MATCH(Filter!B229,'TE_OA_20200805_INTRDY_2020-08-0'!$G$2:$G$870))</f>
        <v>Delivery</v>
      </c>
      <c r="D229" t="str">
        <f>INDEX('Pipe Table'!$B$2:$B$14,MATCH(INDEX(TeAllPoints!$I$2:$I$957,MATCH(Filter!B229,TeAllPoints!$B$2:$B$957,0)),'Pipe Table'!$A$2:$A$14,0))</f>
        <v>Intrcnnct</v>
      </c>
      <c r="E229" t="str">
        <f>INDEX('TE_OA_20200805_INTRDY_2020-08-0'!$H$2:$H$870,MATCH(Filter!B229,'TE_OA_20200805_INTRDY_2020-08-0'!$G$2:$G$870))</f>
        <v>Alcoa-Lavaca Pipeline - Calhoun, TX  (Delivery)</v>
      </c>
      <c r="F229" t="str">
        <f>INDEX('Pipe Table'!$H$2:$H$8,MATCH('TE_OA_20200805_INTRDY_2020-08-0'!I210,'Pipe Table'!$G$2:$G$8,0))</f>
        <v>TETCO-STX</v>
      </c>
      <c r="G229" t="str">
        <f>INDEX(TeAllPoints!$D$2:$D$957,MATCH(Filter!B229,TeAllPoints!$B$2:$B$957,0))</f>
        <v>TX</v>
      </c>
      <c r="H229" t="str">
        <f>INDEX(TeAllPoints!$E$2:$E$957,MATCH(Filter!B229,TeAllPoints!$B$2:$B$957,0))</f>
        <v>CALHOUN</v>
      </c>
      <c r="I229">
        <f>INDEX('TE_OA_20200805_INTRDY_2020-08-0'!$Q$2:$Q$870,MATCH(Filter!B229,'TE_OA_20200805_INTRDY_2020-08-0'!$G$2:$G$870))</f>
        <v>65562</v>
      </c>
      <c r="J229">
        <f>INDEX('TE_OA_20200805_INTRDY_2020-08-0'!$R$2:$R$870,MATCH(Filter!B229,'TE_OA_20200805_INTRDY_2020-08-0'!$G$2:$G$870))</f>
        <v>0</v>
      </c>
    </row>
    <row r="230" spans="1:10" x14ac:dyDescent="0.25">
      <c r="A230" t="str">
        <f>INDEX('Pipe Table'!$E$2:$E$10,MATCH(INDEX('TE_OA_20200805_INTRDY_2020-08-0'!$T$2:$T$870,MATCH(Filter!B230,'TE_OA_20200805_INTRDY_2020-08-0'!$G$2:$G$870,0)),'Pipe Table'!$D$2:$D$10,0))</f>
        <v>TETCO</v>
      </c>
      <c r="B230">
        <v>71825</v>
      </c>
      <c r="C230" t="str">
        <f>INDEX('TE_OA_20200805_INTRDY_2020-08-0'!$J$2:$J$870,MATCH(Filter!B230,'TE_OA_20200805_INTRDY_2020-08-0'!$G$2:$G$870))</f>
        <v>Receipt</v>
      </c>
      <c r="D230" t="str">
        <f>INDEX('Pipe Table'!$B$2:$B$14,MATCH(INDEX(TeAllPoints!$I$2:$I$957,MATCH(Filter!B230,TeAllPoints!$B$2:$B$957,0)),'Pipe Table'!$A$2:$A$14,0))</f>
        <v>Intrcnnct</v>
      </c>
      <c r="E230" t="str">
        <f>INDEX('TE_OA_20200805_INTRDY_2020-08-0'!$H$2:$H$870,MATCH(Filter!B230,'TE_OA_20200805_INTRDY_2020-08-0'!$G$2:$G$870))</f>
        <v>ANR P/L Co. - French Lick, IN</v>
      </c>
      <c r="F230" t="str">
        <f>INDEX('Pipe Table'!$H$2:$H$8,MATCH('TE_OA_20200805_INTRDY_2020-08-0'!I211,'Pipe Table'!$G$2:$G$8,0))</f>
        <v>TETCO-M2</v>
      </c>
      <c r="G230" t="str">
        <f>INDEX(TeAllPoints!$D$2:$D$957,MATCH(Filter!B230,TeAllPoints!$B$2:$B$957,0))</f>
        <v>IN</v>
      </c>
      <c r="H230" t="str">
        <f>INDEX(TeAllPoints!$E$2:$E$957,MATCH(Filter!B230,TeAllPoints!$B$2:$B$957,0))</f>
        <v>ORANGE</v>
      </c>
      <c r="I230">
        <f>INDEX('TE_OA_20200805_INTRDY_2020-08-0'!$Q$2:$Q$870,MATCH(Filter!B230,'TE_OA_20200805_INTRDY_2020-08-0'!$G$2:$G$870))</f>
        <v>71450</v>
      </c>
      <c r="J230">
        <f>INDEX('TE_OA_20200805_INTRDY_2020-08-0'!$R$2:$R$870,MATCH(Filter!B230,'TE_OA_20200805_INTRDY_2020-08-0'!$G$2:$G$870))</f>
        <v>0</v>
      </c>
    </row>
    <row r="231" spans="1:10" x14ac:dyDescent="0.25">
      <c r="A231" t="str">
        <f>INDEX('Pipe Table'!$E$2:$E$10,MATCH(INDEX('TE_OA_20200805_INTRDY_2020-08-0'!$T$2:$T$870,MATCH(Filter!B231,'TE_OA_20200805_INTRDY_2020-08-0'!$G$2:$G$870,0)),'Pipe Table'!$D$2:$D$10,0))</f>
        <v>TETCO</v>
      </c>
      <c r="B231">
        <v>71841</v>
      </c>
      <c r="C231" t="str">
        <f>INDEX('TE_OA_20200805_INTRDY_2020-08-0'!$J$2:$J$870,MATCH(Filter!B231,'TE_OA_20200805_INTRDY_2020-08-0'!$G$2:$G$870))</f>
        <v>Delivery</v>
      </c>
      <c r="D231" t="str">
        <f>INDEX('Pipe Table'!$B$2:$B$14,MATCH(INDEX(TeAllPoints!$I$2:$I$957,MATCH(Filter!B231,TeAllPoints!$B$2:$B$957,0)),'Pipe Table'!$A$2:$A$14,0))</f>
        <v>LDC</v>
      </c>
      <c r="E231" t="str">
        <f>INDEX('TE_OA_20200805_INTRDY_2020-08-0'!$H$2:$H$870,MATCH(Filter!B231,'TE_OA_20200805_INTRDY_2020-08-0'!$G$2:$G$870))</f>
        <v>Ohio Intrastate Energy, LLC  (Ford) - Butler Co., OH</v>
      </c>
      <c r="F231" t="str">
        <f>INDEX('Pipe Table'!$H$2:$H$8,MATCH('TE_OA_20200805_INTRDY_2020-08-0'!I212,'Pipe Table'!$G$2:$G$8,0))</f>
        <v>TETCO-M2</v>
      </c>
      <c r="G231" t="str">
        <f>INDEX(TeAllPoints!$D$2:$D$957,MATCH(Filter!B231,TeAllPoints!$B$2:$B$957,0))</f>
        <v>OH</v>
      </c>
      <c r="H231" t="str">
        <f>INDEX(TeAllPoints!$E$2:$E$957,MATCH(Filter!B231,TeAllPoints!$B$2:$B$957,0))</f>
        <v>BUTLER</v>
      </c>
      <c r="I231">
        <f>INDEX('TE_OA_20200805_INTRDY_2020-08-0'!$Q$2:$Q$870,MATCH(Filter!B231,'TE_OA_20200805_INTRDY_2020-08-0'!$G$2:$G$870))</f>
        <v>16275</v>
      </c>
      <c r="J231">
        <f>INDEX('TE_OA_20200805_INTRDY_2020-08-0'!$R$2:$R$870,MATCH(Filter!B231,'TE_OA_20200805_INTRDY_2020-08-0'!$G$2:$G$870))</f>
        <v>0</v>
      </c>
    </row>
    <row r="232" spans="1:10" x14ac:dyDescent="0.25">
      <c r="A232" t="str">
        <f>INDEX('Pipe Table'!$E$2:$E$10,MATCH(INDEX('TE_OA_20200805_INTRDY_2020-08-0'!$T$2:$T$870,MATCH(Filter!B232,'TE_OA_20200805_INTRDY_2020-08-0'!$G$2:$G$870,0)),'Pipe Table'!$D$2:$D$10,0))</f>
        <v>TETCO</v>
      </c>
      <c r="B232">
        <v>71862</v>
      </c>
      <c r="C232" t="str">
        <f>INDEX('TE_OA_20200805_INTRDY_2020-08-0'!$J$2:$J$870,MATCH(Filter!B232,'TE_OA_20200805_INTRDY_2020-08-0'!$G$2:$G$870))</f>
        <v>Receipt</v>
      </c>
      <c r="D232" t="str">
        <f>INDEX('Pipe Table'!$B$2:$B$14,MATCH(INDEX(TeAllPoints!$I$2:$I$957,MATCH(Filter!B232,TeAllPoints!$B$2:$B$957,0)),'Pipe Table'!$A$2:$A$14,0))</f>
        <v>Wellhead</v>
      </c>
      <c r="E232" t="str">
        <f>INDEX('TE_OA_20200805_INTRDY_2020-08-0'!$H$2:$H$870,MATCH(Filter!B232,'TE_OA_20200805_INTRDY_2020-08-0'!$G$2:$G$870))</f>
        <v>Britanco, LLC - #1D Goree, Bee Co., TX</v>
      </c>
      <c r="F232" t="str">
        <f>INDEX('Pipe Table'!$H$2:$H$8,MATCH('TE_OA_20200805_INTRDY_2020-08-0'!I213,'Pipe Table'!$G$2:$G$8,0))</f>
        <v>TETCO-STX</v>
      </c>
      <c r="G232" t="str">
        <f>INDEX(TeAllPoints!$D$2:$D$957,MATCH(Filter!B232,TeAllPoints!$B$2:$B$957,0))</f>
        <v>TX</v>
      </c>
      <c r="H232" t="str">
        <f>INDEX(TeAllPoints!$E$2:$E$957,MATCH(Filter!B232,TeAllPoints!$B$2:$B$957,0))</f>
        <v>BEE</v>
      </c>
      <c r="I232">
        <f>INDEX('TE_OA_20200805_INTRDY_2020-08-0'!$Q$2:$Q$870,MATCH(Filter!B232,'TE_OA_20200805_INTRDY_2020-08-0'!$G$2:$G$870))</f>
        <v>8613</v>
      </c>
      <c r="J232">
        <f>INDEX('TE_OA_20200805_INTRDY_2020-08-0'!$R$2:$R$870,MATCH(Filter!B232,'TE_OA_20200805_INTRDY_2020-08-0'!$G$2:$G$870))</f>
        <v>150</v>
      </c>
    </row>
    <row r="233" spans="1:10" x14ac:dyDescent="0.25">
      <c r="A233" t="str">
        <f>INDEX('Pipe Table'!$E$2:$E$10,MATCH(INDEX('TE_OA_20200805_INTRDY_2020-08-0'!$T$2:$T$870,MATCH(Filter!B233,'TE_OA_20200805_INTRDY_2020-08-0'!$G$2:$G$870,0)),'Pipe Table'!$D$2:$D$10,0))</f>
        <v>TETCO</v>
      </c>
      <c r="B233">
        <v>71887</v>
      </c>
      <c r="C233" t="str">
        <f>INDEX('TE_OA_20200805_INTRDY_2020-08-0'!$J$2:$J$870,MATCH(Filter!B233,'TE_OA_20200805_INTRDY_2020-08-0'!$G$2:$G$870))</f>
        <v>Receipt</v>
      </c>
      <c r="D233" t="str">
        <f>INDEX('Pipe Table'!$B$2:$B$14,MATCH(INDEX(TeAllPoints!$I$2:$I$957,MATCH(Filter!B233,TeAllPoints!$B$2:$B$957,0)),'Pipe Table'!$A$2:$A$14,0))</f>
        <v>Wellhead</v>
      </c>
      <c r="E233" t="str">
        <f>INDEX('TE_OA_20200805_INTRDY_2020-08-0'!$H$2:$H$870,MATCH(Filter!B233,'TE_OA_20200805_INTRDY_2020-08-0'!$G$2:$G$870))</f>
        <v>Britlind Oil, LLC. - #1 Brown, St.Landry Psh., LA</v>
      </c>
      <c r="F233" t="str">
        <f>INDEX('Pipe Table'!$H$2:$H$8,MATCH('TE_OA_20200805_INTRDY_2020-08-0'!I214,'Pipe Table'!$G$2:$G$8,0))</f>
        <v>TETCO-WLA</v>
      </c>
      <c r="G233" t="str">
        <f>INDEX(TeAllPoints!$D$2:$D$957,MATCH(Filter!B233,TeAllPoints!$B$2:$B$957,0))</f>
        <v>LA</v>
      </c>
      <c r="H233" t="str">
        <f>INDEX(TeAllPoints!$E$2:$E$957,MATCH(Filter!B233,TeAllPoints!$B$2:$B$957,0))</f>
        <v>ST LANDRY</v>
      </c>
      <c r="I233">
        <f>INDEX('TE_OA_20200805_INTRDY_2020-08-0'!$Q$2:$Q$870,MATCH(Filter!B233,'TE_OA_20200805_INTRDY_2020-08-0'!$G$2:$G$870))</f>
        <v>8381</v>
      </c>
      <c r="J233">
        <f>INDEX('TE_OA_20200805_INTRDY_2020-08-0'!$R$2:$R$870,MATCH(Filter!B233,'TE_OA_20200805_INTRDY_2020-08-0'!$G$2:$G$870))</f>
        <v>0</v>
      </c>
    </row>
    <row r="234" spans="1:10" x14ac:dyDescent="0.25">
      <c r="A234" t="str">
        <f>INDEX('Pipe Table'!$E$2:$E$10,MATCH(INDEX('TE_OA_20200805_INTRDY_2020-08-0'!$T$2:$T$870,MATCH(Filter!B234,'TE_OA_20200805_INTRDY_2020-08-0'!$G$2:$G$870,0)),'Pipe Table'!$D$2:$D$10,0))</f>
        <v>TETCO</v>
      </c>
      <c r="B234">
        <v>71889</v>
      </c>
      <c r="C234" t="str">
        <f>INDEX('TE_OA_20200805_INTRDY_2020-08-0'!$J$2:$J$870,MATCH(Filter!B234,'TE_OA_20200805_INTRDY_2020-08-0'!$G$2:$G$870))</f>
        <v>Receipt</v>
      </c>
      <c r="D234" t="str">
        <f>INDEX('Pipe Table'!$B$2:$B$14,MATCH(INDEX(TeAllPoints!$I$2:$I$957,MATCH(Filter!B234,TeAllPoints!$B$2:$B$957,0)),'Pipe Table'!$A$2:$A$14,0))</f>
        <v>Wellhead</v>
      </c>
      <c r="E234" t="str">
        <f>INDEX('TE_OA_20200805_INTRDY_2020-08-0'!$H$2:$H$870,MATCH(Filter!B234,'TE_OA_20200805_INTRDY_2020-08-0'!$G$2:$G$870))</f>
        <v>MAGNUM PRODUCING, LP - #1 Kean, Pt. Coupee Psh., LA</v>
      </c>
      <c r="F234" t="str">
        <f>INDEX('Pipe Table'!$H$2:$H$8,MATCH('TE_OA_20200805_INTRDY_2020-08-0'!I215,'Pipe Table'!$G$2:$G$8,0))</f>
        <v>TETCO-ELA</v>
      </c>
      <c r="G234" t="str">
        <f>INDEX(TeAllPoints!$D$2:$D$957,MATCH(Filter!B234,TeAllPoints!$B$2:$B$957,0))</f>
        <v>LA</v>
      </c>
      <c r="H234" t="str">
        <f>INDEX(TeAllPoints!$E$2:$E$957,MATCH(Filter!B234,TeAllPoints!$B$2:$B$957,0))</f>
        <v>POINTE COUPEE</v>
      </c>
      <c r="I234">
        <f>INDEX('TE_OA_20200805_INTRDY_2020-08-0'!$Q$2:$Q$870,MATCH(Filter!B234,'TE_OA_20200805_INTRDY_2020-08-0'!$G$2:$G$870))</f>
        <v>17354</v>
      </c>
      <c r="J234">
        <f>INDEX('TE_OA_20200805_INTRDY_2020-08-0'!$R$2:$R$870,MATCH(Filter!B234,'TE_OA_20200805_INTRDY_2020-08-0'!$G$2:$G$870))</f>
        <v>0</v>
      </c>
    </row>
    <row r="235" spans="1:10" x14ac:dyDescent="0.25">
      <c r="A235" t="str">
        <f>INDEX('Pipe Table'!$E$2:$E$10,MATCH(INDEX('TE_OA_20200805_INTRDY_2020-08-0'!$T$2:$T$870,MATCH(Filter!B235,'TE_OA_20200805_INTRDY_2020-08-0'!$G$2:$G$870,0)),'Pipe Table'!$D$2:$D$10,0))</f>
        <v>TETCO</v>
      </c>
      <c r="B235">
        <v>71963</v>
      </c>
      <c r="C235" t="str">
        <f>INDEX('TE_OA_20200805_INTRDY_2020-08-0'!$J$2:$J$870,MATCH(Filter!B235,'TE_OA_20200805_INTRDY_2020-08-0'!$G$2:$G$870))</f>
        <v>Receipt</v>
      </c>
      <c r="D235" t="str">
        <f>INDEX('Pipe Table'!$B$2:$B$14,MATCH(INDEX(TeAllPoints!$I$2:$I$957,MATCH(Filter!B235,TeAllPoints!$B$2:$B$957,0)),'Pipe Table'!$A$2:$A$14,0))</f>
        <v>Wellhead</v>
      </c>
      <c r="E235" t="str">
        <f>INDEX('TE_OA_20200805_INTRDY_2020-08-0'!$H$2:$H$870,MATCH(Filter!B235,'TE_OA_20200805_INTRDY_2020-08-0'!$G$2:$G$870))</f>
        <v>Scorpion Oil&amp;Gas, LLC-#1 Faulkner - Pontotoc, MS</v>
      </c>
      <c r="F235" t="str">
        <f>INDEX('Pipe Table'!$H$2:$H$8,MATCH('TE_OA_20200805_INTRDY_2020-08-0'!I216,'Pipe Table'!$G$2:$G$8,0))</f>
        <v>TETCO-M1</v>
      </c>
      <c r="G235" t="str">
        <f>INDEX(TeAllPoints!$D$2:$D$957,MATCH(Filter!B235,TeAllPoints!$B$2:$B$957,0))</f>
        <v>MS</v>
      </c>
      <c r="H235" t="str">
        <f>INDEX(TeAllPoints!$E$2:$E$957,MATCH(Filter!B235,TeAllPoints!$B$2:$B$957,0))</f>
        <v>PONTOTOC</v>
      </c>
      <c r="I235">
        <f>INDEX('TE_OA_20200805_INTRDY_2020-08-0'!$Q$2:$Q$870,MATCH(Filter!B235,'TE_OA_20200805_INTRDY_2020-08-0'!$G$2:$G$870))</f>
        <v>4911</v>
      </c>
      <c r="J235">
        <f>INDEX('TE_OA_20200805_INTRDY_2020-08-0'!$R$2:$R$870,MATCH(Filter!B235,'TE_OA_20200805_INTRDY_2020-08-0'!$G$2:$G$870))</f>
        <v>135</v>
      </c>
    </row>
    <row r="236" spans="1:10" x14ac:dyDescent="0.25">
      <c r="A236" t="str">
        <f>INDEX('Pipe Table'!$E$2:$E$10,MATCH(INDEX('TE_OA_20200805_INTRDY_2020-08-0'!$T$2:$T$870,MATCH(Filter!B236,'TE_OA_20200805_INTRDY_2020-08-0'!$G$2:$G$870,0)),'Pipe Table'!$D$2:$D$10,0))</f>
        <v>TETCO</v>
      </c>
      <c r="B236">
        <v>71964</v>
      </c>
      <c r="C236" t="str">
        <f>INDEX('TE_OA_20200805_INTRDY_2020-08-0'!$J$2:$J$870,MATCH(Filter!B236,'TE_OA_20200805_INTRDY_2020-08-0'!$G$2:$G$870))</f>
        <v>Receipt</v>
      </c>
      <c r="D236" t="str">
        <f>INDEX('Pipe Table'!$B$2:$B$14,MATCH(INDEX(TeAllPoints!$I$2:$I$957,MATCH(Filter!B236,TeAllPoints!$B$2:$B$957,0)),'Pipe Table'!$A$2:$A$14,0))</f>
        <v>Intrcnnct</v>
      </c>
      <c r="E236" t="str">
        <f>INDEX('TE_OA_20200805_INTRDY_2020-08-0'!$H$2:$H$870,MATCH(Filter!B236,'TE_OA_20200805_INTRDY_2020-08-0'!$G$2:$G$870))</f>
        <v>Enbridge Pipelines (East Texas) LP -Longview/Gregg Co., TX</v>
      </c>
      <c r="F236" t="str">
        <f>INDEX('Pipe Table'!$H$2:$H$8,MATCH('TE_OA_20200805_INTRDY_2020-08-0'!I217,'Pipe Table'!$G$2:$G$8,0))</f>
        <v>TETCO-ETX</v>
      </c>
      <c r="G236" t="str">
        <f>INDEX(TeAllPoints!$D$2:$D$957,MATCH(Filter!B236,TeAllPoints!$B$2:$B$957,0))</f>
        <v>TX</v>
      </c>
      <c r="H236" t="str">
        <f>INDEX(TeAllPoints!$E$2:$E$957,MATCH(Filter!B236,TeAllPoints!$B$2:$B$957,0))</f>
        <v>GREGG</v>
      </c>
      <c r="I236">
        <f>INDEX('TE_OA_20200805_INTRDY_2020-08-0'!$Q$2:$Q$870,MATCH(Filter!B236,'TE_OA_20200805_INTRDY_2020-08-0'!$G$2:$G$870))</f>
        <v>64402</v>
      </c>
      <c r="J236">
        <f>INDEX('TE_OA_20200805_INTRDY_2020-08-0'!$R$2:$R$870,MATCH(Filter!B236,'TE_OA_20200805_INTRDY_2020-08-0'!$G$2:$G$870))</f>
        <v>14000</v>
      </c>
    </row>
    <row r="237" spans="1:10" x14ac:dyDescent="0.25">
      <c r="A237" t="str">
        <f>INDEX('Pipe Table'!$E$2:$E$10,MATCH(INDEX('TE_OA_20200805_INTRDY_2020-08-0'!$T$2:$T$870,MATCH(Filter!B237,'TE_OA_20200805_INTRDY_2020-08-0'!$G$2:$G$870,0)),'Pipe Table'!$D$2:$D$10,0))</f>
        <v>TETCO</v>
      </c>
      <c r="B237">
        <v>71987</v>
      </c>
      <c r="C237" t="str">
        <f>INDEX('TE_OA_20200805_INTRDY_2020-08-0'!$J$2:$J$870,MATCH(Filter!B237,'TE_OA_20200805_INTRDY_2020-08-0'!$G$2:$G$870))</f>
        <v>Delivery</v>
      </c>
      <c r="D237" t="str">
        <f>INDEX('Pipe Table'!$B$2:$B$14,MATCH(INDEX(TeAllPoints!$I$2:$I$957,MATCH(Filter!B237,TeAllPoints!$B$2:$B$957,0)),'Pipe Table'!$A$2:$A$14,0))</f>
        <v>LDC</v>
      </c>
      <c r="E237" t="str">
        <f>INDEX('TE_OA_20200805_INTRDY_2020-08-0'!$H$2:$H$870,MATCH(Filter!B237,'TE_OA_20200805_INTRDY_2020-08-0'!$G$2:$G$870))</f>
        <v>UGI UTIL - (Grantville) Hershey, PA</v>
      </c>
      <c r="F237" t="str">
        <f>INDEX('Pipe Table'!$H$2:$H$8,MATCH('TE_OA_20200805_INTRDY_2020-08-0'!I218,'Pipe Table'!$G$2:$G$8,0))</f>
        <v>TETCO-M3</v>
      </c>
      <c r="G237" t="str">
        <f>INDEX(TeAllPoints!$D$2:$D$957,MATCH(Filter!B237,TeAllPoints!$B$2:$B$957,0))</f>
        <v>PA</v>
      </c>
      <c r="H237" t="str">
        <f>INDEX(TeAllPoints!$E$2:$E$957,MATCH(Filter!B237,TeAllPoints!$B$2:$B$957,0))</f>
        <v>LEBANON</v>
      </c>
      <c r="I237">
        <f>INDEX('TE_OA_20200805_INTRDY_2020-08-0'!$Q$2:$Q$870,MATCH(Filter!B237,'TE_OA_20200805_INTRDY_2020-08-0'!$G$2:$G$870))</f>
        <v>78657</v>
      </c>
      <c r="J237">
        <f>INDEX('TE_OA_20200805_INTRDY_2020-08-0'!$R$2:$R$870,MATCH(Filter!B237,'TE_OA_20200805_INTRDY_2020-08-0'!$G$2:$G$870))</f>
        <v>21759</v>
      </c>
    </row>
    <row r="238" spans="1:10" x14ac:dyDescent="0.25">
      <c r="A238" t="str">
        <f>INDEX('Pipe Table'!$E$2:$E$10,MATCH(INDEX('TE_OA_20200805_INTRDY_2020-08-0'!$T$2:$T$870,MATCH(Filter!B238,'TE_OA_20200805_INTRDY_2020-08-0'!$G$2:$G$870,0)),'Pipe Table'!$D$2:$D$10,0))</f>
        <v>TETCO</v>
      </c>
      <c r="B238">
        <v>71993</v>
      </c>
      <c r="C238" t="str">
        <f>INDEX('TE_OA_20200805_INTRDY_2020-08-0'!$J$2:$J$870,MATCH(Filter!B238,'TE_OA_20200805_INTRDY_2020-08-0'!$G$2:$G$870))</f>
        <v>Delivery</v>
      </c>
      <c r="D238" t="str">
        <f>INDEX('Pipe Table'!$B$2:$B$14,MATCH(INDEX(TeAllPoints!$I$2:$I$957,MATCH(Filter!B238,TeAllPoints!$B$2:$B$957,0)),'Pipe Table'!$A$2:$A$14,0))</f>
        <v>LDC</v>
      </c>
      <c r="E238" t="str">
        <f>INDEX('TE_OA_20200805_INTRDY_2020-08-0'!$H$2:$H$870,MATCH(Filter!B238,'TE_OA_20200805_INTRDY_2020-08-0'!$G$2:$G$870))</f>
        <v>Cin Gas &amp; Elec -Butler Co., OH</v>
      </c>
      <c r="F238" t="str">
        <f>INDEX('Pipe Table'!$H$2:$H$8,MATCH('TE_OA_20200805_INTRDY_2020-08-0'!I219,'Pipe Table'!$G$2:$G$8,0))</f>
        <v>TETCO-M2</v>
      </c>
      <c r="G238" t="str">
        <f>INDEX(TeAllPoints!$D$2:$D$957,MATCH(Filter!B238,TeAllPoints!$B$2:$B$957,0))</f>
        <v>OH</v>
      </c>
      <c r="H238" t="str">
        <f>INDEX(TeAllPoints!$E$2:$E$957,MATCH(Filter!B238,TeAllPoints!$B$2:$B$957,0))</f>
        <v>BUTLER</v>
      </c>
      <c r="I238">
        <f>INDEX('TE_OA_20200805_INTRDY_2020-08-0'!$Q$2:$Q$870,MATCH(Filter!B238,'TE_OA_20200805_INTRDY_2020-08-0'!$G$2:$G$870))</f>
        <v>6998</v>
      </c>
      <c r="J238">
        <f>INDEX('TE_OA_20200805_INTRDY_2020-08-0'!$R$2:$R$870,MATCH(Filter!B238,'TE_OA_20200805_INTRDY_2020-08-0'!$G$2:$G$870))</f>
        <v>1956</v>
      </c>
    </row>
    <row r="239" spans="1:10" x14ac:dyDescent="0.25">
      <c r="A239" t="str">
        <f>INDEX('Pipe Table'!$E$2:$E$10,MATCH(INDEX('TE_OA_20200805_INTRDY_2020-08-0'!$T$2:$T$870,MATCH(Filter!B239,'TE_OA_20200805_INTRDY_2020-08-0'!$G$2:$G$870,0)),'Pipe Table'!$D$2:$D$10,0))</f>
        <v>TETCO</v>
      </c>
      <c r="B239">
        <v>72004</v>
      </c>
      <c r="C239" t="str">
        <f>INDEX('TE_OA_20200805_INTRDY_2020-08-0'!$J$2:$J$870,MATCH(Filter!B239,'TE_OA_20200805_INTRDY_2020-08-0'!$G$2:$G$870))</f>
        <v>Delivery</v>
      </c>
      <c r="D239" t="str">
        <f>INDEX('Pipe Table'!$B$2:$B$14,MATCH(INDEX(TeAllPoints!$I$2:$I$957,MATCH(Filter!B239,TeAllPoints!$B$2:$B$957,0)),'Pipe Table'!$A$2:$A$14,0))</f>
        <v>LDC</v>
      </c>
      <c r="E239" t="str">
        <f>INDEX('TE_OA_20200805_INTRDY_2020-08-0'!$H$2:$H$870,MATCH(Filter!B239,'TE_OA_20200805_INTRDY_2020-08-0'!$G$2:$G$870))</f>
        <v>PECO Energy - Planebrook Chester Co., PA</v>
      </c>
      <c r="F239" t="str">
        <f>INDEX('Pipe Table'!$H$2:$H$8,MATCH('TE_OA_20200805_INTRDY_2020-08-0'!I220,'Pipe Table'!$G$2:$G$8,0))</f>
        <v>TETCO-M3</v>
      </c>
      <c r="G239" t="str">
        <f>INDEX(TeAllPoints!$D$2:$D$957,MATCH(Filter!B239,TeAllPoints!$B$2:$B$957,0))</f>
        <v>PA</v>
      </c>
      <c r="H239" t="str">
        <f>INDEX(TeAllPoints!$E$2:$E$957,MATCH(Filter!B239,TeAllPoints!$B$2:$B$957,0))</f>
        <v>CHESTER</v>
      </c>
      <c r="I239">
        <f>INDEX('TE_OA_20200805_INTRDY_2020-08-0'!$Q$2:$Q$870,MATCH(Filter!B239,'TE_OA_20200805_INTRDY_2020-08-0'!$G$2:$G$870))</f>
        <v>40415</v>
      </c>
      <c r="J239">
        <f>INDEX('TE_OA_20200805_INTRDY_2020-08-0'!$R$2:$R$870,MATCH(Filter!B239,'TE_OA_20200805_INTRDY_2020-08-0'!$G$2:$G$870))</f>
        <v>0</v>
      </c>
    </row>
    <row r="240" spans="1:10" x14ac:dyDescent="0.25">
      <c r="A240" t="str">
        <f>INDEX('Pipe Table'!$E$2:$E$10,MATCH(INDEX('TE_OA_20200805_INTRDY_2020-08-0'!$T$2:$T$870,MATCH(Filter!B240,'TE_OA_20200805_INTRDY_2020-08-0'!$G$2:$G$870,0)),'Pipe Table'!$D$2:$D$10,0))</f>
        <v>TETCO</v>
      </c>
      <c r="B240">
        <v>72026</v>
      </c>
      <c r="C240" t="str">
        <f>INDEX('TE_OA_20200805_INTRDY_2020-08-0'!$J$2:$J$870,MATCH(Filter!B240,'TE_OA_20200805_INTRDY_2020-08-0'!$G$2:$G$870))</f>
        <v>Delivery</v>
      </c>
      <c r="D240" t="str">
        <f>INDEX('Pipe Table'!$B$2:$B$14,MATCH(INDEX(TeAllPoints!$I$2:$I$957,MATCH(Filter!B240,TeAllPoints!$B$2:$B$957,0)),'Pipe Table'!$A$2:$A$14,0))</f>
        <v>LDC</v>
      </c>
      <c r="E240" t="str">
        <f>INDEX('TE_OA_20200805_INTRDY_2020-08-0'!$H$2:$H$870,MATCH(Filter!B240,'TE_OA_20200805_INTRDY_2020-08-0'!$G$2:$G$870))</f>
        <v>NGO (Miller) - Butler Co., OH</v>
      </c>
      <c r="F240" t="str">
        <f>INDEX('Pipe Table'!$H$2:$H$8,MATCH('TE_OA_20200805_INTRDY_2020-08-0'!I221,'Pipe Table'!$G$2:$G$8,0))</f>
        <v>TETCO-M2</v>
      </c>
      <c r="G240" t="str">
        <f>INDEX(TeAllPoints!$D$2:$D$957,MATCH(Filter!B240,TeAllPoints!$B$2:$B$957,0))</f>
        <v>OH</v>
      </c>
      <c r="H240" t="str">
        <f>INDEX(TeAllPoints!$E$2:$E$957,MATCH(Filter!B240,TeAllPoints!$B$2:$B$957,0))</f>
        <v>BUTLER</v>
      </c>
      <c r="I240">
        <f>INDEX('TE_OA_20200805_INTRDY_2020-08-0'!$Q$2:$Q$870,MATCH(Filter!B240,'TE_OA_20200805_INTRDY_2020-08-0'!$G$2:$G$870))</f>
        <v>6139</v>
      </c>
      <c r="J240">
        <f>INDEX('TE_OA_20200805_INTRDY_2020-08-0'!$R$2:$R$870,MATCH(Filter!B240,'TE_OA_20200805_INTRDY_2020-08-0'!$G$2:$G$870))</f>
        <v>0</v>
      </c>
    </row>
    <row r="241" spans="1:10" x14ac:dyDescent="0.25">
      <c r="A241" t="str">
        <f>INDEX('Pipe Table'!$E$2:$E$10,MATCH(INDEX('TE_OA_20200805_INTRDY_2020-08-0'!$T$2:$T$870,MATCH(Filter!B241,'TE_OA_20200805_INTRDY_2020-08-0'!$G$2:$G$870,0)),'Pipe Table'!$D$2:$D$10,0))</f>
        <v>TETCO</v>
      </c>
      <c r="B241">
        <v>72035</v>
      </c>
      <c r="C241" t="str">
        <f>INDEX('TE_OA_20200805_INTRDY_2020-08-0'!$J$2:$J$870,MATCH(Filter!B241,'TE_OA_20200805_INTRDY_2020-08-0'!$G$2:$G$870))</f>
        <v>Receipt</v>
      </c>
      <c r="D241" t="str">
        <f>INDEX('Pipe Table'!$B$2:$B$14,MATCH(INDEX(TeAllPoints!$I$2:$I$957,MATCH(Filter!B241,TeAllPoints!$B$2:$B$957,0)),'Pipe Table'!$A$2:$A$14,0))</f>
        <v>Wellhead</v>
      </c>
      <c r="E241" t="str">
        <f>INDEX('TE_OA_20200805_INTRDY_2020-08-0'!$H$2:$H$870,MATCH(Filter!B241,'TE_OA_20200805_INTRDY_2020-08-0'!$G$2:$G$870))</f>
        <v>#2 Oakland / Cass, TX  (Receipt)</v>
      </c>
      <c r="F241" t="str">
        <f>INDEX('Pipe Table'!$H$2:$H$8,MATCH('TE_OA_20200805_INTRDY_2020-08-0'!I222,'Pipe Table'!$G$2:$G$8,0))</f>
        <v>TETCO-ETX</v>
      </c>
      <c r="G241" t="str">
        <f>INDEX(TeAllPoints!$D$2:$D$957,MATCH(Filter!B241,TeAllPoints!$B$2:$B$957,0))</f>
        <v>TX</v>
      </c>
      <c r="H241" t="str">
        <f>INDEX(TeAllPoints!$E$2:$E$957,MATCH(Filter!B241,TeAllPoints!$B$2:$B$957,0))</f>
        <v>CASS</v>
      </c>
      <c r="I241">
        <f>INDEX('TE_OA_20200805_INTRDY_2020-08-0'!$Q$2:$Q$870,MATCH(Filter!B241,'TE_OA_20200805_INTRDY_2020-08-0'!$G$2:$G$870))</f>
        <v>4261</v>
      </c>
      <c r="J241">
        <f>INDEX('TE_OA_20200805_INTRDY_2020-08-0'!$R$2:$R$870,MATCH(Filter!B241,'TE_OA_20200805_INTRDY_2020-08-0'!$G$2:$G$870))</f>
        <v>0</v>
      </c>
    </row>
    <row r="242" spans="1:10" x14ac:dyDescent="0.25">
      <c r="A242" t="str">
        <f>INDEX('Pipe Table'!$E$2:$E$10,MATCH(INDEX('TE_OA_20200805_INTRDY_2020-08-0'!$T$2:$T$870,MATCH(Filter!B242,'TE_OA_20200805_INTRDY_2020-08-0'!$G$2:$G$870,0)),'Pipe Table'!$D$2:$D$10,0))</f>
        <v>TETCO</v>
      </c>
      <c r="B242">
        <v>72080</v>
      </c>
      <c r="C242" t="str">
        <f>INDEX('TE_OA_20200805_INTRDY_2020-08-0'!$J$2:$J$870,MATCH(Filter!B242,'TE_OA_20200805_INTRDY_2020-08-0'!$G$2:$G$870))</f>
        <v>Receipt</v>
      </c>
      <c r="D242" t="str">
        <f>INDEX('Pipe Table'!$B$2:$B$14,MATCH(INDEX(TeAllPoints!$I$2:$I$957,MATCH(Filter!B242,TeAllPoints!$B$2:$B$957,0)),'Pipe Table'!$A$2:$A$14,0))</f>
        <v>Wellhead</v>
      </c>
      <c r="E242" t="str">
        <f>INDEX('TE_OA_20200805_INTRDY_2020-08-0'!$H$2:$H$870,MATCH(Filter!B242,'TE_OA_20200805_INTRDY_2020-08-0'!$G$2:$G$870))</f>
        <v>Great Lakes Energy Partners.- #1 Tex. Gulf-Centre Co., PA</v>
      </c>
      <c r="F242" t="str">
        <f>INDEX('Pipe Table'!$H$2:$H$8,MATCH('TE_OA_20200805_INTRDY_2020-08-0'!I223,'Pipe Table'!$G$2:$G$8,0))</f>
        <v>TETCO-M3</v>
      </c>
      <c r="G242" t="str">
        <f>INDEX(TeAllPoints!$D$2:$D$957,MATCH(Filter!B242,TeAllPoints!$B$2:$B$957,0))</f>
        <v>PA</v>
      </c>
      <c r="H242" t="str">
        <f>INDEX(TeAllPoints!$E$2:$E$957,MATCH(Filter!B242,TeAllPoints!$B$2:$B$957,0))</f>
        <v>CENTRE</v>
      </c>
      <c r="I242">
        <f>INDEX('TE_OA_20200805_INTRDY_2020-08-0'!$Q$2:$Q$870,MATCH(Filter!B242,'TE_OA_20200805_INTRDY_2020-08-0'!$G$2:$G$870))</f>
        <v>17953</v>
      </c>
      <c r="J242">
        <f>INDEX('TE_OA_20200805_INTRDY_2020-08-0'!$R$2:$R$870,MATCH(Filter!B242,'TE_OA_20200805_INTRDY_2020-08-0'!$G$2:$G$870))</f>
        <v>200</v>
      </c>
    </row>
    <row r="243" spans="1:10" x14ac:dyDescent="0.25">
      <c r="A243" t="str">
        <f>INDEX('Pipe Table'!$E$2:$E$10,MATCH(INDEX('TE_OA_20200805_INTRDY_2020-08-0'!$T$2:$T$870,MATCH(Filter!B243,'TE_OA_20200805_INTRDY_2020-08-0'!$G$2:$G$870,0)),'Pipe Table'!$D$2:$D$10,0))</f>
        <v>TETCO</v>
      </c>
      <c r="B243">
        <v>72103</v>
      </c>
      <c r="C243" t="str">
        <f>INDEX('TE_OA_20200805_INTRDY_2020-08-0'!$J$2:$J$870,MATCH(Filter!B243,'TE_OA_20200805_INTRDY_2020-08-0'!$G$2:$G$870))</f>
        <v>Receipt</v>
      </c>
      <c r="D243" t="str">
        <f>INDEX('Pipe Table'!$B$2:$B$14,MATCH(INDEX(TeAllPoints!$I$2:$I$957,MATCH(Filter!B243,TeAllPoints!$B$2:$B$957,0)),'Pipe Table'!$A$2:$A$14,0))</f>
        <v>Wellhead</v>
      </c>
      <c r="E243" t="str">
        <f>INDEX('TE_OA_20200805_INTRDY_2020-08-0'!$H$2:$H$870,MATCH(Filter!B243,'TE_OA_20200805_INTRDY_2020-08-0'!$G$2:$G$870))</f>
        <v>Welder Exploration&amp;Production- #1 Young, Bee Co., TX</v>
      </c>
      <c r="F243" t="str">
        <f>INDEX('Pipe Table'!$H$2:$H$8,MATCH('TE_OA_20200805_INTRDY_2020-08-0'!I224,'Pipe Table'!$G$2:$G$8,0))</f>
        <v>TETCO-STX</v>
      </c>
      <c r="G243" t="str">
        <f>INDEX(TeAllPoints!$D$2:$D$957,MATCH(Filter!B243,TeAllPoints!$B$2:$B$957,0))</f>
        <v>TX</v>
      </c>
      <c r="H243" t="str">
        <f>INDEX(TeAllPoints!$E$2:$E$957,MATCH(Filter!B243,TeAllPoints!$B$2:$B$957,0))</f>
        <v>BEE</v>
      </c>
      <c r="I243">
        <f>INDEX('TE_OA_20200805_INTRDY_2020-08-0'!$Q$2:$Q$870,MATCH(Filter!B243,'TE_OA_20200805_INTRDY_2020-08-0'!$G$2:$G$870))</f>
        <v>3917</v>
      </c>
      <c r="J243">
        <f>INDEX('TE_OA_20200805_INTRDY_2020-08-0'!$R$2:$R$870,MATCH(Filter!B243,'TE_OA_20200805_INTRDY_2020-08-0'!$G$2:$G$870))</f>
        <v>0</v>
      </c>
    </row>
    <row r="244" spans="1:10" x14ac:dyDescent="0.25">
      <c r="A244" t="str">
        <f>INDEX('Pipe Table'!$E$2:$E$10,MATCH(INDEX('TE_OA_20200805_INTRDY_2020-08-0'!$T$2:$T$870,MATCH(Filter!B244,'TE_OA_20200805_INTRDY_2020-08-0'!$G$2:$G$870,0)),'Pipe Table'!$D$2:$D$10,0))</f>
        <v>TETCO</v>
      </c>
      <c r="B244">
        <v>72131</v>
      </c>
      <c r="C244" t="str">
        <f>INDEX('TE_OA_20200805_INTRDY_2020-08-0'!$J$2:$J$870,MATCH(Filter!B244,'TE_OA_20200805_INTRDY_2020-08-0'!$G$2:$G$870))</f>
        <v>Receipt</v>
      </c>
      <c r="D244" t="str">
        <f>INDEX('Pipe Table'!$B$2:$B$14,MATCH(INDEX(TeAllPoints!$I$2:$I$957,MATCH(Filter!B244,TeAllPoints!$B$2:$B$957,0)),'Pipe Table'!$A$2:$A$14,0))</f>
        <v>Wellhead</v>
      </c>
      <c r="E244" t="str">
        <f>INDEX('TE_OA_20200805_INTRDY_2020-08-0'!$H$2:$H$870,MATCH(Filter!B244,'TE_OA_20200805_INTRDY_2020-08-0'!$G$2:$G$870))</f>
        <v>Marshall Exploration - #1 Resch / Harrison Co., TX  (REC)</v>
      </c>
      <c r="F244" t="str">
        <f>INDEX('Pipe Table'!$H$2:$H$8,MATCH('TE_OA_20200805_INTRDY_2020-08-0'!I225,'Pipe Table'!$G$2:$G$8,0))</f>
        <v>TETCO-ETX</v>
      </c>
      <c r="G244" t="str">
        <f>INDEX(TeAllPoints!$D$2:$D$957,MATCH(Filter!B244,TeAllPoints!$B$2:$B$957,0))</f>
        <v>TX</v>
      </c>
      <c r="H244" t="str">
        <f>INDEX(TeAllPoints!$E$2:$E$957,MATCH(Filter!B244,TeAllPoints!$B$2:$B$957,0))</f>
        <v>HARRISON</v>
      </c>
      <c r="I244">
        <f>INDEX('TE_OA_20200805_INTRDY_2020-08-0'!$Q$2:$Q$870,MATCH(Filter!B244,'TE_OA_20200805_INTRDY_2020-08-0'!$G$2:$G$870))</f>
        <v>4275</v>
      </c>
      <c r="J244">
        <f>INDEX('TE_OA_20200805_INTRDY_2020-08-0'!$R$2:$R$870,MATCH(Filter!B244,'TE_OA_20200805_INTRDY_2020-08-0'!$G$2:$G$870))</f>
        <v>1</v>
      </c>
    </row>
    <row r="245" spans="1:10" x14ac:dyDescent="0.25">
      <c r="A245" t="str">
        <f>INDEX('Pipe Table'!$E$2:$E$10,MATCH(INDEX('TE_OA_20200805_INTRDY_2020-08-0'!$T$2:$T$870,MATCH(Filter!B245,'TE_OA_20200805_INTRDY_2020-08-0'!$G$2:$G$870,0)),'Pipe Table'!$D$2:$D$10,0))</f>
        <v>TETCO</v>
      </c>
      <c r="B245">
        <v>72135</v>
      </c>
      <c r="C245" t="str">
        <f>INDEX('TE_OA_20200805_INTRDY_2020-08-0'!$J$2:$J$870,MATCH(Filter!B245,'TE_OA_20200805_INTRDY_2020-08-0'!$G$2:$G$870))</f>
        <v>Receipt</v>
      </c>
      <c r="D245" t="str">
        <f>INDEX('Pipe Table'!$B$2:$B$14,MATCH(INDEX(TeAllPoints!$I$2:$I$957,MATCH(Filter!B245,TeAllPoints!$B$2:$B$957,0)),'Pipe Table'!$A$2:$A$14,0))</f>
        <v>Wellhead</v>
      </c>
      <c r="E245" t="str">
        <f>INDEX('TE_OA_20200805_INTRDY_2020-08-0'!$H$2:$H$870,MATCH(Filter!B245,'TE_OA_20200805_INTRDY_2020-08-0'!$G$2:$G$870))</f>
        <v>Renaissance Offshore</v>
      </c>
      <c r="F245" t="str">
        <f>INDEX('Pipe Table'!$H$2:$H$8,MATCH('TE_OA_20200805_INTRDY_2020-08-0'!I226,'Pipe Table'!$G$2:$G$8,0))</f>
        <v>TETCO-WLA</v>
      </c>
      <c r="G245" t="str">
        <f>INDEX(TeAllPoints!$D$2:$D$957,MATCH(Filter!B245,TeAllPoints!$B$2:$B$957,0))</f>
        <v>OF</v>
      </c>
      <c r="H245" t="str">
        <f>INDEX(TeAllPoints!$E$2:$E$957,MATCH(Filter!B245,TeAllPoints!$B$2:$B$957,0))</f>
        <v>VERMILLION</v>
      </c>
      <c r="I245">
        <f>INDEX('TE_OA_20200805_INTRDY_2020-08-0'!$Q$2:$Q$870,MATCH(Filter!B245,'TE_OA_20200805_INTRDY_2020-08-0'!$G$2:$G$870))</f>
        <v>76202</v>
      </c>
      <c r="J245">
        <f>INDEX('TE_OA_20200805_INTRDY_2020-08-0'!$R$2:$R$870,MATCH(Filter!B245,'TE_OA_20200805_INTRDY_2020-08-0'!$G$2:$G$870))</f>
        <v>0</v>
      </c>
    </row>
    <row r="246" spans="1:10" x14ac:dyDescent="0.25">
      <c r="A246" t="str">
        <f>INDEX('Pipe Table'!$E$2:$E$10,MATCH(INDEX('TE_OA_20200805_INTRDY_2020-08-0'!$T$2:$T$870,MATCH(Filter!B246,'TE_OA_20200805_INTRDY_2020-08-0'!$G$2:$G$870,0)),'Pipe Table'!$D$2:$D$10,0))</f>
        <v>TETCO</v>
      </c>
      <c r="B246">
        <v>72137</v>
      </c>
      <c r="C246" t="str">
        <f>INDEX('TE_OA_20200805_INTRDY_2020-08-0'!$J$2:$J$870,MATCH(Filter!B246,'TE_OA_20200805_INTRDY_2020-08-0'!$G$2:$G$870))</f>
        <v>Receipt</v>
      </c>
      <c r="D246" t="str">
        <f>INDEX('Pipe Table'!$B$2:$B$14,MATCH(INDEX(TeAllPoints!$I$2:$I$957,MATCH(Filter!B246,TeAllPoints!$B$2:$B$957,0)),'Pipe Table'!$A$2:$A$14,0))</f>
        <v>Wellhead</v>
      </c>
      <c r="E246" t="str">
        <f>INDEX('TE_OA_20200805_INTRDY_2020-08-0'!$H$2:$H$870,MATCH(Filter!B246,'TE_OA_20200805_INTRDY_2020-08-0'!$G$2:$G$870))</f>
        <v>Fieldwood Energy - WD 86</v>
      </c>
      <c r="F246" t="str">
        <f>INDEX('Pipe Table'!$H$2:$H$8,MATCH('TE_OA_20200805_INTRDY_2020-08-0'!I227,'Pipe Table'!$G$2:$G$8,0))</f>
        <v>TETCO-ELA</v>
      </c>
      <c r="G246" t="str">
        <f>INDEX(TeAllPoints!$D$2:$D$957,MATCH(Filter!B246,TeAllPoints!$B$2:$B$957,0))</f>
        <v>OF</v>
      </c>
      <c r="H246" t="str">
        <f>INDEX(TeAllPoints!$E$2:$E$957,MATCH(Filter!B246,TeAllPoints!$B$2:$B$957,0))</f>
        <v>WEST DELTA</v>
      </c>
      <c r="I246">
        <f>INDEX('TE_OA_20200805_INTRDY_2020-08-0'!$Q$2:$Q$870,MATCH(Filter!B246,'TE_OA_20200805_INTRDY_2020-08-0'!$G$2:$G$870))</f>
        <v>223584</v>
      </c>
      <c r="J246">
        <f>INDEX('TE_OA_20200805_INTRDY_2020-08-0'!$R$2:$R$870,MATCH(Filter!B246,'TE_OA_20200805_INTRDY_2020-08-0'!$G$2:$G$870))</f>
        <v>0</v>
      </c>
    </row>
    <row r="247" spans="1:10" x14ac:dyDescent="0.25">
      <c r="A247" t="str">
        <f>INDEX('Pipe Table'!$E$2:$E$10,MATCH(INDEX('TE_OA_20200805_INTRDY_2020-08-0'!$T$2:$T$870,MATCH(Filter!B247,'TE_OA_20200805_INTRDY_2020-08-0'!$G$2:$G$870,0)),'Pipe Table'!$D$2:$D$10,0))</f>
        <v>TETCO</v>
      </c>
      <c r="B247">
        <v>72138</v>
      </c>
      <c r="C247" t="str">
        <f>INDEX('TE_OA_20200805_INTRDY_2020-08-0'!$J$2:$J$870,MATCH(Filter!B247,'TE_OA_20200805_INTRDY_2020-08-0'!$G$2:$G$870))</f>
        <v>Receipt</v>
      </c>
      <c r="D247" t="str">
        <f>INDEX('Pipe Table'!$B$2:$B$14,MATCH(INDEX(TeAllPoints!$I$2:$I$957,MATCH(Filter!B247,TeAllPoints!$B$2:$B$957,0)),'Pipe Table'!$A$2:$A$14,0))</f>
        <v>Wellhead</v>
      </c>
      <c r="E247" t="str">
        <f>INDEX('TE_OA_20200805_INTRDY_2020-08-0'!$H$2:$H$870,MATCH(Filter!B247,'TE_OA_20200805_INTRDY_2020-08-0'!$G$2:$G$870))</f>
        <v>Fieldwood Energy  SP 89-B</v>
      </c>
      <c r="F247" t="str">
        <f>INDEX('Pipe Table'!$H$2:$H$8,MATCH('TE_OA_20200805_INTRDY_2020-08-0'!I228,'Pipe Table'!$G$2:$G$8,0))</f>
        <v>TETCO-ELA</v>
      </c>
      <c r="G247" t="str">
        <f>INDEX(TeAllPoints!$D$2:$D$957,MATCH(Filter!B247,TeAllPoints!$B$2:$B$957,0))</f>
        <v>LA</v>
      </c>
      <c r="H247" t="str">
        <f>INDEX(TeAllPoints!$E$2:$E$957,MATCH(Filter!B247,TeAllPoints!$B$2:$B$957,0))</f>
        <v>OFFSHORE</v>
      </c>
      <c r="I247">
        <f>INDEX('TE_OA_20200805_INTRDY_2020-08-0'!$Q$2:$Q$870,MATCH(Filter!B247,'TE_OA_20200805_INTRDY_2020-08-0'!$G$2:$G$870))</f>
        <v>223806</v>
      </c>
      <c r="J247">
        <f>INDEX('TE_OA_20200805_INTRDY_2020-08-0'!$R$2:$R$870,MATCH(Filter!B247,'TE_OA_20200805_INTRDY_2020-08-0'!$G$2:$G$870))</f>
        <v>0</v>
      </c>
    </row>
    <row r="248" spans="1:10" x14ac:dyDescent="0.25">
      <c r="A248" t="str">
        <f>INDEX('Pipe Table'!$E$2:$E$10,MATCH(INDEX('TE_OA_20200805_INTRDY_2020-08-0'!$T$2:$T$870,MATCH(Filter!B248,'TE_OA_20200805_INTRDY_2020-08-0'!$G$2:$G$870,0)),'Pipe Table'!$D$2:$D$10,0))</f>
        <v>TETCO</v>
      </c>
      <c r="B248">
        <v>72158</v>
      </c>
      <c r="C248" t="str">
        <f>INDEX('TE_OA_20200805_INTRDY_2020-08-0'!$J$2:$J$870,MATCH(Filter!B248,'TE_OA_20200805_INTRDY_2020-08-0'!$G$2:$G$870))</f>
        <v>Receipt</v>
      </c>
      <c r="D248" t="str">
        <f>INDEX('Pipe Table'!$B$2:$B$14,MATCH(INDEX(TeAllPoints!$I$2:$I$957,MATCH(Filter!B248,TeAllPoints!$B$2:$B$957,0)),'Pipe Table'!$A$2:$A$14,0))</f>
        <v>Wellhead</v>
      </c>
      <c r="E248" t="str">
        <f>INDEX('TE_OA_20200805_INTRDY_2020-08-0'!$H$2:$H$870,MATCH(Filter!B248,'TE_OA_20200805_INTRDY_2020-08-0'!$G$2:$G$870))</f>
        <v>Avery Gas - Chicksaw Co., MS</v>
      </c>
      <c r="F248" t="str">
        <f>INDEX('Pipe Table'!$H$2:$H$8,MATCH('TE_OA_20200805_INTRDY_2020-08-0'!I229,'Pipe Table'!$G$2:$G$8,0))</f>
        <v>TETCO-M1</v>
      </c>
      <c r="G248" t="str">
        <f>INDEX(TeAllPoints!$D$2:$D$957,MATCH(Filter!B248,TeAllPoints!$B$2:$B$957,0))</f>
        <v>MS</v>
      </c>
      <c r="H248" t="str">
        <f>INDEX(TeAllPoints!$E$2:$E$957,MATCH(Filter!B248,TeAllPoints!$B$2:$B$957,0))</f>
        <v>CHICKASAW</v>
      </c>
      <c r="I248">
        <f>INDEX('TE_OA_20200805_INTRDY_2020-08-0'!$Q$2:$Q$870,MATCH(Filter!B248,'TE_OA_20200805_INTRDY_2020-08-0'!$G$2:$G$870))</f>
        <v>10782</v>
      </c>
      <c r="J248">
        <f>INDEX('TE_OA_20200805_INTRDY_2020-08-0'!$R$2:$R$870,MATCH(Filter!B248,'TE_OA_20200805_INTRDY_2020-08-0'!$G$2:$G$870))</f>
        <v>1</v>
      </c>
    </row>
    <row r="249" spans="1:10" x14ac:dyDescent="0.25">
      <c r="A249" t="str">
        <f>INDEX('Pipe Table'!$E$2:$E$10,MATCH(INDEX('TE_OA_20200805_INTRDY_2020-08-0'!$T$2:$T$870,MATCH(Filter!B249,'TE_OA_20200805_INTRDY_2020-08-0'!$G$2:$G$870,0)),'Pipe Table'!$D$2:$D$10,0))</f>
        <v>TETCO</v>
      </c>
      <c r="B249">
        <v>72172</v>
      </c>
      <c r="C249" t="str">
        <f>INDEX('TE_OA_20200805_INTRDY_2020-08-0'!$J$2:$J$870,MATCH(Filter!B249,'TE_OA_20200805_INTRDY_2020-08-0'!$G$2:$G$870))</f>
        <v>Receipt</v>
      </c>
      <c r="D249" t="str">
        <f>INDEX('Pipe Table'!$B$2:$B$14,MATCH(INDEX(TeAllPoints!$I$2:$I$957,MATCH(Filter!B249,TeAllPoints!$B$2:$B$957,0)),'Pipe Table'!$A$2:$A$14,0))</f>
        <v>Wellhead</v>
      </c>
      <c r="E249" t="str">
        <f>INDEX('TE_OA_20200805_INTRDY_2020-08-0'!$H$2:$H$870,MATCH(Filter!B249,'TE_OA_20200805_INTRDY_2020-08-0'!$G$2:$G$870))</f>
        <v>Mar. Oil -Murphree -Monroe, MS</v>
      </c>
      <c r="F249" t="str">
        <f>INDEX('Pipe Table'!$H$2:$H$8,MATCH('TE_OA_20200805_INTRDY_2020-08-0'!I230,'Pipe Table'!$G$2:$G$8,0))</f>
        <v>TETCO-M1</v>
      </c>
      <c r="G249" t="str">
        <f>INDEX(TeAllPoints!$D$2:$D$957,MATCH(Filter!B249,TeAllPoints!$B$2:$B$957,0))</f>
        <v>MS</v>
      </c>
      <c r="H249" t="str">
        <f>INDEX(TeAllPoints!$E$2:$E$957,MATCH(Filter!B249,TeAllPoints!$B$2:$B$957,0))</f>
        <v>MONROE</v>
      </c>
      <c r="I249">
        <f>INDEX('TE_OA_20200805_INTRDY_2020-08-0'!$Q$2:$Q$870,MATCH(Filter!B249,'TE_OA_20200805_INTRDY_2020-08-0'!$G$2:$G$870))</f>
        <v>4903</v>
      </c>
      <c r="J249">
        <f>INDEX('TE_OA_20200805_INTRDY_2020-08-0'!$R$2:$R$870,MATCH(Filter!B249,'TE_OA_20200805_INTRDY_2020-08-0'!$G$2:$G$870))</f>
        <v>0</v>
      </c>
    </row>
    <row r="250" spans="1:10" x14ac:dyDescent="0.25">
      <c r="A250" t="str">
        <f>INDEX('Pipe Table'!$E$2:$E$10,MATCH(INDEX('TE_OA_20200805_INTRDY_2020-08-0'!$T$2:$T$870,MATCH(Filter!B250,'TE_OA_20200805_INTRDY_2020-08-0'!$G$2:$G$870,0)),'Pipe Table'!$D$2:$D$10,0))</f>
        <v>TETCO</v>
      </c>
      <c r="B250">
        <v>72185</v>
      </c>
      <c r="C250" t="str">
        <f>INDEX('TE_OA_20200805_INTRDY_2020-08-0'!$J$2:$J$870,MATCH(Filter!B250,'TE_OA_20200805_INTRDY_2020-08-0'!$G$2:$G$870))</f>
        <v>Receipt</v>
      </c>
      <c r="D250" t="str">
        <f>INDEX('Pipe Table'!$B$2:$B$14,MATCH(INDEX(TeAllPoints!$I$2:$I$957,MATCH(Filter!B250,TeAllPoints!$B$2:$B$957,0)),'Pipe Table'!$A$2:$A$14,0))</f>
        <v>Wellhead</v>
      </c>
      <c r="E250" t="str">
        <f>INDEX('TE_OA_20200805_INTRDY_2020-08-0'!$H$2:$H$870,MATCH(Filter!B250,'TE_OA_20200805_INTRDY_2020-08-0'!$G$2:$G$870))</f>
        <v>Dewbre Petroleum/Allen East A</v>
      </c>
      <c r="F250" t="str">
        <f>INDEX('Pipe Table'!$H$2:$H$8,MATCH('TE_OA_20200805_INTRDY_2020-08-0'!I231,'Pipe Table'!$G$2:$G$8,0))</f>
        <v>TETCO-STX</v>
      </c>
      <c r="G250" t="str">
        <f>INDEX(TeAllPoints!$D$2:$D$957,MATCH(Filter!B250,TeAllPoints!$B$2:$B$957,0))</f>
        <v>TX</v>
      </c>
      <c r="H250" t="str">
        <f>INDEX(TeAllPoints!$E$2:$E$957,MATCH(Filter!B250,TeAllPoints!$B$2:$B$957,0))</f>
        <v>KLEBERG</v>
      </c>
      <c r="I250">
        <f>INDEX('TE_OA_20200805_INTRDY_2020-08-0'!$Q$2:$Q$870,MATCH(Filter!B250,'TE_OA_20200805_INTRDY_2020-08-0'!$G$2:$G$870))</f>
        <v>4038</v>
      </c>
      <c r="J250">
        <f>INDEX('TE_OA_20200805_INTRDY_2020-08-0'!$R$2:$R$870,MATCH(Filter!B250,'TE_OA_20200805_INTRDY_2020-08-0'!$G$2:$G$870))</f>
        <v>0</v>
      </c>
    </row>
    <row r="251" spans="1:10" x14ac:dyDescent="0.25">
      <c r="A251" t="str">
        <f>INDEX('Pipe Table'!$E$2:$E$10,MATCH(INDEX('TE_OA_20200805_INTRDY_2020-08-0'!$T$2:$T$870,MATCH(Filter!B251,'TE_OA_20200805_INTRDY_2020-08-0'!$G$2:$G$870,0)),'Pipe Table'!$D$2:$D$10,0))</f>
        <v>TETCO</v>
      </c>
      <c r="B251">
        <v>72187</v>
      </c>
      <c r="C251" t="str">
        <f>INDEX('TE_OA_20200805_INTRDY_2020-08-0'!$J$2:$J$870,MATCH(Filter!B251,'TE_OA_20200805_INTRDY_2020-08-0'!$G$2:$G$870))</f>
        <v>Delivery</v>
      </c>
      <c r="D251" t="str">
        <f>INDEX('Pipe Table'!$B$2:$B$14,MATCH(INDEX(TeAllPoints!$I$2:$I$957,MATCH(Filter!B251,TeAllPoints!$B$2:$B$957,0)),'Pipe Table'!$A$2:$A$14,0))</f>
        <v>Intrcnnct</v>
      </c>
      <c r="E251" t="str">
        <f>INDEX('TE_OA_20200805_INTRDY_2020-08-0'!$H$2:$H$870,MATCH(Filter!B251,'TE_OA_20200805_INTRDY_2020-08-0'!$G$2:$G$870))</f>
        <v>GULF SOUTH PIPELINE COMPANY, LP - Raceland, LA</v>
      </c>
      <c r="F251" t="str">
        <f>INDEX('Pipe Table'!$H$2:$H$8,MATCH('TE_OA_20200805_INTRDY_2020-08-0'!I232,'Pipe Table'!$G$2:$G$8,0))</f>
        <v>TETCO-ELA</v>
      </c>
      <c r="G251" t="str">
        <f>INDEX(TeAllPoints!$D$2:$D$957,MATCH(Filter!B251,TeAllPoints!$B$2:$B$957,0))</f>
        <v>LA</v>
      </c>
      <c r="H251" t="str">
        <f>INDEX(TeAllPoints!$E$2:$E$957,MATCH(Filter!B251,TeAllPoints!$B$2:$B$957,0))</f>
        <v>LAFOURCHE</v>
      </c>
      <c r="I251">
        <f>INDEX('TE_OA_20200805_INTRDY_2020-08-0'!$Q$2:$Q$870,MATCH(Filter!B251,'TE_OA_20200805_INTRDY_2020-08-0'!$G$2:$G$870))</f>
        <v>287695</v>
      </c>
      <c r="J251">
        <f>INDEX('TE_OA_20200805_INTRDY_2020-08-0'!$R$2:$R$870,MATCH(Filter!B251,'TE_OA_20200805_INTRDY_2020-08-0'!$G$2:$G$870))</f>
        <v>120069</v>
      </c>
    </row>
    <row r="252" spans="1:10" x14ac:dyDescent="0.25">
      <c r="A252" t="str">
        <f>INDEX('Pipe Table'!$E$2:$E$10,MATCH(INDEX('TE_OA_20200805_INTRDY_2020-08-0'!$T$2:$T$870,MATCH(Filter!B252,'TE_OA_20200805_INTRDY_2020-08-0'!$G$2:$G$870,0)),'Pipe Table'!$D$2:$D$10,0))</f>
        <v>TETCO</v>
      </c>
      <c r="B252">
        <v>72190</v>
      </c>
      <c r="C252" t="str">
        <f>INDEX('TE_OA_20200805_INTRDY_2020-08-0'!$J$2:$J$870,MATCH(Filter!B252,'TE_OA_20200805_INTRDY_2020-08-0'!$G$2:$G$870))</f>
        <v>Delivery</v>
      </c>
      <c r="D252" t="str">
        <f>INDEX('Pipe Table'!$B$2:$B$14,MATCH(INDEX(TeAllPoints!$I$2:$I$957,MATCH(Filter!B252,TeAllPoints!$B$2:$B$957,0)),'Pipe Table'!$A$2:$A$14,0))</f>
        <v>LDC</v>
      </c>
      <c r="E252" t="str">
        <f>INDEX('TE_OA_20200805_INTRDY_2020-08-0'!$H$2:$H$870,MATCH(Filter!B252,'TE_OA_20200805_INTRDY_2020-08-0'!$G$2:$G$870))</f>
        <v>Kennett - Dunklin Co., MO</v>
      </c>
      <c r="F252" t="str">
        <f>INDEX('Pipe Table'!$H$2:$H$8,MATCH('TE_OA_20200805_INTRDY_2020-08-0'!I233,'Pipe Table'!$G$2:$G$8,0))</f>
        <v>TETCO-M1</v>
      </c>
      <c r="G252" t="str">
        <f>INDEX(TeAllPoints!$D$2:$D$957,MATCH(Filter!B252,TeAllPoints!$B$2:$B$957,0))</f>
        <v>MO</v>
      </c>
      <c r="H252" t="str">
        <f>INDEX(TeAllPoints!$E$2:$E$957,MATCH(Filter!B252,TeAllPoints!$B$2:$B$957,0))</f>
        <v>DUNKLIN</v>
      </c>
      <c r="I252">
        <f>INDEX('TE_OA_20200805_INTRDY_2020-08-0'!$Q$2:$Q$870,MATCH(Filter!B252,'TE_OA_20200805_INTRDY_2020-08-0'!$G$2:$G$870))</f>
        <v>11311</v>
      </c>
      <c r="J252">
        <f>INDEX('TE_OA_20200805_INTRDY_2020-08-0'!$R$2:$R$870,MATCH(Filter!B252,'TE_OA_20200805_INTRDY_2020-08-0'!$G$2:$G$870))</f>
        <v>0</v>
      </c>
    </row>
    <row r="253" spans="1:10" x14ac:dyDescent="0.25">
      <c r="A253" t="str">
        <f>INDEX('Pipe Table'!$E$2:$E$10,MATCH(INDEX('TE_OA_20200805_INTRDY_2020-08-0'!$T$2:$T$870,MATCH(Filter!B253,'TE_OA_20200805_INTRDY_2020-08-0'!$G$2:$G$870,0)),'Pipe Table'!$D$2:$D$10,0))</f>
        <v>TETCO</v>
      </c>
      <c r="B253">
        <v>72206</v>
      </c>
      <c r="C253" t="str">
        <f>INDEX('TE_OA_20200805_INTRDY_2020-08-0'!$J$2:$J$870,MATCH(Filter!B253,'TE_OA_20200805_INTRDY_2020-08-0'!$G$2:$G$870))</f>
        <v>Delivery</v>
      </c>
      <c r="D253" t="str">
        <f>INDEX('Pipe Table'!$B$2:$B$14,MATCH(INDEX(TeAllPoints!$I$2:$I$957,MATCH(Filter!B253,TeAllPoints!$B$2:$B$957,0)),'Pipe Table'!$A$2:$A$14,0))</f>
        <v>Intrcnnct</v>
      </c>
      <c r="E253" t="str">
        <f>INDEX('TE_OA_20200805_INTRDY_2020-08-0'!$H$2:$H$870,MATCH(Filter!B253,'TE_OA_20200805_INTRDY_2020-08-0'!$G$2:$G$870))</f>
        <v>Cypress Gas Pipeline Co.- W. Baton Rouge Psh., LA</v>
      </c>
      <c r="F253" t="str">
        <f>INDEX('Pipe Table'!$H$2:$H$8,MATCH('TE_OA_20200805_INTRDY_2020-08-0'!I234,'Pipe Table'!$G$2:$G$8,0))</f>
        <v>TETCO-ELA</v>
      </c>
      <c r="G253" t="str">
        <f>INDEX(TeAllPoints!$D$2:$D$957,MATCH(Filter!B253,TeAllPoints!$B$2:$B$957,0))</f>
        <v>LA</v>
      </c>
      <c r="H253" t="str">
        <f>INDEX(TeAllPoints!$E$2:$E$957,MATCH(Filter!B253,TeAllPoints!$B$2:$B$957,0))</f>
        <v>WEST BATON ROUGE</v>
      </c>
      <c r="I253">
        <f>INDEX('TE_OA_20200805_INTRDY_2020-08-0'!$Q$2:$Q$870,MATCH(Filter!B253,'TE_OA_20200805_INTRDY_2020-08-0'!$G$2:$G$870))</f>
        <v>33021</v>
      </c>
      <c r="J253">
        <f>INDEX('TE_OA_20200805_INTRDY_2020-08-0'!$R$2:$R$870,MATCH(Filter!B253,'TE_OA_20200805_INTRDY_2020-08-0'!$G$2:$G$870))</f>
        <v>32405</v>
      </c>
    </row>
    <row r="254" spans="1:10" x14ac:dyDescent="0.25">
      <c r="A254" t="str">
        <f>INDEX('Pipe Table'!$E$2:$E$10,MATCH(INDEX('TE_OA_20200805_INTRDY_2020-08-0'!$T$2:$T$870,MATCH(Filter!B254,'TE_OA_20200805_INTRDY_2020-08-0'!$G$2:$G$870,0)),'Pipe Table'!$D$2:$D$10,0))</f>
        <v>TETCO</v>
      </c>
      <c r="B254">
        <v>72210</v>
      </c>
      <c r="C254" t="str">
        <f>INDEX('TE_OA_20200805_INTRDY_2020-08-0'!$J$2:$J$870,MATCH(Filter!B254,'TE_OA_20200805_INTRDY_2020-08-0'!$G$2:$G$870))</f>
        <v>Delivery</v>
      </c>
      <c r="D254" t="str">
        <f>INDEX('Pipe Table'!$B$2:$B$14,MATCH(INDEX(TeAllPoints!$I$2:$I$957,MATCH(Filter!B254,TeAllPoints!$B$2:$B$957,0)),'Pipe Table'!$A$2:$A$14,0))</f>
        <v>LDC</v>
      </c>
      <c r="E254" t="str">
        <f>INDEX('TE_OA_20200805_INTRDY_2020-08-0'!$H$2:$H$870,MATCH(Filter!B254,'TE_OA_20200805_INTRDY_2020-08-0'!$G$2:$G$870))</f>
        <v>New Jersey Natural - Jamesburg, NJ</v>
      </c>
      <c r="F254" t="str">
        <f>INDEX('Pipe Table'!$H$2:$H$8,MATCH('TE_OA_20200805_INTRDY_2020-08-0'!I235,'Pipe Table'!$G$2:$G$8,0))</f>
        <v>TETCO-M3</v>
      </c>
      <c r="G254" t="str">
        <f>INDEX(TeAllPoints!$D$2:$D$957,MATCH(Filter!B254,TeAllPoints!$B$2:$B$957,0))</f>
        <v>NJ</v>
      </c>
      <c r="H254" t="str">
        <f>INDEX(TeAllPoints!$E$2:$E$957,MATCH(Filter!B254,TeAllPoints!$B$2:$B$957,0))</f>
        <v>MIDDLESEX</v>
      </c>
      <c r="I254">
        <f>INDEX('TE_OA_20200805_INTRDY_2020-08-0'!$Q$2:$Q$870,MATCH(Filter!B254,'TE_OA_20200805_INTRDY_2020-08-0'!$G$2:$G$870))</f>
        <v>339584</v>
      </c>
      <c r="J254">
        <f>INDEX('TE_OA_20200805_INTRDY_2020-08-0'!$R$2:$R$870,MATCH(Filter!B254,'TE_OA_20200805_INTRDY_2020-08-0'!$G$2:$G$870))</f>
        <v>0</v>
      </c>
    </row>
    <row r="255" spans="1:10" x14ac:dyDescent="0.25">
      <c r="A255" t="str">
        <f>INDEX('Pipe Table'!$E$2:$E$10,MATCH(INDEX('TE_OA_20200805_INTRDY_2020-08-0'!$T$2:$T$870,MATCH(Filter!B255,'TE_OA_20200805_INTRDY_2020-08-0'!$G$2:$G$870,0)),'Pipe Table'!$D$2:$D$10,0))</f>
        <v>TETCO</v>
      </c>
      <c r="B255">
        <v>72222</v>
      </c>
      <c r="C255" t="str">
        <f>INDEX('TE_OA_20200805_INTRDY_2020-08-0'!$J$2:$J$870,MATCH(Filter!B255,'TE_OA_20200805_INTRDY_2020-08-0'!$G$2:$G$870))</f>
        <v>Receipt</v>
      </c>
      <c r="D255" t="str">
        <f>INDEX('Pipe Table'!$B$2:$B$14,MATCH(INDEX(TeAllPoints!$I$2:$I$957,MATCH(Filter!B255,TeAllPoints!$B$2:$B$957,0)),'Pipe Table'!$A$2:$A$14,0))</f>
        <v>Wellhead</v>
      </c>
      <c r="E255" t="str">
        <f>INDEX('TE_OA_20200805_INTRDY_2020-08-0'!$H$2:$H$870,MATCH(Filter!B255,'TE_OA_20200805_INTRDY_2020-08-0'!$G$2:$G$870))</f>
        <v>Dewbre Petroleum-Valderas #1 /  Hidalgo County, TX  (REC)</v>
      </c>
      <c r="F255" t="str">
        <f>INDEX('Pipe Table'!$H$2:$H$8,MATCH('TE_OA_20200805_INTRDY_2020-08-0'!I236,'Pipe Table'!$G$2:$G$8,0))</f>
        <v>TETCO-STX</v>
      </c>
      <c r="G255" t="str">
        <f>INDEX(TeAllPoints!$D$2:$D$957,MATCH(Filter!B255,TeAllPoints!$B$2:$B$957,0))</f>
        <v>TX</v>
      </c>
      <c r="H255" t="str">
        <f>INDEX(TeAllPoints!$E$2:$E$957,MATCH(Filter!B255,TeAllPoints!$B$2:$B$957,0))</f>
        <v>HIDALGO</v>
      </c>
      <c r="I255">
        <f>INDEX('TE_OA_20200805_INTRDY_2020-08-0'!$Q$2:$Q$870,MATCH(Filter!B255,'TE_OA_20200805_INTRDY_2020-08-0'!$G$2:$G$870))</f>
        <v>10079</v>
      </c>
      <c r="J255">
        <f>INDEX('TE_OA_20200805_INTRDY_2020-08-0'!$R$2:$R$870,MATCH(Filter!B255,'TE_OA_20200805_INTRDY_2020-08-0'!$G$2:$G$870))</f>
        <v>0</v>
      </c>
    </row>
    <row r="256" spans="1:10" x14ac:dyDescent="0.25">
      <c r="A256" t="str">
        <f>INDEX('Pipe Table'!$E$2:$E$10,MATCH(INDEX('TE_OA_20200805_INTRDY_2020-08-0'!$T$2:$T$870,MATCH(Filter!B256,'TE_OA_20200805_INTRDY_2020-08-0'!$G$2:$G$870,0)),'Pipe Table'!$D$2:$D$10,0))</f>
        <v>TETCO</v>
      </c>
      <c r="B256">
        <v>72248</v>
      </c>
      <c r="C256" t="str">
        <f>INDEX('TE_OA_20200805_INTRDY_2020-08-0'!$J$2:$J$870,MATCH(Filter!B256,'TE_OA_20200805_INTRDY_2020-08-0'!$G$2:$G$870))</f>
        <v>Receipt</v>
      </c>
      <c r="D256" t="str">
        <f>INDEX('Pipe Table'!$B$2:$B$14,MATCH(INDEX(TeAllPoints!$I$2:$I$957,MATCH(Filter!B256,TeAllPoints!$B$2:$B$957,0)),'Pipe Table'!$A$2:$A$14,0))</f>
        <v>Intrcnnct</v>
      </c>
      <c r="E256" t="str">
        <f>INDEX('TE_OA_20200805_INTRDY_2020-08-0'!$H$2:$H$870,MATCH(Filter!B256,'TE_OA_20200805_INTRDY_2020-08-0'!$G$2:$G$870))</f>
        <v>Enterprise Texas Pipeline LLC - Lavaca County, TX  (REC)</v>
      </c>
      <c r="F256" t="str">
        <f>INDEX('Pipe Table'!$H$2:$H$8,MATCH('TE_OA_20200805_INTRDY_2020-08-0'!I237,'Pipe Table'!$G$2:$G$8,0))</f>
        <v>TETCO-STX</v>
      </c>
      <c r="G256" t="str">
        <f>INDEX(TeAllPoints!$D$2:$D$957,MATCH(Filter!B256,TeAllPoints!$B$2:$B$957,0))</f>
        <v>TX</v>
      </c>
      <c r="H256" t="str">
        <f>INDEX(TeAllPoints!$E$2:$E$957,MATCH(Filter!B256,TeAllPoints!$B$2:$B$957,0))</f>
        <v>LAVACA</v>
      </c>
      <c r="I256">
        <f>INDEX('TE_OA_20200805_INTRDY_2020-08-0'!$Q$2:$Q$870,MATCH(Filter!B256,'TE_OA_20200805_INTRDY_2020-08-0'!$G$2:$G$870))</f>
        <v>265102</v>
      </c>
      <c r="J256">
        <f>INDEX('TE_OA_20200805_INTRDY_2020-08-0'!$R$2:$R$870,MATCH(Filter!B256,'TE_OA_20200805_INTRDY_2020-08-0'!$G$2:$G$870))</f>
        <v>26235</v>
      </c>
    </row>
    <row r="257" spans="1:10" x14ac:dyDescent="0.25">
      <c r="A257" t="str">
        <f>INDEX('Pipe Table'!$E$2:$E$10,MATCH(INDEX('TE_OA_20200805_INTRDY_2020-08-0'!$T$2:$T$870,MATCH(Filter!B257,'TE_OA_20200805_INTRDY_2020-08-0'!$G$2:$G$870,0)),'Pipe Table'!$D$2:$D$10,0))</f>
        <v>TETCO</v>
      </c>
      <c r="B257">
        <v>72249</v>
      </c>
      <c r="C257" t="str">
        <f>INDEX('TE_OA_20200805_INTRDY_2020-08-0'!$J$2:$J$870,MATCH(Filter!B257,'TE_OA_20200805_INTRDY_2020-08-0'!$G$2:$G$870))</f>
        <v>Receipt</v>
      </c>
      <c r="D257" t="str">
        <f>INDEX('Pipe Table'!$B$2:$B$14,MATCH(INDEX(TeAllPoints!$I$2:$I$957,MATCH(Filter!B257,TeAllPoints!$B$2:$B$957,0)),'Pipe Table'!$A$2:$A$14,0))</f>
        <v>Wellhead</v>
      </c>
      <c r="E257" t="str">
        <f>INDEX('TE_OA_20200805_INTRDY_2020-08-0'!$H$2:$H$870,MATCH(Filter!B257,'TE_OA_20200805_INTRDY_2020-08-0'!$G$2:$G$870))</f>
        <v>Tri-Union Dev. Corp.-#1 Wright /  Goliad County, TX  (REC)</v>
      </c>
      <c r="F257" t="str">
        <f>INDEX('Pipe Table'!$H$2:$H$8,MATCH('TE_OA_20200805_INTRDY_2020-08-0'!I238,'Pipe Table'!$G$2:$G$8,0))</f>
        <v>TETCO-STX</v>
      </c>
      <c r="G257" t="str">
        <f>INDEX(TeAllPoints!$D$2:$D$957,MATCH(Filter!B257,TeAllPoints!$B$2:$B$957,0))</f>
        <v>TX</v>
      </c>
      <c r="H257" t="str">
        <f>INDEX(TeAllPoints!$E$2:$E$957,MATCH(Filter!B257,TeAllPoints!$B$2:$B$957,0))</f>
        <v>GOLIAD</v>
      </c>
      <c r="I257">
        <f>INDEX('TE_OA_20200805_INTRDY_2020-08-0'!$Q$2:$Q$870,MATCH(Filter!B257,'TE_OA_20200805_INTRDY_2020-08-0'!$G$2:$G$870))</f>
        <v>4427</v>
      </c>
      <c r="J257">
        <f>INDEX('TE_OA_20200805_INTRDY_2020-08-0'!$R$2:$R$870,MATCH(Filter!B257,'TE_OA_20200805_INTRDY_2020-08-0'!$G$2:$G$870))</f>
        <v>0</v>
      </c>
    </row>
    <row r="258" spans="1:10" x14ac:dyDescent="0.25">
      <c r="A258" t="str">
        <f>INDEX('Pipe Table'!$E$2:$E$10,MATCH(INDEX('TE_OA_20200805_INTRDY_2020-08-0'!$T$2:$T$870,MATCH(Filter!B258,'TE_OA_20200805_INTRDY_2020-08-0'!$G$2:$G$870,0)),'Pipe Table'!$D$2:$D$10,0))</f>
        <v>TETCO</v>
      </c>
      <c r="B258">
        <v>72252</v>
      </c>
      <c r="C258" t="str">
        <f>INDEX('TE_OA_20200805_INTRDY_2020-08-0'!$J$2:$J$870,MATCH(Filter!B258,'TE_OA_20200805_INTRDY_2020-08-0'!$G$2:$G$870))</f>
        <v>Receipt</v>
      </c>
      <c r="D258" t="str">
        <f>INDEX('Pipe Table'!$B$2:$B$14,MATCH(INDEX(TeAllPoints!$I$2:$I$957,MATCH(Filter!B258,TeAllPoints!$B$2:$B$957,0)),'Pipe Table'!$A$2:$A$14,0))</f>
        <v>Wellhead</v>
      </c>
      <c r="E258" t="str">
        <f>INDEX('TE_OA_20200805_INTRDY_2020-08-0'!$H$2:$H$870,MATCH(Filter!B258,'TE_OA_20200805_INTRDY_2020-08-0'!$G$2:$G$870))</f>
        <v>#1 Davis /  Cass County, TX  (REC)</v>
      </c>
      <c r="F258" t="str">
        <f>INDEX('Pipe Table'!$H$2:$H$8,MATCH('TE_OA_20200805_INTRDY_2020-08-0'!I239,'Pipe Table'!$G$2:$G$8,0))</f>
        <v>TETCO-ETX</v>
      </c>
      <c r="G258" t="str">
        <f>INDEX(TeAllPoints!$D$2:$D$957,MATCH(Filter!B258,TeAllPoints!$B$2:$B$957,0))</f>
        <v>TX</v>
      </c>
      <c r="H258" t="str">
        <f>INDEX(TeAllPoints!$E$2:$E$957,MATCH(Filter!B258,TeAllPoints!$B$2:$B$957,0))</f>
        <v>CASS</v>
      </c>
      <c r="I258">
        <f>INDEX('TE_OA_20200805_INTRDY_2020-08-0'!$Q$2:$Q$870,MATCH(Filter!B258,'TE_OA_20200805_INTRDY_2020-08-0'!$G$2:$G$870))</f>
        <v>16434</v>
      </c>
      <c r="J258">
        <f>INDEX('TE_OA_20200805_INTRDY_2020-08-0'!$R$2:$R$870,MATCH(Filter!B258,'TE_OA_20200805_INTRDY_2020-08-0'!$G$2:$G$870))</f>
        <v>0</v>
      </c>
    </row>
    <row r="259" spans="1:10" x14ac:dyDescent="0.25">
      <c r="A259" t="str">
        <f>INDEX('Pipe Table'!$E$2:$E$10,MATCH(INDEX('TE_OA_20200805_INTRDY_2020-08-0'!$T$2:$T$870,MATCH(Filter!B259,'TE_OA_20200805_INTRDY_2020-08-0'!$G$2:$G$870,0)),'Pipe Table'!$D$2:$D$10,0))</f>
        <v>TETCO</v>
      </c>
      <c r="B259">
        <v>72263</v>
      </c>
      <c r="C259" t="str">
        <f>INDEX('TE_OA_20200805_INTRDY_2020-08-0'!$J$2:$J$870,MATCH(Filter!B259,'TE_OA_20200805_INTRDY_2020-08-0'!$G$2:$G$870))</f>
        <v>Delivery</v>
      </c>
      <c r="D259" t="str">
        <f>INDEX('Pipe Table'!$B$2:$B$14,MATCH(INDEX(TeAllPoints!$I$2:$I$957,MATCH(Filter!B259,TeAllPoints!$B$2:$B$957,0)),'Pipe Table'!$A$2:$A$14,0))</f>
        <v>LDC</v>
      </c>
      <c r="E259" t="str">
        <f>INDEX('TE_OA_20200805_INTRDY_2020-08-0'!$H$2:$H$870,MATCH(Filter!B259,'TE_OA_20200805_INTRDY_2020-08-0'!$G$2:$G$870))</f>
        <v>Public Service - Woodbridge,NJ</v>
      </c>
      <c r="F259" t="str">
        <f>INDEX('Pipe Table'!$H$2:$H$8,MATCH('TE_OA_20200805_INTRDY_2020-08-0'!I240,'Pipe Table'!$G$2:$G$8,0))</f>
        <v>TETCO-M3</v>
      </c>
      <c r="G259" t="str">
        <f>INDEX(TeAllPoints!$D$2:$D$957,MATCH(Filter!B259,TeAllPoints!$B$2:$B$957,0))</f>
        <v>NJ</v>
      </c>
      <c r="H259" t="str">
        <f>INDEX(TeAllPoints!$E$2:$E$957,MATCH(Filter!B259,TeAllPoints!$B$2:$B$957,0))</f>
        <v>MIDDLESEX</v>
      </c>
      <c r="I259">
        <f>INDEX('TE_OA_20200805_INTRDY_2020-08-0'!$Q$2:$Q$870,MATCH(Filter!B259,'TE_OA_20200805_INTRDY_2020-08-0'!$G$2:$G$870))</f>
        <v>156768</v>
      </c>
      <c r="J259">
        <f>INDEX('TE_OA_20200805_INTRDY_2020-08-0'!$R$2:$R$870,MATCH(Filter!B259,'TE_OA_20200805_INTRDY_2020-08-0'!$G$2:$G$870))</f>
        <v>14613</v>
      </c>
    </row>
    <row r="260" spans="1:10" x14ac:dyDescent="0.25">
      <c r="A260" t="str">
        <f>INDEX('Pipe Table'!$E$2:$E$10,MATCH(INDEX('TE_OA_20200805_INTRDY_2020-08-0'!$T$2:$T$870,MATCH(Filter!B260,'TE_OA_20200805_INTRDY_2020-08-0'!$G$2:$G$870,0)),'Pipe Table'!$D$2:$D$10,0))</f>
        <v>TETCO</v>
      </c>
      <c r="B260">
        <v>72266</v>
      </c>
      <c r="C260" t="str">
        <f>INDEX('TE_OA_20200805_INTRDY_2020-08-0'!$J$2:$J$870,MATCH(Filter!B260,'TE_OA_20200805_INTRDY_2020-08-0'!$G$2:$G$870))</f>
        <v>Receipt</v>
      </c>
      <c r="D260" t="str">
        <f>INDEX('Pipe Table'!$B$2:$B$14,MATCH(INDEX(TeAllPoints!$I$2:$I$957,MATCH(Filter!B260,TeAllPoints!$B$2:$B$957,0)),'Pipe Table'!$A$2:$A$14,0))</f>
        <v>Wellhead</v>
      </c>
      <c r="E260" t="str">
        <f>INDEX('TE_OA_20200805_INTRDY_2020-08-0'!$H$2:$H$870,MATCH(Filter!B260,'TE_OA_20200805_INTRDY_2020-08-0'!$G$2:$G$870))</f>
        <v>Gulf Coast Pipeline Company - #1 Minarcik/ Colorado Co., TX</v>
      </c>
      <c r="F260" t="str">
        <f>INDEX('Pipe Table'!$H$2:$H$8,MATCH('TE_OA_20200805_INTRDY_2020-08-0'!I241,'Pipe Table'!$G$2:$G$8,0))</f>
        <v>TETCO-STX</v>
      </c>
      <c r="G260" t="str">
        <f>INDEX(TeAllPoints!$D$2:$D$957,MATCH(Filter!B260,TeAllPoints!$B$2:$B$957,0))</f>
        <v>TX</v>
      </c>
      <c r="H260" t="str">
        <f>INDEX(TeAllPoints!$E$2:$E$957,MATCH(Filter!B260,TeAllPoints!$B$2:$B$957,0))</f>
        <v>COLORADO</v>
      </c>
      <c r="I260">
        <f>INDEX('TE_OA_20200805_INTRDY_2020-08-0'!$Q$2:$Q$870,MATCH(Filter!B260,'TE_OA_20200805_INTRDY_2020-08-0'!$G$2:$G$870))</f>
        <v>3896</v>
      </c>
      <c r="J260">
        <f>INDEX('TE_OA_20200805_INTRDY_2020-08-0'!$R$2:$R$870,MATCH(Filter!B260,'TE_OA_20200805_INTRDY_2020-08-0'!$G$2:$G$870))</f>
        <v>0</v>
      </c>
    </row>
    <row r="261" spans="1:10" x14ac:dyDescent="0.25">
      <c r="A261" t="str">
        <f>INDEX('Pipe Table'!$E$2:$E$10,MATCH(INDEX('TE_OA_20200805_INTRDY_2020-08-0'!$T$2:$T$870,MATCH(Filter!B261,'TE_OA_20200805_INTRDY_2020-08-0'!$G$2:$G$870,0)),'Pipe Table'!$D$2:$D$10,0))</f>
        <v>TETCO</v>
      </c>
      <c r="B261">
        <v>72295</v>
      </c>
      <c r="C261" t="str">
        <f>INDEX('TE_OA_20200805_INTRDY_2020-08-0'!$J$2:$J$870,MATCH(Filter!B261,'TE_OA_20200805_INTRDY_2020-08-0'!$G$2:$G$870))</f>
        <v>Receipt</v>
      </c>
      <c r="D261" t="str">
        <f>INDEX('Pipe Table'!$B$2:$B$14,MATCH(INDEX(TeAllPoints!$I$2:$I$957,MATCH(Filter!B261,TeAllPoints!$B$2:$B$957,0)),'Pipe Table'!$A$2:$A$14,0))</f>
        <v>Wellhead</v>
      </c>
      <c r="E261" t="str">
        <f>INDEX('TE_OA_20200805_INTRDY_2020-08-0'!$H$2:$H$870,MATCH(Filter!B261,'TE_OA_20200805_INTRDY_2020-08-0'!$G$2:$G$870))</f>
        <v>Vernon E. Faulconer, Inc.- #1 Stewart, Kenedy Co., TX (REC)</v>
      </c>
      <c r="F261" t="str">
        <f>INDEX('Pipe Table'!$H$2:$H$8,MATCH('TE_OA_20200805_INTRDY_2020-08-0'!I242,'Pipe Table'!$G$2:$G$8,0))</f>
        <v>TETCO-STX</v>
      </c>
      <c r="G261" t="str">
        <f>INDEX(TeAllPoints!$D$2:$D$957,MATCH(Filter!B261,TeAllPoints!$B$2:$B$957,0))</f>
        <v>TX</v>
      </c>
      <c r="H261" t="str">
        <f>INDEX(TeAllPoints!$E$2:$E$957,MATCH(Filter!B261,TeAllPoints!$B$2:$B$957,0))</f>
        <v>KENEDY</v>
      </c>
      <c r="I261">
        <f>INDEX('TE_OA_20200805_INTRDY_2020-08-0'!$Q$2:$Q$870,MATCH(Filter!B261,'TE_OA_20200805_INTRDY_2020-08-0'!$G$2:$G$870))</f>
        <v>4627</v>
      </c>
      <c r="J261">
        <f>INDEX('TE_OA_20200805_INTRDY_2020-08-0'!$R$2:$R$870,MATCH(Filter!B261,'TE_OA_20200805_INTRDY_2020-08-0'!$G$2:$G$870))</f>
        <v>1</v>
      </c>
    </row>
    <row r="262" spans="1:10" x14ac:dyDescent="0.25">
      <c r="A262" t="str">
        <f>INDEX('Pipe Table'!$E$2:$E$10,MATCH(INDEX('TE_OA_20200805_INTRDY_2020-08-0'!$T$2:$T$870,MATCH(Filter!B262,'TE_OA_20200805_INTRDY_2020-08-0'!$G$2:$G$870,0)),'Pipe Table'!$D$2:$D$10,0))</f>
        <v>TETCO</v>
      </c>
      <c r="B262">
        <v>72303</v>
      </c>
      <c r="C262" t="str">
        <f>INDEX('TE_OA_20200805_INTRDY_2020-08-0'!$J$2:$J$870,MATCH(Filter!B262,'TE_OA_20200805_INTRDY_2020-08-0'!$G$2:$G$870))</f>
        <v>Receipt</v>
      </c>
      <c r="D262" t="e">
        <f>INDEX('Pipe Table'!$B$2:$B$14,MATCH(INDEX(TeAllPoints!$I$2:$I$957,MATCH(Filter!B262,TeAllPoints!$B$2:$B$957,0)),'Pipe Table'!$A$2:$A$14,0))</f>
        <v>#N/A</v>
      </c>
      <c r="E262" t="str">
        <f>INDEX('TE_OA_20200805_INTRDY_2020-08-0'!$H$2:$H$870,MATCH(Filter!B262,'TE_OA_20200805_INTRDY_2020-08-0'!$G$2:$G$870))</f>
        <v>Mineral Development, Inc. - Smith / DeSoto Psh., LA</v>
      </c>
      <c r="F262" t="str">
        <f>INDEX('Pipe Table'!$H$2:$H$8,MATCH('TE_OA_20200805_INTRDY_2020-08-0'!I243,'Pipe Table'!$G$2:$G$8,0))</f>
        <v>TETCO-ETX</v>
      </c>
      <c r="G262" t="e">
        <f>INDEX(TeAllPoints!$D$2:$D$957,MATCH(Filter!B262,TeAllPoints!$B$2:$B$957,0))</f>
        <v>#N/A</v>
      </c>
      <c r="H262" t="e">
        <f>INDEX(TeAllPoints!$E$2:$E$957,MATCH(Filter!B262,TeAllPoints!$B$2:$B$957,0))</f>
        <v>#N/A</v>
      </c>
      <c r="I262">
        <f>INDEX('TE_OA_20200805_INTRDY_2020-08-0'!$Q$2:$Q$870,MATCH(Filter!B262,'TE_OA_20200805_INTRDY_2020-08-0'!$G$2:$G$870))</f>
        <v>4771</v>
      </c>
      <c r="J262">
        <f>INDEX('TE_OA_20200805_INTRDY_2020-08-0'!$R$2:$R$870,MATCH(Filter!B262,'TE_OA_20200805_INTRDY_2020-08-0'!$G$2:$G$870))</f>
        <v>0</v>
      </c>
    </row>
    <row r="263" spans="1:10" x14ac:dyDescent="0.25">
      <c r="A263" t="str">
        <f>INDEX('Pipe Table'!$E$2:$E$10,MATCH(INDEX('TE_OA_20200805_INTRDY_2020-08-0'!$T$2:$T$870,MATCH(Filter!B263,'TE_OA_20200805_INTRDY_2020-08-0'!$G$2:$G$870,0)),'Pipe Table'!$D$2:$D$10,0))</f>
        <v>TETCO</v>
      </c>
      <c r="B263">
        <v>72307</v>
      </c>
      <c r="C263" t="str">
        <f>INDEX('TE_OA_20200805_INTRDY_2020-08-0'!$J$2:$J$870,MATCH(Filter!B263,'TE_OA_20200805_INTRDY_2020-08-0'!$G$2:$G$870))</f>
        <v>Receipt</v>
      </c>
      <c r="D263" t="str">
        <f>INDEX('Pipe Table'!$B$2:$B$14,MATCH(INDEX(TeAllPoints!$I$2:$I$957,MATCH(Filter!B263,TeAllPoints!$B$2:$B$957,0)),'Pipe Table'!$A$2:$A$14,0))</f>
        <v>Wellhead</v>
      </c>
      <c r="E263" t="str">
        <f>INDEX('TE_OA_20200805_INTRDY_2020-08-0'!$H$2:$H$870,MATCH(Filter!B263,'TE_OA_20200805_INTRDY_2020-08-0'!$G$2:$G$870))</f>
        <v>Jeems Bayou - #1 Calhoun /  Desoto Psh., LA</v>
      </c>
      <c r="F263" t="str">
        <f>INDEX('Pipe Table'!$H$2:$H$8,MATCH('TE_OA_20200805_INTRDY_2020-08-0'!I244,'Pipe Table'!$G$2:$G$8,0))</f>
        <v>TETCO-ETX</v>
      </c>
      <c r="G263" t="str">
        <f>INDEX(TeAllPoints!$D$2:$D$957,MATCH(Filter!B263,TeAllPoints!$B$2:$B$957,0))</f>
        <v>LA</v>
      </c>
      <c r="H263" t="str">
        <f>INDEX(TeAllPoints!$E$2:$E$957,MATCH(Filter!B263,TeAllPoints!$B$2:$B$957,0))</f>
        <v>DE SOTO</v>
      </c>
      <c r="I263">
        <f>INDEX('TE_OA_20200805_INTRDY_2020-08-0'!$Q$2:$Q$870,MATCH(Filter!B263,'TE_OA_20200805_INTRDY_2020-08-0'!$G$2:$G$870))</f>
        <v>17354</v>
      </c>
      <c r="J263">
        <f>INDEX('TE_OA_20200805_INTRDY_2020-08-0'!$R$2:$R$870,MATCH(Filter!B263,'TE_OA_20200805_INTRDY_2020-08-0'!$G$2:$G$870))</f>
        <v>125</v>
      </c>
    </row>
    <row r="264" spans="1:10" x14ac:dyDescent="0.25">
      <c r="A264" t="str">
        <f>INDEX('Pipe Table'!$E$2:$E$10,MATCH(INDEX('TE_OA_20200805_INTRDY_2020-08-0'!$T$2:$T$870,MATCH(Filter!B264,'TE_OA_20200805_INTRDY_2020-08-0'!$G$2:$G$870,0)),'Pipe Table'!$D$2:$D$10,0))</f>
        <v>TETCO</v>
      </c>
      <c r="B264">
        <v>72309</v>
      </c>
      <c r="C264" t="str">
        <f>INDEX('TE_OA_20200805_INTRDY_2020-08-0'!$J$2:$J$870,MATCH(Filter!B264,'TE_OA_20200805_INTRDY_2020-08-0'!$G$2:$G$870))</f>
        <v>Receipt</v>
      </c>
      <c r="D264" t="str">
        <f>INDEX('Pipe Table'!$B$2:$B$14,MATCH(INDEX(TeAllPoints!$I$2:$I$957,MATCH(Filter!B264,TeAllPoints!$B$2:$B$957,0)),'Pipe Table'!$A$2:$A$14,0))</f>
        <v>Wellhead</v>
      </c>
      <c r="E264" t="str">
        <f>INDEX('TE_OA_20200805_INTRDY_2020-08-0'!$H$2:$H$870,MATCH(Filter!B264,'TE_OA_20200805_INTRDY_2020-08-0'!$G$2:$G$870))</f>
        <v>Chaparral Energy, L.L.C. -   #1 Hester, Goliad Co., TX</v>
      </c>
      <c r="F264" t="str">
        <f>INDEX('Pipe Table'!$H$2:$H$8,MATCH('TE_OA_20200805_INTRDY_2020-08-0'!I245,'Pipe Table'!$G$2:$G$8,0))</f>
        <v>TETCO-STX</v>
      </c>
      <c r="G264" t="str">
        <f>INDEX(TeAllPoints!$D$2:$D$957,MATCH(Filter!B264,TeAllPoints!$B$2:$B$957,0))</f>
        <v>TX</v>
      </c>
      <c r="H264" t="str">
        <f>INDEX(TeAllPoints!$E$2:$E$957,MATCH(Filter!B264,TeAllPoints!$B$2:$B$957,0))</f>
        <v>GOLIAD</v>
      </c>
      <c r="I264">
        <f>INDEX('TE_OA_20200805_INTRDY_2020-08-0'!$Q$2:$Q$870,MATCH(Filter!B264,'TE_OA_20200805_INTRDY_2020-08-0'!$G$2:$G$870))</f>
        <v>4435</v>
      </c>
      <c r="J264">
        <f>INDEX('TE_OA_20200805_INTRDY_2020-08-0'!$R$2:$R$870,MATCH(Filter!B264,'TE_OA_20200805_INTRDY_2020-08-0'!$G$2:$G$870))</f>
        <v>0</v>
      </c>
    </row>
    <row r="265" spans="1:10" x14ac:dyDescent="0.25">
      <c r="A265" t="str">
        <f>INDEX('Pipe Table'!$E$2:$E$10,MATCH(INDEX('TE_OA_20200805_INTRDY_2020-08-0'!$T$2:$T$870,MATCH(Filter!B265,'TE_OA_20200805_INTRDY_2020-08-0'!$G$2:$G$870,0)),'Pipe Table'!$D$2:$D$10,0))</f>
        <v>TETCO</v>
      </c>
      <c r="B265">
        <v>72319</v>
      </c>
      <c r="C265" t="str">
        <f>INDEX('TE_OA_20200805_INTRDY_2020-08-0'!$J$2:$J$870,MATCH(Filter!B265,'TE_OA_20200805_INTRDY_2020-08-0'!$G$2:$G$870))</f>
        <v>Receipt</v>
      </c>
      <c r="D265" t="str">
        <f>INDEX('Pipe Table'!$B$2:$B$14,MATCH(INDEX(TeAllPoints!$I$2:$I$957,MATCH(Filter!B265,TeAllPoints!$B$2:$B$957,0)),'Pipe Table'!$A$2:$A$14,0))</f>
        <v>Wellhead</v>
      </c>
      <c r="E265" t="str">
        <f>INDEX('TE_OA_20200805_INTRDY_2020-08-0'!$H$2:$H$870,MATCH(Filter!B265,'TE_OA_20200805_INTRDY_2020-08-0'!$G$2:$G$870))</f>
        <v>Energy XXI GOM, LLC-SP 93</v>
      </c>
      <c r="F265" t="str">
        <f>INDEX('Pipe Table'!$H$2:$H$8,MATCH('TE_OA_20200805_INTRDY_2020-08-0'!I246,'Pipe Table'!$G$2:$G$8,0))</f>
        <v>TETCO-ELA</v>
      </c>
      <c r="G265" t="str">
        <f>INDEX(TeAllPoints!$D$2:$D$957,MATCH(Filter!B265,TeAllPoints!$B$2:$B$957,0))</f>
        <v>OF</v>
      </c>
      <c r="H265" t="str">
        <f>INDEX(TeAllPoints!$E$2:$E$957,MATCH(Filter!B265,TeAllPoints!$B$2:$B$957,0))</f>
        <v>SOUTH PASS</v>
      </c>
      <c r="I265">
        <f>INDEX('TE_OA_20200805_INTRDY_2020-08-0'!$Q$2:$Q$870,MATCH(Filter!B265,'TE_OA_20200805_INTRDY_2020-08-0'!$G$2:$G$870))</f>
        <v>76201</v>
      </c>
      <c r="J265">
        <f>INDEX('TE_OA_20200805_INTRDY_2020-08-0'!$R$2:$R$870,MATCH(Filter!B265,'TE_OA_20200805_INTRDY_2020-08-0'!$G$2:$G$870))</f>
        <v>250</v>
      </c>
    </row>
    <row r="266" spans="1:10" x14ac:dyDescent="0.25">
      <c r="A266" t="str">
        <f>INDEX('Pipe Table'!$E$2:$E$10,MATCH(INDEX('TE_OA_20200805_INTRDY_2020-08-0'!$T$2:$T$870,MATCH(Filter!B266,'TE_OA_20200805_INTRDY_2020-08-0'!$G$2:$G$870,0)),'Pipe Table'!$D$2:$D$10,0))</f>
        <v>TETCO</v>
      </c>
      <c r="B266">
        <v>72337</v>
      </c>
      <c r="C266" t="str">
        <f>INDEX('TE_OA_20200805_INTRDY_2020-08-0'!$J$2:$J$870,MATCH(Filter!B266,'TE_OA_20200805_INTRDY_2020-08-0'!$G$2:$G$870))</f>
        <v>Receipt</v>
      </c>
      <c r="D266" t="str">
        <f>INDEX('Pipe Table'!$B$2:$B$14,MATCH(INDEX(TeAllPoints!$I$2:$I$957,MATCH(Filter!B266,TeAllPoints!$B$2:$B$957,0)),'Pipe Table'!$A$2:$A$14,0))</f>
        <v>Wellhead</v>
      </c>
      <c r="E266" t="str">
        <f>INDEX('TE_OA_20200805_INTRDY_2020-08-0'!$H$2:$H$870,MATCH(Filter!B266,'TE_OA_20200805_INTRDY_2020-08-0'!$G$2:$G$870))</f>
        <v>Scorpion Oil&amp;Gas, LLC</v>
      </c>
      <c r="F266" t="str">
        <f>INDEX('Pipe Table'!$H$2:$H$8,MATCH('TE_OA_20200805_INTRDY_2020-08-0'!I247,'Pipe Table'!$G$2:$G$8,0))</f>
        <v>TETCO-M1</v>
      </c>
      <c r="G266" t="str">
        <f>INDEX(TeAllPoints!$D$2:$D$957,MATCH(Filter!B266,TeAllPoints!$B$2:$B$957,0))</f>
        <v>MS</v>
      </c>
      <c r="H266" t="str">
        <f>INDEX(TeAllPoints!$E$2:$E$957,MATCH(Filter!B266,TeAllPoints!$B$2:$B$957,0))</f>
        <v>PONTOTOC</v>
      </c>
      <c r="I266">
        <f>INDEX('TE_OA_20200805_INTRDY_2020-08-0'!$Q$2:$Q$870,MATCH(Filter!B266,'TE_OA_20200805_INTRDY_2020-08-0'!$G$2:$G$870))</f>
        <v>9338</v>
      </c>
      <c r="J266">
        <f>INDEX('TE_OA_20200805_INTRDY_2020-08-0'!$R$2:$R$870,MATCH(Filter!B266,'TE_OA_20200805_INTRDY_2020-08-0'!$G$2:$G$870))</f>
        <v>85</v>
      </c>
    </row>
    <row r="267" spans="1:10" x14ac:dyDescent="0.25">
      <c r="A267" t="str">
        <f>INDEX('Pipe Table'!$E$2:$E$10,MATCH(INDEX('TE_OA_20200805_INTRDY_2020-08-0'!$T$2:$T$870,MATCH(Filter!B267,'TE_OA_20200805_INTRDY_2020-08-0'!$G$2:$G$870,0)),'Pipe Table'!$D$2:$D$10,0))</f>
        <v>TETCO</v>
      </c>
      <c r="B267">
        <v>72367</v>
      </c>
      <c r="C267" t="str">
        <f>INDEX('TE_OA_20200805_INTRDY_2020-08-0'!$J$2:$J$870,MATCH(Filter!B267,'TE_OA_20200805_INTRDY_2020-08-0'!$G$2:$G$870))</f>
        <v>Delivery</v>
      </c>
      <c r="D267" t="str">
        <f>INDEX('Pipe Table'!$B$2:$B$14,MATCH(INDEX(TeAllPoints!$I$2:$I$957,MATCH(Filter!B267,TeAllPoints!$B$2:$B$957,0)),'Pipe Table'!$A$2:$A$14,0))</f>
        <v>Intrcnnct</v>
      </c>
      <c r="E267" t="str">
        <f>INDEX('TE_OA_20200805_INTRDY_2020-08-0'!$H$2:$H$870,MATCH(Filter!B267,'TE_OA_20200805_INTRDY_2020-08-0'!$G$2:$G$870))</f>
        <v>Miss. Valley Gas - Hinds Co., MS</v>
      </c>
      <c r="F267" t="str">
        <f>INDEX('Pipe Table'!$H$2:$H$8,MATCH('TE_OA_20200805_INTRDY_2020-08-0'!I248,'Pipe Table'!$G$2:$G$8,0))</f>
        <v>TETCO-ELA</v>
      </c>
      <c r="G267" t="str">
        <f>INDEX(TeAllPoints!$D$2:$D$957,MATCH(Filter!B267,TeAllPoints!$B$2:$B$957,0))</f>
        <v>MS</v>
      </c>
      <c r="H267" t="str">
        <f>INDEX(TeAllPoints!$E$2:$E$957,MATCH(Filter!B267,TeAllPoints!$B$2:$B$957,0))</f>
        <v>HINDS</v>
      </c>
      <c r="I267">
        <f>INDEX('TE_OA_20200805_INTRDY_2020-08-0'!$Q$2:$Q$870,MATCH(Filter!B267,'TE_OA_20200805_INTRDY_2020-08-0'!$G$2:$G$870))</f>
        <v>8260</v>
      </c>
      <c r="J267">
        <f>INDEX('TE_OA_20200805_INTRDY_2020-08-0'!$R$2:$R$870,MATCH(Filter!B267,'TE_OA_20200805_INTRDY_2020-08-0'!$G$2:$G$870))</f>
        <v>0</v>
      </c>
    </row>
    <row r="268" spans="1:10" x14ac:dyDescent="0.25">
      <c r="A268" t="str">
        <f>INDEX('Pipe Table'!$E$2:$E$10,MATCH(INDEX('TE_OA_20200805_INTRDY_2020-08-0'!$T$2:$T$870,MATCH(Filter!B268,'TE_OA_20200805_INTRDY_2020-08-0'!$G$2:$G$870,0)),'Pipe Table'!$D$2:$D$10,0))</f>
        <v>TETCO</v>
      </c>
      <c r="B268">
        <v>72377</v>
      </c>
      <c r="C268" t="str">
        <f>INDEX('TE_OA_20200805_INTRDY_2020-08-0'!$J$2:$J$870,MATCH(Filter!B268,'TE_OA_20200805_INTRDY_2020-08-0'!$G$2:$G$870))</f>
        <v>Receipt</v>
      </c>
      <c r="D268" t="str">
        <f>INDEX('Pipe Table'!$B$2:$B$14,MATCH(INDEX(TeAllPoints!$I$2:$I$957,MATCH(Filter!B268,TeAllPoints!$B$2:$B$957,0)),'Pipe Table'!$A$2:$A$14,0))</f>
        <v>Wellhead</v>
      </c>
      <c r="E268" t="str">
        <f>INDEX('TE_OA_20200805_INTRDY_2020-08-0'!$H$2:$H$870,MATCH(Filter!B268,'TE_OA_20200805_INTRDY_2020-08-0'!$G$2:$G$870))</f>
        <v>Seneca Resources - #1 Garza, Hidalgo Co., TX</v>
      </c>
      <c r="F268" t="str">
        <f>INDEX('Pipe Table'!$H$2:$H$8,MATCH('TE_OA_20200805_INTRDY_2020-08-0'!I249,'Pipe Table'!$G$2:$G$8,0))</f>
        <v>TETCO-STX</v>
      </c>
      <c r="G268" t="str">
        <f>INDEX(TeAllPoints!$D$2:$D$957,MATCH(Filter!B268,TeAllPoints!$B$2:$B$957,0))</f>
        <v>TX</v>
      </c>
      <c r="H268" t="str">
        <f>INDEX(TeAllPoints!$E$2:$E$957,MATCH(Filter!B268,TeAllPoints!$B$2:$B$957,0))</f>
        <v>HIDALGO</v>
      </c>
      <c r="I268">
        <f>INDEX('TE_OA_20200805_INTRDY_2020-08-0'!$Q$2:$Q$870,MATCH(Filter!B268,'TE_OA_20200805_INTRDY_2020-08-0'!$G$2:$G$870))</f>
        <v>10090</v>
      </c>
      <c r="J268">
        <f>INDEX('TE_OA_20200805_INTRDY_2020-08-0'!$R$2:$R$870,MATCH(Filter!B268,'TE_OA_20200805_INTRDY_2020-08-0'!$G$2:$G$870))</f>
        <v>50</v>
      </c>
    </row>
    <row r="269" spans="1:10" x14ac:dyDescent="0.25">
      <c r="A269" t="str">
        <f>INDEX('Pipe Table'!$E$2:$E$10,MATCH(INDEX('TE_OA_20200805_INTRDY_2020-08-0'!$T$2:$T$870,MATCH(Filter!B269,'TE_OA_20200805_INTRDY_2020-08-0'!$G$2:$G$870,0)),'Pipe Table'!$D$2:$D$10,0))</f>
        <v>TETCO</v>
      </c>
      <c r="B269">
        <v>72382</v>
      </c>
      <c r="C269" t="str">
        <f>INDEX('TE_OA_20200805_INTRDY_2020-08-0'!$J$2:$J$870,MATCH(Filter!B269,'TE_OA_20200805_INTRDY_2020-08-0'!$G$2:$G$870))</f>
        <v>Delivery</v>
      </c>
      <c r="D269" t="str">
        <f>INDEX('Pipe Table'!$B$2:$B$14,MATCH(INDEX(TeAllPoints!$I$2:$I$957,MATCH(Filter!B269,TeAllPoints!$B$2:$B$957,0)),'Pipe Table'!$A$2:$A$14,0))</f>
        <v>Intrcnnct</v>
      </c>
      <c r="E269" t="str">
        <f>INDEX('TE_OA_20200805_INTRDY_2020-08-0'!$H$2:$H$870,MATCH(Filter!B269,'TE_OA_20200805_INTRDY_2020-08-0'!$G$2:$G$870))</f>
        <v>Houston Pipe Line Co.-Enerfin Lyondell Sys./ Harris Co., TX</v>
      </c>
      <c r="F269" t="str">
        <f>INDEX('Pipe Table'!$H$2:$H$8,MATCH('TE_OA_20200805_INTRDY_2020-08-0'!I250,'Pipe Table'!$G$2:$G$8,0))</f>
        <v>TETCO-STX</v>
      </c>
      <c r="G269" t="str">
        <f>INDEX(TeAllPoints!$D$2:$D$957,MATCH(Filter!B269,TeAllPoints!$B$2:$B$957,0))</f>
        <v>TX</v>
      </c>
      <c r="H269" t="str">
        <f>INDEX(TeAllPoints!$E$2:$E$957,MATCH(Filter!B269,TeAllPoints!$B$2:$B$957,0))</f>
        <v>HARRIS</v>
      </c>
      <c r="I269">
        <f>INDEX('TE_OA_20200805_INTRDY_2020-08-0'!$Q$2:$Q$870,MATCH(Filter!B269,'TE_OA_20200805_INTRDY_2020-08-0'!$G$2:$G$870))</f>
        <v>55329</v>
      </c>
      <c r="J269">
        <f>INDEX('TE_OA_20200805_INTRDY_2020-08-0'!$R$2:$R$870,MATCH(Filter!B269,'TE_OA_20200805_INTRDY_2020-08-0'!$G$2:$G$870))</f>
        <v>0</v>
      </c>
    </row>
    <row r="270" spans="1:10" x14ac:dyDescent="0.25">
      <c r="A270" t="str">
        <f>INDEX('Pipe Table'!$E$2:$E$10,MATCH(INDEX('TE_OA_20200805_INTRDY_2020-08-0'!$T$2:$T$870,MATCH(Filter!B270,'TE_OA_20200805_INTRDY_2020-08-0'!$G$2:$G$870,0)),'Pipe Table'!$D$2:$D$10,0))</f>
        <v>TETCO</v>
      </c>
      <c r="B270">
        <v>72395</v>
      </c>
      <c r="C270" t="str">
        <f>INDEX('TE_OA_20200805_INTRDY_2020-08-0'!$J$2:$J$870,MATCH(Filter!B270,'TE_OA_20200805_INTRDY_2020-08-0'!$G$2:$G$870))</f>
        <v>Delivery</v>
      </c>
      <c r="D270" t="str">
        <f>INDEX('Pipe Table'!$B$2:$B$14,MATCH(INDEX(TeAllPoints!$I$2:$I$957,MATCH(Filter!B270,TeAllPoints!$B$2:$B$957,0)),'Pipe Table'!$A$2:$A$14,0))</f>
        <v>Intrcnnct</v>
      </c>
      <c r="E270" t="str">
        <f>INDEX('TE_OA_20200805_INTRDY_2020-08-0'!$H$2:$H$870,MATCH(Filter!B270,'TE_OA_20200805_INTRDY_2020-08-0'!$G$2:$G$870))</f>
        <v>Entergy Sabine Power Station - Orange Co., TX</v>
      </c>
      <c r="F270" t="str">
        <f>INDEX('Pipe Table'!$H$2:$H$8,MATCH('TE_OA_20200805_INTRDY_2020-08-0'!I251,'Pipe Table'!$G$2:$G$8,0))</f>
        <v>TETCO-WLA</v>
      </c>
      <c r="G270" t="str">
        <f>INDEX(TeAllPoints!$D$2:$D$957,MATCH(Filter!B270,TeAllPoints!$B$2:$B$957,0))</f>
        <v>TX</v>
      </c>
      <c r="H270" t="str">
        <f>INDEX(TeAllPoints!$E$2:$E$957,MATCH(Filter!B270,TeAllPoints!$B$2:$B$957,0))</f>
        <v>ORANGE</v>
      </c>
      <c r="I270">
        <f>INDEX('TE_OA_20200805_INTRDY_2020-08-0'!$Q$2:$Q$870,MATCH(Filter!B270,'TE_OA_20200805_INTRDY_2020-08-0'!$G$2:$G$870))</f>
        <v>135980</v>
      </c>
      <c r="J270">
        <f>INDEX('TE_OA_20200805_INTRDY_2020-08-0'!$R$2:$R$870,MATCH(Filter!B270,'TE_OA_20200805_INTRDY_2020-08-0'!$G$2:$G$870))</f>
        <v>89060</v>
      </c>
    </row>
    <row r="271" spans="1:10" x14ac:dyDescent="0.25">
      <c r="A271" t="str">
        <f>INDEX('Pipe Table'!$E$2:$E$10,MATCH(INDEX('TE_OA_20200805_INTRDY_2020-08-0'!$T$2:$T$870,MATCH(Filter!B271,'TE_OA_20200805_INTRDY_2020-08-0'!$G$2:$G$870,0)),'Pipe Table'!$D$2:$D$10,0))</f>
        <v>TETCO</v>
      </c>
      <c r="B271">
        <v>72405</v>
      </c>
      <c r="C271" t="str">
        <f>INDEX('TE_OA_20200805_INTRDY_2020-08-0'!$J$2:$J$870,MATCH(Filter!B271,'TE_OA_20200805_INTRDY_2020-08-0'!$G$2:$G$870))</f>
        <v>Delivery</v>
      </c>
      <c r="D271" t="str">
        <f>INDEX('Pipe Table'!$B$2:$B$14,MATCH(INDEX(TeAllPoints!$I$2:$I$957,MATCH(Filter!B271,TeAllPoints!$B$2:$B$957,0)),'Pipe Table'!$A$2:$A$14,0))</f>
        <v>LDC</v>
      </c>
      <c r="E271" t="str">
        <f>INDEX('TE_OA_20200805_INTRDY_2020-08-0'!$H$2:$H$870,MATCH(Filter!B271,'TE_OA_20200805_INTRDY_2020-08-0'!$G$2:$G$870))</f>
        <v>PECO Energy - Hatfield, PA</v>
      </c>
      <c r="F271" t="str">
        <f>INDEX('Pipe Table'!$H$2:$H$8,MATCH('TE_OA_20200805_INTRDY_2020-08-0'!I252,'Pipe Table'!$G$2:$G$8,0))</f>
        <v>TETCO-M3</v>
      </c>
      <c r="G271" t="str">
        <f>INDEX(TeAllPoints!$D$2:$D$957,MATCH(Filter!B271,TeAllPoints!$B$2:$B$957,0))</f>
        <v>PA</v>
      </c>
      <c r="H271" t="str">
        <f>INDEX(TeAllPoints!$E$2:$E$957,MATCH(Filter!B271,TeAllPoints!$B$2:$B$957,0))</f>
        <v>MONTGOMERY</v>
      </c>
      <c r="I271">
        <f>INDEX('TE_OA_20200805_INTRDY_2020-08-0'!$Q$2:$Q$870,MATCH(Filter!B271,'TE_OA_20200805_INTRDY_2020-08-0'!$G$2:$G$870))</f>
        <v>78790</v>
      </c>
      <c r="J271">
        <f>INDEX('TE_OA_20200805_INTRDY_2020-08-0'!$R$2:$R$870,MATCH(Filter!B271,'TE_OA_20200805_INTRDY_2020-08-0'!$G$2:$G$870))</f>
        <v>6636</v>
      </c>
    </row>
    <row r="272" spans="1:10" x14ac:dyDescent="0.25">
      <c r="A272" t="str">
        <f>INDEX('Pipe Table'!$E$2:$E$10,MATCH(INDEX('TE_OA_20200805_INTRDY_2020-08-0'!$T$2:$T$870,MATCH(Filter!B272,'TE_OA_20200805_INTRDY_2020-08-0'!$G$2:$G$870,0)),'Pipe Table'!$D$2:$D$10,0))</f>
        <v>TETCO</v>
      </c>
      <c r="B272">
        <v>72428</v>
      </c>
      <c r="C272" t="str">
        <f>INDEX('TE_OA_20200805_INTRDY_2020-08-0'!$J$2:$J$870,MATCH(Filter!B272,'TE_OA_20200805_INTRDY_2020-08-0'!$G$2:$G$870))</f>
        <v>Receipt</v>
      </c>
      <c r="D272" t="str">
        <f>INDEX('Pipe Table'!$B$2:$B$14,MATCH(INDEX(TeAllPoints!$I$2:$I$957,MATCH(Filter!B272,TeAllPoints!$B$2:$B$957,0)),'Pipe Table'!$A$2:$A$14,0))</f>
        <v>Wellhead</v>
      </c>
      <c r="E272" t="str">
        <f>INDEX('TE_OA_20200805_INTRDY_2020-08-0'!$H$2:$H$870,MATCH(Filter!B272,'TE_OA_20200805_INTRDY_2020-08-0'!$G$2:$G$870))</f>
        <v>Somerset Gas - Casey Co., KY</v>
      </c>
      <c r="F272" t="str">
        <f>INDEX('Pipe Table'!$H$2:$H$8,MATCH('TE_OA_20200805_INTRDY_2020-08-0'!I253,'Pipe Table'!$G$2:$G$8,0))</f>
        <v>TETCO-M2</v>
      </c>
      <c r="G272" t="str">
        <f>INDEX(TeAllPoints!$D$2:$D$957,MATCH(Filter!B272,TeAllPoints!$B$2:$B$957,0))</f>
        <v>KY</v>
      </c>
      <c r="H272" t="str">
        <f>INDEX(TeAllPoints!$E$2:$E$957,MATCH(Filter!B272,TeAllPoints!$B$2:$B$957,0))</f>
        <v>CASEY</v>
      </c>
      <c r="I272">
        <f>INDEX('TE_OA_20200805_INTRDY_2020-08-0'!$Q$2:$Q$870,MATCH(Filter!B272,'TE_OA_20200805_INTRDY_2020-08-0'!$G$2:$G$870))</f>
        <v>17352</v>
      </c>
      <c r="J272">
        <f>INDEX('TE_OA_20200805_INTRDY_2020-08-0'!$R$2:$R$870,MATCH(Filter!B272,'TE_OA_20200805_INTRDY_2020-08-0'!$G$2:$G$870))</f>
        <v>4915</v>
      </c>
    </row>
    <row r="273" spans="1:10" x14ac:dyDescent="0.25">
      <c r="A273" t="str">
        <f>INDEX('Pipe Table'!$E$2:$E$10,MATCH(INDEX('TE_OA_20200805_INTRDY_2020-08-0'!$T$2:$T$870,MATCH(Filter!B273,'TE_OA_20200805_INTRDY_2020-08-0'!$G$2:$G$870,0)),'Pipe Table'!$D$2:$D$10,0))</f>
        <v>TETCO</v>
      </c>
      <c r="B273">
        <v>72451</v>
      </c>
      <c r="C273" t="str">
        <f>INDEX('TE_OA_20200805_INTRDY_2020-08-0'!$J$2:$J$870,MATCH(Filter!B273,'TE_OA_20200805_INTRDY_2020-08-0'!$G$2:$G$870))</f>
        <v>Receipt</v>
      </c>
      <c r="D273" t="str">
        <f>INDEX('Pipe Table'!$B$2:$B$14,MATCH(INDEX(TeAllPoints!$I$2:$I$957,MATCH(Filter!B273,TeAllPoints!$B$2:$B$957,0)),'Pipe Table'!$A$2:$A$14,0))</f>
        <v>Wellhead</v>
      </c>
      <c r="E273" t="str">
        <f>INDEX('TE_OA_20200805_INTRDY_2020-08-0'!$H$2:$H$870,MATCH(Filter!B273,'TE_OA_20200805_INTRDY_2020-08-0'!$G$2:$G$870))</f>
        <v>Wilmar Pipeline, Inc.  - #1 Duncan Slough, Matagorda Co., TX</v>
      </c>
      <c r="F273" t="str">
        <f>INDEX('Pipe Table'!$H$2:$H$8,MATCH('TE_OA_20200805_INTRDY_2020-08-0'!I254,'Pipe Table'!$G$2:$G$8,0))</f>
        <v>TETCO-STX</v>
      </c>
      <c r="G273" t="str">
        <f>INDEX(TeAllPoints!$D$2:$D$957,MATCH(Filter!B273,TeAllPoints!$B$2:$B$957,0))</f>
        <v>TX</v>
      </c>
      <c r="H273" t="str">
        <f>INDEX(TeAllPoints!$E$2:$E$957,MATCH(Filter!B273,TeAllPoints!$B$2:$B$957,0))</f>
        <v>MATAGORDA</v>
      </c>
      <c r="I273">
        <f>INDEX('TE_OA_20200805_INTRDY_2020-08-0'!$Q$2:$Q$870,MATCH(Filter!B273,'TE_OA_20200805_INTRDY_2020-08-0'!$G$2:$G$870))</f>
        <v>4589</v>
      </c>
      <c r="J273">
        <f>INDEX('TE_OA_20200805_INTRDY_2020-08-0'!$R$2:$R$870,MATCH(Filter!B273,'TE_OA_20200805_INTRDY_2020-08-0'!$G$2:$G$870))</f>
        <v>100</v>
      </c>
    </row>
    <row r="274" spans="1:10" x14ac:dyDescent="0.25">
      <c r="A274" t="str">
        <f>INDEX('Pipe Table'!$E$2:$E$10,MATCH(INDEX('TE_OA_20200805_INTRDY_2020-08-0'!$T$2:$T$870,MATCH(Filter!B274,'TE_OA_20200805_INTRDY_2020-08-0'!$G$2:$G$870,0)),'Pipe Table'!$D$2:$D$10,0))</f>
        <v>TETCO</v>
      </c>
      <c r="B274">
        <v>72457</v>
      </c>
      <c r="C274" t="str">
        <f>INDEX('TE_OA_20200805_INTRDY_2020-08-0'!$J$2:$J$870,MATCH(Filter!B274,'TE_OA_20200805_INTRDY_2020-08-0'!$G$2:$G$870))</f>
        <v>Receipt</v>
      </c>
      <c r="D274" t="str">
        <f>INDEX('Pipe Table'!$B$2:$B$14,MATCH(INDEX(TeAllPoints!$I$2:$I$957,MATCH(Filter!B274,TeAllPoints!$B$2:$B$957,0)),'Pipe Table'!$A$2:$A$14,0))</f>
        <v>Wellhead</v>
      </c>
      <c r="E274" t="str">
        <f>INDEX('TE_OA_20200805_INTRDY_2020-08-0'!$H$2:$H$870,MATCH(Filter!B274,'TE_OA_20200805_INTRDY_2020-08-0'!$G$2:$G$870))</f>
        <v>GMT Gas Marketing - #1 Val Holtz, DeWitt Co., TX (REC)</v>
      </c>
      <c r="F274" t="str">
        <f>INDEX('Pipe Table'!$H$2:$H$8,MATCH('TE_OA_20200805_INTRDY_2020-08-0'!I255,'Pipe Table'!$G$2:$G$8,0))</f>
        <v>TETCO-STX</v>
      </c>
      <c r="G274" t="str">
        <f>INDEX(TeAllPoints!$D$2:$D$957,MATCH(Filter!B274,TeAllPoints!$B$2:$B$957,0))</f>
        <v>TX</v>
      </c>
      <c r="H274" t="str">
        <f>INDEX(TeAllPoints!$E$2:$E$957,MATCH(Filter!B274,TeAllPoints!$B$2:$B$957,0))</f>
        <v>DE WITT</v>
      </c>
      <c r="I274">
        <f>INDEX('TE_OA_20200805_INTRDY_2020-08-0'!$Q$2:$Q$870,MATCH(Filter!B274,'TE_OA_20200805_INTRDY_2020-08-0'!$G$2:$G$870))</f>
        <v>4275</v>
      </c>
      <c r="J274">
        <f>INDEX('TE_OA_20200805_INTRDY_2020-08-0'!$R$2:$R$870,MATCH(Filter!B274,'TE_OA_20200805_INTRDY_2020-08-0'!$G$2:$G$870))</f>
        <v>0</v>
      </c>
    </row>
    <row r="275" spans="1:10" x14ac:dyDescent="0.25">
      <c r="A275" t="str">
        <f>INDEX('Pipe Table'!$E$2:$E$10,MATCH(INDEX('TE_OA_20200805_INTRDY_2020-08-0'!$T$2:$T$870,MATCH(Filter!B275,'TE_OA_20200805_INTRDY_2020-08-0'!$G$2:$G$870,0)),'Pipe Table'!$D$2:$D$10,0))</f>
        <v>TETCO</v>
      </c>
      <c r="B275">
        <v>72458</v>
      </c>
      <c r="C275" t="str">
        <f>INDEX('TE_OA_20200805_INTRDY_2020-08-0'!$J$2:$J$870,MATCH(Filter!B275,'TE_OA_20200805_INTRDY_2020-08-0'!$G$2:$G$870))</f>
        <v>Receipt</v>
      </c>
      <c r="D275" t="str">
        <f>INDEX('Pipe Table'!$B$2:$B$14,MATCH(INDEX(TeAllPoints!$I$2:$I$957,MATCH(Filter!B275,TeAllPoints!$B$2:$B$957,0)),'Pipe Table'!$A$2:$A$14,0))</f>
        <v>Wellhead</v>
      </c>
      <c r="E275" t="str">
        <f>INDEX('TE_OA_20200805_INTRDY_2020-08-0'!$H$2:$H$870,MATCH(Filter!B275,'TE_OA_20200805_INTRDY_2020-08-0'!$G$2:$G$870))</f>
        <v>Tracy Production Co. - #1 Fulton Fuller, Nacogdoches Co., TX</v>
      </c>
      <c r="F275" t="str">
        <f>INDEX('Pipe Table'!$H$2:$H$8,MATCH('TE_OA_20200805_INTRDY_2020-08-0'!I256,'Pipe Table'!$G$2:$G$8,0))</f>
        <v>TETCO-ETX</v>
      </c>
      <c r="G275" t="str">
        <f>INDEX(TeAllPoints!$D$2:$D$957,MATCH(Filter!B275,TeAllPoints!$B$2:$B$957,0))</f>
        <v>TX</v>
      </c>
      <c r="H275" t="str">
        <f>INDEX(TeAllPoints!$E$2:$E$957,MATCH(Filter!B275,TeAllPoints!$B$2:$B$957,0))</f>
        <v>NACOGDOCHES</v>
      </c>
      <c r="I275">
        <f>INDEX('TE_OA_20200805_INTRDY_2020-08-0'!$Q$2:$Q$870,MATCH(Filter!B275,'TE_OA_20200805_INTRDY_2020-08-0'!$G$2:$G$870))</f>
        <v>4471</v>
      </c>
      <c r="J275">
        <f>INDEX('TE_OA_20200805_INTRDY_2020-08-0'!$R$2:$R$870,MATCH(Filter!B275,'TE_OA_20200805_INTRDY_2020-08-0'!$G$2:$G$870))</f>
        <v>50</v>
      </c>
    </row>
    <row r="276" spans="1:10" x14ac:dyDescent="0.25">
      <c r="A276" t="str">
        <f>INDEX('Pipe Table'!$E$2:$E$10,MATCH(INDEX('TE_OA_20200805_INTRDY_2020-08-0'!$T$2:$T$870,MATCH(Filter!B276,'TE_OA_20200805_INTRDY_2020-08-0'!$G$2:$G$870,0)),'Pipe Table'!$D$2:$D$10,0))</f>
        <v>TETCO</v>
      </c>
      <c r="B276">
        <v>72476</v>
      </c>
      <c r="C276" t="str">
        <f>INDEX('TE_OA_20200805_INTRDY_2020-08-0'!$J$2:$J$870,MATCH(Filter!B276,'TE_OA_20200805_INTRDY_2020-08-0'!$G$2:$G$870))</f>
        <v>Receipt</v>
      </c>
      <c r="D276" t="str">
        <f>INDEX('Pipe Table'!$B$2:$B$14,MATCH(INDEX(TeAllPoints!$I$2:$I$957,MATCH(Filter!B276,TeAllPoints!$B$2:$B$957,0)),'Pipe Table'!$A$2:$A$14,0))</f>
        <v>Wellhead</v>
      </c>
      <c r="E276" t="str">
        <f>INDEX('TE_OA_20200805_INTRDY_2020-08-0'!$H$2:$H$870,MATCH(Filter!B276,'TE_OA_20200805_INTRDY_2020-08-0'!$G$2:$G$870))</f>
        <v>Bowles Properties - #1 Cherry /  Rusk County, TX</v>
      </c>
      <c r="F276" t="str">
        <f>INDEX('Pipe Table'!$H$2:$H$8,MATCH('TE_OA_20200805_INTRDY_2020-08-0'!I257,'Pipe Table'!$G$2:$G$8,0))</f>
        <v>TETCO-ETX</v>
      </c>
      <c r="G276" t="str">
        <f>INDEX(TeAllPoints!$D$2:$D$957,MATCH(Filter!B276,TeAllPoints!$B$2:$B$957,0))</f>
        <v>TX</v>
      </c>
      <c r="H276" t="str">
        <f>INDEX(TeAllPoints!$E$2:$E$957,MATCH(Filter!B276,TeAllPoints!$B$2:$B$957,0))</f>
        <v>RUSK</v>
      </c>
      <c r="I276">
        <f>INDEX('TE_OA_20200805_INTRDY_2020-08-0'!$Q$2:$Q$870,MATCH(Filter!B276,'TE_OA_20200805_INTRDY_2020-08-0'!$G$2:$G$870))</f>
        <v>10090</v>
      </c>
      <c r="J276">
        <f>INDEX('TE_OA_20200805_INTRDY_2020-08-0'!$R$2:$R$870,MATCH(Filter!B276,'TE_OA_20200805_INTRDY_2020-08-0'!$G$2:$G$870))</f>
        <v>0</v>
      </c>
    </row>
    <row r="277" spans="1:10" x14ac:dyDescent="0.25">
      <c r="A277" t="str">
        <f>INDEX('Pipe Table'!$E$2:$E$10,MATCH(INDEX('TE_OA_20200805_INTRDY_2020-08-0'!$T$2:$T$870,MATCH(Filter!B277,'TE_OA_20200805_INTRDY_2020-08-0'!$G$2:$G$870,0)),'Pipe Table'!$D$2:$D$10,0))</f>
        <v>TETCO</v>
      </c>
      <c r="B277">
        <v>72499</v>
      </c>
      <c r="C277" t="str">
        <f>INDEX('TE_OA_20200805_INTRDY_2020-08-0'!$J$2:$J$870,MATCH(Filter!B277,'TE_OA_20200805_INTRDY_2020-08-0'!$G$2:$G$870))</f>
        <v>Receipt</v>
      </c>
      <c r="D277" t="str">
        <f>INDEX('Pipe Table'!$B$2:$B$14,MATCH(INDEX(TeAllPoints!$I$2:$I$957,MATCH(Filter!B277,TeAllPoints!$B$2:$B$957,0)),'Pipe Table'!$A$2:$A$14,0))</f>
        <v>Intrcnnct</v>
      </c>
      <c r="E277" t="str">
        <f>INDEX('TE_OA_20200805_INTRDY_2020-08-0'!$H$2:$H$870,MATCH(Filter!B277,'TE_OA_20200805_INTRDY_2020-08-0'!$G$2:$G$870))</f>
        <v>Noram - Bald Knob - White, AR</v>
      </c>
      <c r="F277" t="str">
        <f>INDEX('Pipe Table'!$H$2:$H$8,MATCH('TE_OA_20200805_INTRDY_2020-08-0'!I258,'Pipe Table'!$G$2:$G$8,0))</f>
        <v>TETCO-M1</v>
      </c>
      <c r="G277" t="str">
        <f>INDEX(TeAllPoints!$D$2:$D$957,MATCH(Filter!B277,TeAllPoints!$B$2:$B$957,0))</f>
        <v>AR</v>
      </c>
      <c r="H277" t="str">
        <f>INDEX(TeAllPoints!$E$2:$E$957,MATCH(Filter!B277,TeAllPoints!$B$2:$B$957,0))</f>
        <v>WHITE</v>
      </c>
      <c r="I277">
        <f>INDEX('TE_OA_20200805_INTRDY_2020-08-0'!$Q$2:$Q$870,MATCH(Filter!B277,'TE_OA_20200805_INTRDY_2020-08-0'!$G$2:$G$870))</f>
        <v>126675</v>
      </c>
      <c r="J277">
        <f>INDEX('TE_OA_20200805_INTRDY_2020-08-0'!$R$2:$R$870,MATCH(Filter!B277,'TE_OA_20200805_INTRDY_2020-08-0'!$G$2:$G$870))</f>
        <v>15809</v>
      </c>
    </row>
    <row r="278" spans="1:10" x14ac:dyDescent="0.25">
      <c r="A278" t="str">
        <f>INDEX('Pipe Table'!$E$2:$E$10,MATCH(INDEX('TE_OA_20200805_INTRDY_2020-08-0'!$T$2:$T$870,MATCH(Filter!B278,'TE_OA_20200805_INTRDY_2020-08-0'!$G$2:$G$870,0)),'Pipe Table'!$D$2:$D$10,0))</f>
        <v>TETCO</v>
      </c>
      <c r="B278">
        <v>72514</v>
      </c>
      <c r="C278" t="str">
        <f>INDEX('TE_OA_20200805_INTRDY_2020-08-0'!$J$2:$J$870,MATCH(Filter!B278,'TE_OA_20200805_INTRDY_2020-08-0'!$G$2:$G$870))</f>
        <v>Receipt</v>
      </c>
      <c r="D278" t="str">
        <f>INDEX('Pipe Table'!$B$2:$B$14,MATCH(INDEX(TeAllPoints!$I$2:$I$957,MATCH(Filter!B278,TeAllPoints!$B$2:$B$957,0)),'Pipe Table'!$A$2:$A$14,0))</f>
        <v>Wellhead</v>
      </c>
      <c r="E278" t="str">
        <f>INDEX('TE_OA_20200805_INTRDY_2020-08-0'!$H$2:$H$870,MATCH(Filter!B278,'TE_OA_20200805_INTRDY_2020-08-0'!$G$2:$G$870))</f>
        <v>Gibraltar Energy Company - Clay Co., MS</v>
      </c>
      <c r="F278" t="str">
        <f>INDEX('Pipe Table'!$H$2:$H$8,MATCH('TE_OA_20200805_INTRDY_2020-08-0'!I259,'Pipe Table'!$G$2:$G$8,0))</f>
        <v>TETCO-M1</v>
      </c>
      <c r="G278" t="str">
        <f>INDEX(TeAllPoints!$D$2:$D$957,MATCH(Filter!B278,TeAllPoints!$B$2:$B$957,0))</f>
        <v>MS</v>
      </c>
      <c r="H278" t="str">
        <f>INDEX(TeAllPoints!$E$2:$E$957,MATCH(Filter!B278,TeAllPoints!$B$2:$B$957,0))</f>
        <v>CLAY</v>
      </c>
      <c r="I278">
        <f>INDEX('TE_OA_20200805_INTRDY_2020-08-0'!$Q$2:$Q$870,MATCH(Filter!B278,'TE_OA_20200805_INTRDY_2020-08-0'!$G$2:$G$870))</f>
        <v>9369</v>
      </c>
      <c r="J278">
        <f>INDEX('TE_OA_20200805_INTRDY_2020-08-0'!$R$2:$R$870,MATCH(Filter!B278,'TE_OA_20200805_INTRDY_2020-08-0'!$G$2:$G$870))</f>
        <v>0</v>
      </c>
    </row>
    <row r="279" spans="1:10" x14ac:dyDescent="0.25">
      <c r="A279" t="str">
        <f>INDEX('Pipe Table'!$E$2:$E$10,MATCH(INDEX('TE_OA_20200805_INTRDY_2020-08-0'!$T$2:$T$870,MATCH(Filter!B279,'TE_OA_20200805_INTRDY_2020-08-0'!$G$2:$G$870,0)),'Pipe Table'!$D$2:$D$10,0))</f>
        <v>TETCO</v>
      </c>
      <c r="B279">
        <v>72525</v>
      </c>
      <c r="C279" t="str">
        <f>INDEX('TE_OA_20200805_INTRDY_2020-08-0'!$J$2:$J$870,MATCH(Filter!B279,'TE_OA_20200805_INTRDY_2020-08-0'!$G$2:$G$870))</f>
        <v>Receipt</v>
      </c>
      <c r="D279" t="str">
        <f>INDEX('Pipe Table'!$B$2:$B$14,MATCH(INDEX(TeAllPoints!$I$2:$I$957,MATCH(Filter!B279,TeAllPoints!$B$2:$B$957,0)),'Pipe Table'!$A$2:$A$14,0))</f>
        <v>Wellhead</v>
      </c>
      <c r="E279" t="str">
        <f>INDEX('TE_OA_20200805_INTRDY_2020-08-0'!$H$2:$H$870,MATCH(Filter!B279,'TE_OA_20200805_INTRDY_2020-08-0'!$G$2:$G$870))</f>
        <v>Howell Oil &amp; Gas, Inc. - Gooch-Gant Fields CP, Harrison Co.,TX</v>
      </c>
      <c r="F279" t="str">
        <f>INDEX('Pipe Table'!$H$2:$H$8,MATCH('TE_OA_20200805_INTRDY_2020-08-0'!I260,'Pipe Table'!$G$2:$G$8,0))</f>
        <v>TETCO-ETX</v>
      </c>
      <c r="G279" t="str">
        <f>INDEX(TeAllPoints!$D$2:$D$957,MATCH(Filter!B279,TeAllPoints!$B$2:$B$957,0))</f>
        <v>TX</v>
      </c>
      <c r="H279" t="str">
        <f>INDEX(TeAllPoints!$E$2:$E$957,MATCH(Filter!B279,TeAllPoints!$B$2:$B$957,0))</f>
        <v>HARRISON</v>
      </c>
      <c r="I279">
        <f>INDEX('TE_OA_20200805_INTRDY_2020-08-0'!$Q$2:$Q$870,MATCH(Filter!B279,'TE_OA_20200805_INTRDY_2020-08-0'!$G$2:$G$870))</f>
        <v>9732</v>
      </c>
      <c r="J279">
        <f>INDEX('TE_OA_20200805_INTRDY_2020-08-0'!$R$2:$R$870,MATCH(Filter!B279,'TE_OA_20200805_INTRDY_2020-08-0'!$G$2:$G$870))</f>
        <v>1</v>
      </c>
    </row>
    <row r="280" spans="1:10" x14ac:dyDescent="0.25">
      <c r="A280" t="str">
        <f>INDEX('Pipe Table'!$E$2:$E$10,MATCH(INDEX('TE_OA_20200805_INTRDY_2020-08-0'!$T$2:$T$870,MATCH(Filter!B280,'TE_OA_20200805_INTRDY_2020-08-0'!$G$2:$G$870,0)),'Pipe Table'!$D$2:$D$10,0))</f>
        <v>TETCO</v>
      </c>
      <c r="B280">
        <v>72533</v>
      </c>
      <c r="C280" t="str">
        <f>INDEX('TE_OA_20200805_INTRDY_2020-08-0'!$J$2:$J$870,MATCH(Filter!B280,'TE_OA_20200805_INTRDY_2020-08-0'!$G$2:$G$870))</f>
        <v>Delivery</v>
      </c>
      <c r="D280" t="str">
        <f>INDEX('Pipe Table'!$B$2:$B$14,MATCH(INDEX(TeAllPoints!$I$2:$I$957,MATCH(Filter!B280,TeAllPoints!$B$2:$B$957,0)),'Pipe Table'!$A$2:$A$14,0))</f>
        <v>LDC</v>
      </c>
      <c r="E280" t="str">
        <f>INDEX('TE_OA_20200805_INTRDY_2020-08-0'!$H$2:$H$870,MATCH(Filter!B280,'TE_OA_20200805_INTRDY_2020-08-0'!$G$2:$G$870))</f>
        <v>T &amp; F Exploration, LP., MM - Somerset Co., PA</v>
      </c>
      <c r="F280" t="str">
        <f>INDEX('Pipe Table'!$H$2:$H$8,MATCH('TE_OA_20200805_INTRDY_2020-08-0'!I261,'Pipe Table'!$G$2:$G$8,0))</f>
        <v>TETCO-M2</v>
      </c>
      <c r="G280" t="str">
        <f>INDEX(TeAllPoints!$D$2:$D$957,MATCH(Filter!B280,TeAllPoints!$B$2:$B$957,0))</f>
        <v>PA</v>
      </c>
      <c r="H280" t="str">
        <f>INDEX(TeAllPoints!$E$2:$E$957,MATCH(Filter!B280,TeAllPoints!$B$2:$B$957,0))</f>
        <v>SOMERSET</v>
      </c>
      <c r="I280">
        <f>INDEX('TE_OA_20200805_INTRDY_2020-08-0'!$Q$2:$Q$870,MATCH(Filter!B280,'TE_OA_20200805_INTRDY_2020-08-0'!$G$2:$G$870))</f>
        <v>1942</v>
      </c>
      <c r="J280">
        <f>INDEX('TE_OA_20200805_INTRDY_2020-08-0'!$R$2:$R$870,MATCH(Filter!B280,'TE_OA_20200805_INTRDY_2020-08-0'!$G$2:$G$870))</f>
        <v>50</v>
      </c>
    </row>
    <row r="281" spans="1:10" x14ac:dyDescent="0.25">
      <c r="A281" t="str">
        <f>INDEX('Pipe Table'!$E$2:$E$10,MATCH(INDEX('TE_OA_20200805_INTRDY_2020-08-0'!$T$2:$T$870,MATCH(Filter!B281,'TE_OA_20200805_INTRDY_2020-08-0'!$G$2:$G$870,0)),'Pipe Table'!$D$2:$D$10,0))</f>
        <v>TETCO</v>
      </c>
      <c r="B281">
        <v>72536</v>
      </c>
      <c r="C281" t="str">
        <f>INDEX('TE_OA_20200805_INTRDY_2020-08-0'!$J$2:$J$870,MATCH(Filter!B281,'TE_OA_20200805_INTRDY_2020-08-0'!$G$2:$G$870))</f>
        <v>Delivery</v>
      </c>
      <c r="D281" t="str">
        <f>INDEX('Pipe Table'!$B$2:$B$14,MATCH(INDEX(TeAllPoints!$I$2:$I$957,MATCH(Filter!B281,TeAllPoints!$B$2:$B$957,0)),'Pipe Table'!$A$2:$A$14,0))</f>
        <v>LDC</v>
      </c>
      <c r="E281" t="str">
        <f>INDEX('TE_OA_20200805_INTRDY_2020-08-0'!$H$2:$H$870,MATCH(Filter!B281,'TE_OA_20200805_INTRDY_2020-08-0'!$G$2:$G$870))</f>
        <v>Kentucky Energy - Metcalfe, KY</v>
      </c>
      <c r="F281" t="str">
        <f>INDEX('Pipe Table'!$H$2:$H$8,MATCH('TE_OA_20200805_INTRDY_2020-08-0'!I262,'Pipe Table'!$G$2:$G$8,0))</f>
        <v>TETCO-M2</v>
      </c>
      <c r="G281" t="str">
        <f>INDEX(TeAllPoints!$D$2:$D$957,MATCH(Filter!B281,TeAllPoints!$B$2:$B$957,0))</f>
        <v>KY</v>
      </c>
      <c r="H281" t="str">
        <f>INDEX(TeAllPoints!$E$2:$E$957,MATCH(Filter!B281,TeAllPoints!$B$2:$B$957,0))</f>
        <v>METCALFE</v>
      </c>
      <c r="I281">
        <f>INDEX('TE_OA_20200805_INTRDY_2020-08-0'!$Q$2:$Q$870,MATCH(Filter!B281,'TE_OA_20200805_INTRDY_2020-08-0'!$G$2:$G$870))</f>
        <v>3870</v>
      </c>
      <c r="J281">
        <f>INDEX('TE_OA_20200805_INTRDY_2020-08-0'!$R$2:$R$870,MATCH(Filter!B281,'TE_OA_20200805_INTRDY_2020-08-0'!$G$2:$G$870))</f>
        <v>30</v>
      </c>
    </row>
    <row r="282" spans="1:10" x14ac:dyDescent="0.25">
      <c r="A282" t="str">
        <f>INDEX('Pipe Table'!$E$2:$E$10,MATCH(INDEX('TE_OA_20200805_INTRDY_2020-08-0'!$T$2:$T$870,MATCH(Filter!B282,'TE_OA_20200805_INTRDY_2020-08-0'!$G$2:$G$870,0)),'Pipe Table'!$D$2:$D$10,0))</f>
        <v>TETCO</v>
      </c>
      <c r="B282">
        <v>72566</v>
      </c>
      <c r="C282" t="str">
        <f>INDEX('TE_OA_20200805_INTRDY_2020-08-0'!$J$2:$J$870,MATCH(Filter!B282,'TE_OA_20200805_INTRDY_2020-08-0'!$G$2:$G$870))</f>
        <v>Delivery</v>
      </c>
      <c r="D282" t="str">
        <f>INDEX('Pipe Table'!$B$2:$B$14,MATCH(INDEX(TeAllPoints!$I$2:$I$957,MATCH(Filter!B282,TeAllPoints!$B$2:$B$957,0)),'Pipe Table'!$A$2:$A$14,0))</f>
        <v>Intrcnnct</v>
      </c>
      <c r="E282" t="str">
        <f>INDEX('TE_OA_20200805_INTRDY_2020-08-0'!$H$2:$H$870,MATCH(Filter!B282,'TE_OA_20200805_INTRDY_2020-08-0'!$G$2:$G$870))</f>
        <v>American Midstream  Tenn Intrastate - Colbert Co., AL</v>
      </c>
      <c r="F282" t="str">
        <f>INDEX('Pipe Table'!$H$2:$H$8,MATCH('TE_OA_20200805_INTRDY_2020-08-0'!I263,'Pipe Table'!$G$2:$G$8,0))</f>
        <v>TETCO-M1</v>
      </c>
      <c r="G282" t="str">
        <f>INDEX(TeAllPoints!$D$2:$D$957,MATCH(Filter!B282,TeAllPoints!$B$2:$B$957,0))</f>
        <v>AL</v>
      </c>
      <c r="H282" t="str">
        <f>INDEX(TeAllPoints!$E$2:$E$957,MATCH(Filter!B282,TeAllPoints!$B$2:$B$957,0))</f>
        <v>COLBERT</v>
      </c>
      <c r="I282">
        <f>INDEX('TE_OA_20200805_INTRDY_2020-08-0'!$Q$2:$Q$870,MATCH(Filter!B282,'TE_OA_20200805_INTRDY_2020-08-0'!$G$2:$G$870))</f>
        <v>115931</v>
      </c>
      <c r="J282">
        <f>INDEX('TE_OA_20200805_INTRDY_2020-08-0'!$R$2:$R$870,MATCH(Filter!B282,'TE_OA_20200805_INTRDY_2020-08-0'!$G$2:$G$870))</f>
        <v>0</v>
      </c>
    </row>
    <row r="283" spans="1:10" x14ac:dyDescent="0.25">
      <c r="A283" t="str">
        <f>INDEX('Pipe Table'!$E$2:$E$10,MATCH(INDEX('TE_OA_20200805_INTRDY_2020-08-0'!$T$2:$T$870,MATCH(Filter!B283,'TE_OA_20200805_INTRDY_2020-08-0'!$G$2:$G$870,0)),'Pipe Table'!$D$2:$D$10,0))</f>
        <v>TETCO</v>
      </c>
      <c r="B283">
        <v>72568</v>
      </c>
      <c r="C283" t="str">
        <f>INDEX('TE_OA_20200805_INTRDY_2020-08-0'!$J$2:$J$870,MATCH(Filter!B283,'TE_OA_20200805_INTRDY_2020-08-0'!$G$2:$G$870))</f>
        <v>Receipt</v>
      </c>
      <c r="D283" t="str">
        <f>INDEX('Pipe Table'!$B$2:$B$14,MATCH(INDEX(TeAllPoints!$I$2:$I$957,MATCH(Filter!B283,TeAllPoints!$B$2:$B$957,0)),'Pipe Table'!$A$2:$A$14,0))</f>
        <v>Intrcnnct</v>
      </c>
      <c r="E283" t="str">
        <f>INDEX('TE_OA_20200805_INTRDY_2020-08-0'!$H$2:$H$870,MATCH(Filter!B283,'TE_OA_20200805_INTRDY_2020-08-0'!$G$2:$G$870))</f>
        <v>Enable Gas Transmission - West Monroe, LA</v>
      </c>
      <c r="F283" t="str">
        <f>INDEX('Pipe Table'!$H$2:$H$8,MATCH('TE_OA_20200805_INTRDY_2020-08-0'!I264,'Pipe Table'!$G$2:$G$8,0))</f>
        <v>TETCO-ELA</v>
      </c>
      <c r="G283" t="str">
        <f>INDEX(TeAllPoints!$D$2:$D$957,MATCH(Filter!B283,TeAllPoints!$B$2:$B$957,0))</f>
        <v>LA</v>
      </c>
      <c r="H283" t="str">
        <f>INDEX(TeAllPoints!$E$2:$E$957,MATCH(Filter!B283,TeAllPoints!$B$2:$B$957,0))</f>
        <v>OUACHITA</v>
      </c>
      <c r="I283">
        <f>INDEX('TE_OA_20200805_INTRDY_2020-08-0'!$Q$2:$Q$870,MATCH(Filter!B283,'TE_OA_20200805_INTRDY_2020-08-0'!$G$2:$G$870))</f>
        <v>307806</v>
      </c>
      <c r="J283">
        <f>INDEX('TE_OA_20200805_INTRDY_2020-08-0'!$R$2:$R$870,MATCH(Filter!B283,'TE_OA_20200805_INTRDY_2020-08-0'!$G$2:$G$870))</f>
        <v>15000</v>
      </c>
    </row>
    <row r="284" spans="1:10" x14ac:dyDescent="0.25">
      <c r="A284" t="str">
        <f>INDEX('Pipe Table'!$E$2:$E$10,MATCH(INDEX('TE_OA_20200805_INTRDY_2020-08-0'!$T$2:$T$870,MATCH(Filter!B284,'TE_OA_20200805_INTRDY_2020-08-0'!$G$2:$G$870,0)),'Pipe Table'!$D$2:$D$10,0))</f>
        <v>TETCO</v>
      </c>
      <c r="B284">
        <v>72571</v>
      </c>
      <c r="C284" t="str">
        <f>INDEX('TE_OA_20200805_INTRDY_2020-08-0'!$J$2:$J$870,MATCH(Filter!B284,'TE_OA_20200805_INTRDY_2020-08-0'!$G$2:$G$870))</f>
        <v>Delivery</v>
      </c>
      <c r="D284" t="str">
        <f>INDEX('Pipe Table'!$B$2:$B$14,MATCH(INDEX(TeAllPoints!$I$2:$I$957,MATCH(Filter!B284,TeAllPoints!$B$2:$B$957,0)),'Pipe Table'!$A$2:$A$14,0))</f>
        <v>LDC</v>
      </c>
      <c r="E284" t="str">
        <f>INDEX('TE_OA_20200805_INTRDY_2020-08-0'!$H$2:$H$870,MATCH(Filter!B284,'TE_OA_20200805_INTRDY_2020-08-0'!$G$2:$G$870))</f>
        <v>UGI UTIL (Columbia Gas) - Bally, PA</v>
      </c>
      <c r="F284" t="str">
        <f>INDEX('Pipe Table'!$H$2:$H$8,MATCH('TE_OA_20200805_INTRDY_2020-08-0'!I265,'Pipe Table'!$G$2:$G$8,0))</f>
        <v>TETCO-M3</v>
      </c>
      <c r="G284" t="str">
        <f>INDEX(TeAllPoints!$D$2:$D$957,MATCH(Filter!B284,TeAllPoints!$B$2:$B$957,0))</f>
        <v>PA</v>
      </c>
      <c r="H284" t="str">
        <f>INDEX(TeAllPoints!$E$2:$E$957,MATCH(Filter!B284,TeAllPoints!$B$2:$B$957,0))</f>
        <v>BERKS</v>
      </c>
      <c r="I284">
        <f>INDEX('TE_OA_20200805_INTRDY_2020-08-0'!$Q$2:$Q$870,MATCH(Filter!B284,'TE_OA_20200805_INTRDY_2020-08-0'!$G$2:$G$870))</f>
        <v>67554</v>
      </c>
      <c r="J284">
        <f>INDEX('TE_OA_20200805_INTRDY_2020-08-0'!$R$2:$R$870,MATCH(Filter!B284,'TE_OA_20200805_INTRDY_2020-08-0'!$G$2:$G$870))</f>
        <v>130</v>
      </c>
    </row>
    <row r="285" spans="1:10" x14ac:dyDescent="0.25">
      <c r="A285" t="str">
        <f>INDEX('Pipe Table'!$E$2:$E$10,MATCH(INDEX('TE_OA_20200805_INTRDY_2020-08-0'!$T$2:$T$870,MATCH(Filter!B285,'TE_OA_20200805_INTRDY_2020-08-0'!$G$2:$G$870,0)),'Pipe Table'!$D$2:$D$10,0))</f>
        <v>TETCO</v>
      </c>
      <c r="B285">
        <v>72580</v>
      </c>
      <c r="C285" t="str">
        <f>INDEX('TE_OA_20200805_INTRDY_2020-08-0'!$J$2:$J$870,MATCH(Filter!B285,'TE_OA_20200805_INTRDY_2020-08-0'!$G$2:$G$870))</f>
        <v>Delivery</v>
      </c>
      <c r="D285" t="str">
        <f>INDEX('Pipe Table'!$B$2:$B$14,MATCH(INDEX(TeAllPoints!$I$2:$I$957,MATCH(Filter!B285,TeAllPoints!$B$2:$B$957,0)),'Pipe Table'!$A$2:$A$14,0))</f>
        <v>Intrcnnct</v>
      </c>
      <c r="E285" t="str">
        <f>INDEX('TE_OA_20200805_INTRDY_2020-08-0'!$H$2:$H$870,MATCH(Filter!B285,'TE_OA_20200805_INTRDY_2020-08-0'!$G$2:$G$870))</f>
        <v>Southcross Mississippi Pipeline, LP- Hinds, MS - DEL (B/D 76580)</v>
      </c>
      <c r="F285" t="str">
        <f>INDEX('Pipe Table'!$H$2:$H$8,MATCH('TE_OA_20200805_INTRDY_2020-08-0'!I266,'Pipe Table'!$G$2:$G$8,0))</f>
        <v>TETCO-ELA</v>
      </c>
      <c r="G285" t="str">
        <f>INDEX(TeAllPoints!$D$2:$D$957,MATCH(Filter!B285,TeAllPoints!$B$2:$B$957,0))</f>
        <v>MS</v>
      </c>
      <c r="H285" t="str">
        <f>INDEX(TeAllPoints!$E$2:$E$957,MATCH(Filter!B285,TeAllPoints!$B$2:$B$957,0))</f>
        <v>HINDS</v>
      </c>
      <c r="I285">
        <f>INDEX('TE_OA_20200805_INTRDY_2020-08-0'!$Q$2:$Q$870,MATCH(Filter!B285,'TE_OA_20200805_INTRDY_2020-08-0'!$G$2:$G$870))</f>
        <v>97571</v>
      </c>
      <c r="J285">
        <f>INDEX('TE_OA_20200805_INTRDY_2020-08-0'!$R$2:$R$870,MATCH(Filter!B285,'TE_OA_20200805_INTRDY_2020-08-0'!$G$2:$G$870))</f>
        <v>30000</v>
      </c>
    </row>
    <row r="286" spans="1:10" x14ac:dyDescent="0.25">
      <c r="A286" t="str">
        <f>INDEX('Pipe Table'!$E$2:$E$10,MATCH(INDEX('TE_OA_20200805_INTRDY_2020-08-0'!$T$2:$T$870,MATCH(Filter!B286,'TE_OA_20200805_INTRDY_2020-08-0'!$G$2:$G$870,0)),'Pipe Table'!$D$2:$D$10,0))</f>
        <v>TETCO</v>
      </c>
      <c r="B286">
        <v>72584</v>
      </c>
      <c r="C286" t="str">
        <f>INDEX('TE_OA_20200805_INTRDY_2020-08-0'!$J$2:$J$870,MATCH(Filter!B286,'TE_OA_20200805_INTRDY_2020-08-0'!$G$2:$G$870))</f>
        <v>Receipt</v>
      </c>
      <c r="D286" t="str">
        <f>INDEX('Pipe Table'!$B$2:$B$14,MATCH(INDEX(TeAllPoints!$I$2:$I$957,MATCH(Filter!B286,TeAllPoints!$B$2:$B$957,0)),'Pipe Table'!$A$2:$A$14,0))</f>
        <v>Wellhead</v>
      </c>
      <c r="E286" t="str">
        <f>INDEX('TE_OA_20200805_INTRDY_2020-08-0'!$H$2:$H$870,MATCH(Filter!B286,'TE_OA_20200805_INTRDY_2020-08-0'!$G$2:$G$870))</f>
        <v>Woodward Marketing - San Jacinto County, TX</v>
      </c>
      <c r="F286" t="str">
        <f>INDEX('Pipe Table'!$H$2:$H$8,MATCH('TE_OA_20200805_INTRDY_2020-08-0'!I267,'Pipe Table'!$G$2:$G$8,0))</f>
        <v>TETCO-ETX</v>
      </c>
      <c r="G286" t="str">
        <f>INDEX(TeAllPoints!$D$2:$D$957,MATCH(Filter!B286,TeAllPoints!$B$2:$B$957,0))</f>
        <v>TX</v>
      </c>
      <c r="H286" t="str">
        <f>INDEX(TeAllPoints!$E$2:$E$957,MATCH(Filter!B286,TeAllPoints!$B$2:$B$957,0))</f>
        <v>SAN JACINTO</v>
      </c>
      <c r="I286">
        <f>INDEX('TE_OA_20200805_INTRDY_2020-08-0'!$Q$2:$Q$870,MATCH(Filter!B286,'TE_OA_20200805_INTRDY_2020-08-0'!$G$2:$G$870))</f>
        <v>9733</v>
      </c>
      <c r="J286">
        <f>INDEX('TE_OA_20200805_INTRDY_2020-08-0'!$R$2:$R$870,MATCH(Filter!B286,'TE_OA_20200805_INTRDY_2020-08-0'!$G$2:$G$870))</f>
        <v>0</v>
      </c>
    </row>
    <row r="287" spans="1:10" x14ac:dyDescent="0.25">
      <c r="A287" t="str">
        <f>INDEX('Pipe Table'!$E$2:$E$10,MATCH(INDEX('TE_OA_20200805_INTRDY_2020-08-0'!$T$2:$T$870,MATCH(Filter!B287,'TE_OA_20200805_INTRDY_2020-08-0'!$G$2:$G$870,0)),'Pipe Table'!$D$2:$D$10,0))</f>
        <v>TETCO</v>
      </c>
      <c r="B287">
        <v>72587</v>
      </c>
      <c r="C287" t="str">
        <f>INDEX('TE_OA_20200805_INTRDY_2020-08-0'!$J$2:$J$870,MATCH(Filter!B287,'TE_OA_20200805_INTRDY_2020-08-0'!$G$2:$G$870))</f>
        <v>Delivery</v>
      </c>
      <c r="D287" t="str">
        <f>INDEX('Pipe Table'!$B$2:$B$14,MATCH(INDEX(TeAllPoints!$I$2:$I$957,MATCH(Filter!B287,TeAllPoints!$B$2:$B$957,0)),'Pipe Table'!$A$2:$A$14,0))</f>
        <v>EndUsr</v>
      </c>
      <c r="E287" t="str">
        <f>INDEX('TE_OA_20200805_INTRDY_2020-08-0'!$H$2:$H$870,MATCH(Filter!B287,'TE_OA_20200805_INTRDY_2020-08-0'!$G$2:$G$870))</f>
        <v>NRG - Big Cajun Electric, Coupee Psh., LA</v>
      </c>
      <c r="F287" t="str">
        <f>INDEX('Pipe Table'!$H$2:$H$8,MATCH('TE_OA_20200805_INTRDY_2020-08-0'!I268,'Pipe Table'!$G$2:$G$8,0))</f>
        <v>TETCO-ELA</v>
      </c>
      <c r="G287" t="str">
        <f>INDEX(TeAllPoints!$D$2:$D$957,MATCH(Filter!B287,TeAllPoints!$B$2:$B$957,0))</f>
        <v>LA</v>
      </c>
      <c r="H287" t="str">
        <f>INDEX(TeAllPoints!$E$2:$E$957,MATCH(Filter!B287,TeAllPoints!$B$2:$B$957,0))</f>
        <v>POINTE COUPEE</v>
      </c>
      <c r="I287">
        <f>INDEX('TE_OA_20200805_INTRDY_2020-08-0'!$Q$2:$Q$870,MATCH(Filter!B287,'TE_OA_20200805_INTRDY_2020-08-0'!$G$2:$G$870))</f>
        <v>135981</v>
      </c>
      <c r="J287">
        <f>INDEX('TE_OA_20200805_INTRDY_2020-08-0'!$R$2:$R$870,MATCH(Filter!B287,'TE_OA_20200805_INTRDY_2020-08-0'!$G$2:$G$870))</f>
        <v>14000</v>
      </c>
    </row>
    <row r="288" spans="1:10" x14ac:dyDescent="0.25">
      <c r="A288" t="str">
        <f>INDEX('Pipe Table'!$E$2:$E$10,MATCH(INDEX('TE_OA_20200805_INTRDY_2020-08-0'!$T$2:$T$870,MATCH(Filter!B288,'TE_OA_20200805_INTRDY_2020-08-0'!$G$2:$G$870,0)),'Pipe Table'!$D$2:$D$10,0))</f>
        <v>TETCO</v>
      </c>
      <c r="B288">
        <v>72592</v>
      </c>
      <c r="C288" t="str">
        <f>INDEX('TE_OA_20200805_INTRDY_2020-08-0'!$J$2:$J$870,MATCH(Filter!B288,'TE_OA_20200805_INTRDY_2020-08-0'!$G$2:$G$870))</f>
        <v>Receipt</v>
      </c>
      <c r="D288" t="e">
        <f>INDEX('Pipe Table'!$B$2:$B$14,MATCH(INDEX(TeAllPoints!$I$2:$I$957,MATCH(Filter!B288,TeAllPoints!$B$2:$B$957,0)),'Pipe Table'!$A$2:$A$14,0))</f>
        <v>#N/A</v>
      </c>
      <c r="E288" t="str">
        <f>INDEX('TE_OA_20200805_INTRDY_2020-08-0'!$H$2:$H$870,MATCH(Filter!B288,'TE_OA_20200805_INTRDY_2020-08-0'!$G$2:$G$870))</f>
        <v>TransTexas Transm Corp. - Nueces Co., TX</v>
      </c>
      <c r="F288" t="str">
        <f>INDEX('Pipe Table'!$H$2:$H$8,MATCH('TE_OA_20200805_INTRDY_2020-08-0'!I269,'Pipe Table'!$G$2:$G$8,0))</f>
        <v>TETCO-STX</v>
      </c>
      <c r="G288" t="e">
        <f>INDEX(TeAllPoints!$D$2:$D$957,MATCH(Filter!B288,TeAllPoints!$B$2:$B$957,0))</f>
        <v>#N/A</v>
      </c>
      <c r="H288" t="e">
        <f>INDEX(TeAllPoints!$E$2:$E$957,MATCH(Filter!B288,TeAllPoints!$B$2:$B$957,0))</f>
        <v>#N/A</v>
      </c>
      <c r="I288">
        <f>INDEX('TE_OA_20200805_INTRDY_2020-08-0'!$Q$2:$Q$870,MATCH(Filter!B288,'TE_OA_20200805_INTRDY_2020-08-0'!$G$2:$G$870))</f>
        <v>213645</v>
      </c>
      <c r="J288">
        <f>INDEX('TE_OA_20200805_INTRDY_2020-08-0'!$R$2:$R$870,MATCH(Filter!B288,'TE_OA_20200805_INTRDY_2020-08-0'!$G$2:$G$870))</f>
        <v>0</v>
      </c>
    </row>
    <row r="289" spans="1:10" x14ac:dyDescent="0.25">
      <c r="A289" t="str">
        <f>INDEX('Pipe Table'!$E$2:$E$10,MATCH(INDEX('TE_OA_20200805_INTRDY_2020-08-0'!$T$2:$T$870,MATCH(Filter!B289,'TE_OA_20200805_INTRDY_2020-08-0'!$G$2:$G$870,0)),'Pipe Table'!$D$2:$D$10,0))</f>
        <v>TETCO</v>
      </c>
      <c r="B289">
        <v>72594</v>
      </c>
      <c r="C289" t="str">
        <f>INDEX('TE_OA_20200805_INTRDY_2020-08-0'!$J$2:$J$870,MATCH(Filter!B289,'TE_OA_20200805_INTRDY_2020-08-0'!$G$2:$G$870))</f>
        <v>Receipt</v>
      </c>
      <c r="D289" t="str">
        <f>INDEX('Pipe Table'!$B$2:$B$14,MATCH(INDEX(TeAllPoints!$I$2:$I$957,MATCH(Filter!B289,TeAllPoints!$B$2:$B$957,0)),'Pipe Table'!$A$2:$A$14,0))</f>
        <v>Wellhead</v>
      </c>
      <c r="E289" t="str">
        <f>INDEX('TE_OA_20200805_INTRDY_2020-08-0'!$H$2:$H$870,MATCH(Filter!B289,'TE_OA_20200805_INTRDY_2020-08-0'!$G$2:$G$870))</f>
        <v>MHT -Energy Mktg. -Monroe, MS</v>
      </c>
      <c r="F289" t="str">
        <f>INDEX('Pipe Table'!$H$2:$H$8,MATCH('TE_OA_20200805_INTRDY_2020-08-0'!I270,'Pipe Table'!$G$2:$G$8,0))</f>
        <v>TETCO-M1</v>
      </c>
      <c r="G289" t="str">
        <f>INDEX(TeAllPoints!$D$2:$D$957,MATCH(Filter!B289,TeAllPoints!$B$2:$B$957,0))</f>
        <v>MS</v>
      </c>
      <c r="H289" t="str">
        <f>INDEX(TeAllPoints!$E$2:$E$957,MATCH(Filter!B289,TeAllPoints!$B$2:$B$957,0))</f>
        <v>MONROE</v>
      </c>
      <c r="I289">
        <f>INDEX('TE_OA_20200805_INTRDY_2020-08-0'!$Q$2:$Q$870,MATCH(Filter!B289,'TE_OA_20200805_INTRDY_2020-08-0'!$G$2:$G$870))</f>
        <v>17983</v>
      </c>
      <c r="J289">
        <f>INDEX('TE_OA_20200805_INTRDY_2020-08-0'!$R$2:$R$870,MATCH(Filter!B289,'TE_OA_20200805_INTRDY_2020-08-0'!$G$2:$G$870))</f>
        <v>60</v>
      </c>
    </row>
    <row r="290" spans="1:10" x14ac:dyDescent="0.25">
      <c r="A290" t="str">
        <f>INDEX('Pipe Table'!$E$2:$E$10,MATCH(INDEX('TE_OA_20200805_INTRDY_2020-08-0'!$T$2:$T$870,MATCH(Filter!B290,'TE_OA_20200805_INTRDY_2020-08-0'!$G$2:$G$870,0)),'Pipe Table'!$D$2:$D$10,0))</f>
        <v>TETCO</v>
      </c>
      <c r="B290">
        <v>72597</v>
      </c>
      <c r="C290" t="str">
        <f>INDEX('TE_OA_20200805_INTRDY_2020-08-0'!$J$2:$J$870,MATCH(Filter!B290,'TE_OA_20200805_INTRDY_2020-08-0'!$G$2:$G$870))</f>
        <v>Delivery</v>
      </c>
      <c r="D290" t="str">
        <f>INDEX('Pipe Table'!$B$2:$B$14,MATCH(INDEX(TeAllPoints!$I$2:$I$957,MATCH(Filter!B290,TeAllPoints!$B$2:$B$957,0)),'Pipe Table'!$A$2:$A$14,0))</f>
        <v>LDC</v>
      </c>
      <c r="E290" t="str">
        <f>INDEX('TE_OA_20200805_INTRDY_2020-08-0'!$H$2:$H$870,MATCH(Filter!B290,'TE_OA_20200805_INTRDY_2020-08-0'!$G$2:$G$870))</f>
        <v>Arkla -McRae Junct. -White, AR</v>
      </c>
      <c r="F290" t="str">
        <f>INDEX('Pipe Table'!$H$2:$H$8,MATCH('TE_OA_20200805_INTRDY_2020-08-0'!I271,'Pipe Table'!$G$2:$G$8,0))</f>
        <v>TETCO-M1</v>
      </c>
      <c r="G290" t="str">
        <f>INDEX(TeAllPoints!$D$2:$D$957,MATCH(Filter!B290,TeAllPoints!$B$2:$B$957,0))</f>
        <v>AR</v>
      </c>
      <c r="H290" t="str">
        <f>INDEX(TeAllPoints!$E$2:$E$957,MATCH(Filter!B290,TeAllPoints!$B$2:$B$957,0))</f>
        <v>WHITE</v>
      </c>
      <c r="I290">
        <f>INDEX('TE_OA_20200805_INTRDY_2020-08-0'!$Q$2:$Q$870,MATCH(Filter!B290,'TE_OA_20200805_INTRDY_2020-08-0'!$G$2:$G$870))</f>
        <v>2348</v>
      </c>
      <c r="J290">
        <f>INDEX('TE_OA_20200805_INTRDY_2020-08-0'!$R$2:$R$870,MATCH(Filter!B290,'TE_OA_20200805_INTRDY_2020-08-0'!$G$2:$G$870))</f>
        <v>50</v>
      </c>
    </row>
    <row r="291" spans="1:10" x14ac:dyDescent="0.25">
      <c r="A291" t="str">
        <f>INDEX('Pipe Table'!$E$2:$E$10,MATCH(INDEX('TE_OA_20200805_INTRDY_2020-08-0'!$T$2:$T$870,MATCH(Filter!B291,'TE_OA_20200805_INTRDY_2020-08-0'!$G$2:$G$870,0)),'Pipe Table'!$D$2:$D$10,0))</f>
        <v>TETCO</v>
      </c>
      <c r="B291">
        <v>72601</v>
      </c>
      <c r="C291" t="str">
        <f>INDEX('TE_OA_20200805_INTRDY_2020-08-0'!$J$2:$J$870,MATCH(Filter!B291,'TE_OA_20200805_INTRDY_2020-08-0'!$G$2:$G$870))</f>
        <v>Receipt</v>
      </c>
      <c r="D291" t="str">
        <f>INDEX('Pipe Table'!$B$2:$B$14,MATCH(INDEX(TeAllPoints!$I$2:$I$957,MATCH(Filter!B291,TeAllPoints!$B$2:$B$957,0)),'Pipe Table'!$A$2:$A$14,0))</f>
        <v>Intrcnnct</v>
      </c>
      <c r="E291" t="str">
        <f>INDEX('TE_OA_20200805_INTRDY_2020-08-0'!$H$2:$H$870,MATCH(Filter!B291,'TE_OA_20200805_INTRDY_2020-08-0'!$G$2:$G$870))</f>
        <v>Enterprise Texas Pipeline LLC - Matagorda County, TX  (REC)</v>
      </c>
      <c r="F291" t="str">
        <f>INDEX('Pipe Table'!$H$2:$H$8,MATCH('TE_OA_20200805_INTRDY_2020-08-0'!I272,'Pipe Table'!$G$2:$G$8,0))</f>
        <v>TETCO-STX</v>
      </c>
      <c r="G291" t="str">
        <f>INDEX(TeAllPoints!$D$2:$D$957,MATCH(Filter!B291,TeAllPoints!$B$2:$B$957,0))</f>
        <v>TX</v>
      </c>
      <c r="H291" t="str">
        <f>INDEX(TeAllPoints!$E$2:$E$957,MATCH(Filter!B291,TeAllPoints!$B$2:$B$957,0))</f>
        <v>MATAGORDA</v>
      </c>
      <c r="I291">
        <f>INDEX('TE_OA_20200805_INTRDY_2020-08-0'!$Q$2:$Q$870,MATCH(Filter!B291,'TE_OA_20200805_INTRDY_2020-08-0'!$G$2:$G$870))</f>
        <v>294631</v>
      </c>
      <c r="J291">
        <f>INDEX('TE_OA_20200805_INTRDY_2020-08-0'!$R$2:$R$870,MATCH(Filter!B291,'TE_OA_20200805_INTRDY_2020-08-0'!$G$2:$G$870))</f>
        <v>0</v>
      </c>
    </row>
    <row r="292" spans="1:10" x14ac:dyDescent="0.25">
      <c r="A292" t="str">
        <f>INDEX('Pipe Table'!$E$2:$E$10,MATCH(INDEX('TE_OA_20200805_INTRDY_2020-08-0'!$T$2:$T$870,MATCH(Filter!B292,'TE_OA_20200805_INTRDY_2020-08-0'!$G$2:$G$870,0)),'Pipe Table'!$D$2:$D$10,0))</f>
        <v>TETCO</v>
      </c>
      <c r="B292">
        <v>72603</v>
      </c>
      <c r="C292" t="str">
        <f>INDEX('TE_OA_20200805_INTRDY_2020-08-0'!$J$2:$J$870,MATCH(Filter!B292,'TE_OA_20200805_INTRDY_2020-08-0'!$G$2:$G$870))</f>
        <v>Delivery</v>
      </c>
      <c r="D292" t="str">
        <f>INDEX('Pipe Table'!$B$2:$B$14,MATCH(INDEX(TeAllPoints!$I$2:$I$957,MATCH(Filter!B292,TeAllPoints!$B$2:$B$957,0)),'Pipe Table'!$A$2:$A$14,0))</f>
        <v>Intrcnnct</v>
      </c>
      <c r="E292" t="str">
        <f>INDEX('TE_OA_20200805_INTRDY_2020-08-0'!$H$2:$H$870,MATCH(Filter!B292,'TE_OA_20200805_INTRDY_2020-08-0'!$G$2:$G$870))</f>
        <v>Kinder Morgan Tejas (from TE) upRiver Rd., Nueces Co</v>
      </c>
      <c r="F292" t="str">
        <f>INDEX('Pipe Table'!$H$2:$H$8,MATCH('TE_OA_20200805_INTRDY_2020-08-0'!I273,'Pipe Table'!$G$2:$G$8,0))</f>
        <v>TETCO-STX</v>
      </c>
      <c r="G292" t="str">
        <f>INDEX(TeAllPoints!$D$2:$D$957,MATCH(Filter!B292,TeAllPoints!$B$2:$B$957,0))</f>
        <v>TX</v>
      </c>
      <c r="H292" t="str">
        <f>INDEX(TeAllPoints!$E$2:$E$957,MATCH(Filter!B292,TeAllPoints!$B$2:$B$957,0))</f>
        <v>NUECES</v>
      </c>
      <c r="I292">
        <f>INDEX('TE_OA_20200805_INTRDY_2020-08-0'!$Q$2:$Q$870,MATCH(Filter!B292,'TE_OA_20200805_INTRDY_2020-08-0'!$G$2:$G$870))</f>
        <v>131284</v>
      </c>
      <c r="J292">
        <f>INDEX('TE_OA_20200805_INTRDY_2020-08-0'!$R$2:$R$870,MATCH(Filter!B292,'TE_OA_20200805_INTRDY_2020-08-0'!$G$2:$G$870))</f>
        <v>40000</v>
      </c>
    </row>
    <row r="293" spans="1:10" x14ac:dyDescent="0.25">
      <c r="A293" t="str">
        <f>INDEX('Pipe Table'!$E$2:$E$10,MATCH(INDEX('TE_OA_20200805_INTRDY_2020-08-0'!$T$2:$T$870,MATCH(Filter!B293,'TE_OA_20200805_INTRDY_2020-08-0'!$G$2:$G$870,0)),'Pipe Table'!$D$2:$D$10,0))</f>
        <v>TETCO</v>
      </c>
      <c r="B293">
        <v>72604</v>
      </c>
      <c r="C293" t="str">
        <f>INDEX('TE_OA_20200805_INTRDY_2020-08-0'!$J$2:$J$870,MATCH(Filter!B293,'TE_OA_20200805_INTRDY_2020-08-0'!$G$2:$G$870))</f>
        <v>Delivery</v>
      </c>
      <c r="D293" t="str">
        <f>INDEX('Pipe Table'!$B$2:$B$14,MATCH(INDEX(TeAllPoints!$I$2:$I$957,MATCH(Filter!B293,TeAllPoints!$B$2:$B$957,0)),'Pipe Table'!$A$2:$A$14,0))</f>
        <v>Intrcnnct</v>
      </c>
      <c r="E293" t="str">
        <f>INDEX('TE_OA_20200805_INTRDY_2020-08-0'!$H$2:$H$870,MATCH(Filter!B293,'TE_OA_20200805_INTRDY_2020-08-0'!$G$2:$G$870))</f>
        <v>Entergy Louisiana,LLC Beauregard Psh., LA</v>
      </c>
      <c r="F293" t="str">
        <f>INDEX('Pipe Table'!$H$2:$H$8,MATCH('TE_OA_20200805_INTRDY_2020-08-0'!I274,'Pipe Table'!$G$2:$G$8,0))</f>
        <v>TETCO-WLA</v>
      </c>
      <c r="G293" t="str">
        <f>INDEX(TeAllPoints!$D$2:$D$957,MATCH(Filter!B293,TeAllPoints!$B$2:$B$957,0))</f>
        <v>LA</v>
      </c>
      <c r="H293" t="str">
        <f>INDEX(TeAllPoints!$E$2:$E$957,MATCH(Filter!B293,TeAllPoints!$B$2:$B$957,0))</f>
        <v>BEAUREGARD</v>
      </c>
      <c r="I293">
        <f>INDEX('TE_OA_20200805_INTRDY_2020-08-0'!$Q$2:$Q$870,MATCH(Filter!B293,'TE_OA_20200805_INTRDY_2020-08-0'!$G$2:$G$870))</f>
        <v>195931</v>
      </c>
      <c r="J293">
        <f>INDEX('TE_OA_20200805_INTRDY_2020-08-0'!$R$2:$R$870,MATCH(Filter!B293,'TE_OA_20200805_INTRDY_2020-08-0'!$G$2:$G$870))</f>
        <v>64708</v>
      </c>
    </row>
    <row r="294" spans="1:10" x14ac:dyDescent="0.25">
      <c r="A294" t="str">
        <f>INDEX('Pipe Table'!$E$2:$E$10,MATCH(INDEX('TE_OA_20200805_INTRDY_2020-08-0'!$T$2:$T$870,MATCH(Filter!B294,'TE_OA_20200805_INTRDY_2020-08-0'!$G$2:$G$870,0)),'Pipe Table'!$D$2:$D$10,0))</f>
        <v>TETCO</v>
      </c>
      <c r="B294">
        <v>72614</v>
      </c>
      <c r="C294" t="str">
        <f>INDEX('TE_OA_20200805_INTRDY_2020-08-0'!$J$2:$J$870,MATCH(Filter!B294,'TE_OA_20200805_INTRDY_2020-08-0'!$G$2:$G$870))</f>
        <v>Receipt</v>
      </c>
      <c r="D294" t="str">
        <f>INDEX('Pipe Table'!$B$2:$B$14,MATCH(INDEX(TeAllPoints!$I$2:$I$957,MATCH(Filter!B294,TeAllPoints!$B$2:$B$957,0)),'Pipe Table'!$A$2:$A$14,0))</f>
        <v>Intrcnnct</v>
      </c>
      <c r="E294" t="str">
        <f>INDEX('TE_OA_20200805_INTRDY_2020-08-0'!$H$2:$H$870,MATCH(Filter!B294,'TE_OA_20200805_INTRDY_2020-08-0'!$G$2:$G$870))</f>
        <v>Transok - Ouachita Psh., LA</v>
      </c>
      <c r="F294" t="str">
        <f>INDEX('Pipe Table'!$H$2:$H$8,MATCH('TE_OA_20200805_INTRDY_2020-08-0'!I275,'Pipe Table'!$G$2:$G$8,0))</f>
        <v>TETCO-ELA</v>
      </c>
      <c r="G294" t="str">
        <f>INDEX(TeAllPoints!$D$2:$D$957,MATCH(Filter!B294,TeAllPoints!$B$2:$B$957,0))</f>
        <v>LA</v>
      </c>
      <c r="H294" t="str">
        <f>INDEX(TeAllPoints!$E$2:$E$957,MATCH(Filter!B294,TeAllPoints!$B$2:$B$957,0))</f>
        <v>OUACHITA</v>
      </c>
      <c r="I294">
        <f>INDEX('TE_OA_20200805_INTRDY_2020-08-0'!$Q$2:$Q$870,MATCH(Filter!B294,'TE_OA_20200805_INTRDY_2020-08-0'!$G$2:$G$870))</f>
        <v>157102</v>
      </c>
      <c r="J294">
        <f>INDEX('TE_OA_20200805_INTRDY_2020-08-0'!$R$2:$R$870,MATCH(Filter!B294,'TE_OA_20200805_INTRDY_2020-08-0'!$G$2:$G$870))</f>
        <v>17400</v>
      </c>
    </row>
    <row r="295" spans="1:10" x14ac:dyDescent="0.25">
      <c r="A295" t="str">
        <f>INDEX('Pipe Table'!$E$2:$E$10,MATCH(INDEX('TE_OA_20200805_INTRDY_2020-08-0'!$T$2:$T$870,MATCH(Filter!B295,'TE_OA_20200805_INTRDY_2020-08-0'!$G$2:$G$870,0)),'Pipe Table'!$D$2:$D$10,0))</f>
        <v>TETCO</v>
      </c>
      <c r="B295">
        <v>72616</v>
      </c>
      <c r="C295" t="str">
        <f>INDEX('TE_OA_20200805_INTRDY_2020-08-0'!$J$2:$J$870,MATCH(Filter!B295,'TE_OA_20200805_INTRDY_2020-08-0'!$G$2:$G$870))</f>
        <v>Receipt</v>
      </c>
      <c r="D295" t="str">
        <f>INDEX('Pipe Table'!$B$2:$B$14,MATCH(INDEX(TeAllPoints!$I$2:$I$957,MATCH(Filter!B295,TeAllPoints!$B$2:$B$957,0)),'Pipe Table'!$A$2:$A$14,0))</f>
        <v>Wellhead</v>
      </c>
      <c r="E295" t="str">
        <f>INDEX('TE_OA_20200805_INTRDY_2020-08-0'!$H$2:$H$870,MATCH(Filter!B295,'TE_OA_20200805_INTRDY_2020-08-0'!$G$2:$G$870))</f>
        <v>Cantium, LLC - MP 30</v>
      </c>
      <c r="F295" t="str">
        <f>INDEX('Pipe Table'!$H$2:$H$8,MATCH('TE_OA_20200805_INTRDY_2020-08-0'!I276,'Pipe Table'!$G$2:$G$8,0))</f>
        <v>TETCO-ELA</v>
      </c>
      <c r="G295" t="str">
        <f>INDEX(TeAllPoints!$D$2:$D$957,MATCH(Filter!B295,TeAllPoints!$B$2:$B$957,0))</f>
        <v>OF</v>
      </c>
      <c r="H295" t="str">
        <f>INDEX(TeAllPoints!$E$2:$E$957,MATCH(Filter!B295,TeAllPoints!$B$2:$B$957,0))</f>
        <v>MAIN PASS</v>
      </c>
      <c r="I295">
        <f>INDEX('TE_OA_20200805_INTRDY_2020-08-0'!$Q$2:$Q$870,MATCH(Filter!B295,'TE_OA_20200805_INTRDY_2020-08-0'!$G$2:$G$870))</f>
        <v>70955</v>
      </c>
      <c r="J295">
        <f>INDEX('TE_OA_20200805_INTRDY_2020-08-0'!$R$2:$R$870,MATCH(Filter!B295,'TE_OA_20200805_INTRDY_2020-08-0'!$G$2:$G$870))</f>
        <v>30</v>
      </c>
    </row>
    <row r="296" spans="1:10" x14ac:dyDescent="0.25">
      <c r="A296" t="str">
        <f>INDEX('Pipe Table'!$E$2:$E$10,MATCH(INDEX('TE_OA_20200805_INTRDY_2020-08-0'!$T$2:$T$870,MATCH(Filter!B296,'TE_OA_20200805_INTRDY_2020-08-0'!$G$2:$G$870,0)),'Pipe Table'!$D$2:$D$10,0))</f>
        <v>TETCO</v>
      </c>
      <c r="B296">
        <v>72621</v>
      </c>
      <c r="C296" t="str">
        <f>INDEX('TE_OA_20200805_INTRDY_2020-08-0'!$J$2:$J$870,MATCH(Filter!B296,'TE_OA_20200805_INTRDY_2020-08-0'!$G$2:$G$870))</f>
        <v>Receipt</v>
      </c>
      <c r="D296" t="str">
        <f>INDEX('Pipe Table'!$B$2:$B$14,MATCH(INDEX(TeAllPoints!$I$2:$I$957,MATCH(Filter!B296,TeAllPoints!$B$2:$B$957,0)),'Pipe Table'!$A$2:$A$14,0))</f>
        <v>Wellhead</v>
      </c>
      <c r="E296" t="str">
        <f>INDEX('TE_OA_20200805_INTRDY_2020-08-0'!$H$2:$H$870,MATCH(Filter!B296,'TE_OA_20200805_INTRDY_2020-08-0'!$G$2:$G$870))</f>
        <v>Williams Field Services  - Duval Co., TX</v>
      </c>
      <c r="F296" t="str">
        <f>INDEX('Pipe Table'!$H$2:$H$8,MATCH('TE_OA_20200805_INTRDY_2020-08-0'!I277,'Pipe Table'!$G$2:$G$8,0))</f>
        <v>TETCO-STX</v>
      </c>
      <c r="G296" t="str">
        <f>INDEX(TeAllPoints!$D$2:$D$957,MATCH(Filter!B296,TeAllPoints!$B$2:$B$957,0))</f>
        <v>TX</v>
      </c>
      <c r="H296" t="str">
        <f>INDEX(TeAllPoints!$E$2:$E$957,MATCH(Filter!B296,TeAllPoints!$B$2:$B$957,0))</f>
        <v>DUVAL</v>
      </c>
      <c r="I296">
        <f>INDEX('TE_OA_20200805_INTRDY_2020-08-0'!$Q$2:$Q$870,MATCH(Filter!B296,'TE_OA_20200805_INTRDY_2020-08-0'!$G$2:$G$870))</f>
        <v>66456</v>
      </c>
      <c r="J296">
        <f>INDEX('TE_OA_20200805_INTRDY_2020-08-0'!$R$2:$R$870,MATCH(Filter!B296,'TE_OA_20200805_INTRDY_2020-08-0'!$G$2:$G$870))</f>
        <v>0</v>
      </c>
    </row>
    <row r="297" spans="1:10" x14ac:dyDescent="0.25">
      <c r="A297" t="str">
        <f>INDEX('Pipe Table'!$E$2:$E$10,MATCH(INDEX('TE_OA_20200805_INTRDY_2020-08-0'!$T$2:$T$870,MATCH(Filter!B297,'TE_OA_20200805_INTRDY_2020-08-0'!$G$2:$G$870,0)),'Pipe Table'!$D$2:$D$10,0))</f>
        <v>TETCO</v>
      </c>
      <c r="B297">
        <v>72626</v>
      </c>
      <c r="C297" t="str">
        <f>INDEX('TE_OA_20200805_INTRDY_2020-08-0'!$J$2:$J$870,MATCH(Filter!B297,'TE_OA_20200805_INTRDY_2020-08-0'!$G$2:$G$870))</f>
        <v>Receipt</v>
      </c>
      <c r="D297" t="str">
        <f>INDEX('Pipe Table'!$B$2:$B$14,MATCH(INDEX(TeAllPoints!$I$2:$I$957,MATCH(Filter!B297,TeAllPoints!$B$2:$B$957,0)),'Pipe Table'!$A$2:$A$14,0))</f>
        <v>Wellhead</v>
      </c>
      <c r="E297" t="str">
        <f>INDEX('TE_OA_20200805_INTRDY_2020-08-0'!$H$2:$H$870,MATCH(Filter!B297,'TE_OA_20200805_INTRDY_2020-08-0'!$G$2:$G$870))</f>
        <v>Wing Corp - C.P., Dewitt County, TX (REC)</v>
      </c>
      <c r="F297" t="str">
        <f>INDEX('Pipe Table'!$H$2:$H$8,MATCH('TE_OA_20200805_INTRDY_2020-08-0'!I278,'Pipe Table'!$G$2:$G$8,0))</f>
        <v>TETCO-STX</v>
      </c>
      <c r="G297" t="str">
        <f>INDEX(TeAllPoints!$D$2:$D$957,MATCH(Filter!B297,TeAllPoints!$B$2:$B$957,0))</f>
        <v>TX</v>
      </c>
      <c r="H297" t="str">
        <f>INDEX(TeAllPoints!$E$2:$E$957,MATCH(Filter!B297,TeAllPoints!$B$2:$B$957,0))</f>
        <v>DE WITT</v>
      </c>
      <c r="I297">
        <f>INDEX('TE_OA_20200805_INTRDY_2020-08-0'!$Q$2:$Q$870,MATCH(Filter!B297,'TE_OA_20200805_INTRDY_2020-08-0'!$G$2:$G$870))</f>
        <v>15647</v>
      </c>
      <c r="J297">
        <f>INDEX('TE_OA_20200805_INTRDY_2020-08-0'!$R$2:$R$870,MATCH(Filter!B297,'TE_OA_20200805_INTRDY_2020-08-0'!$G$2:$G$870))</f>
        <v>0</v>
      </c>
    </row>
    <row r="298" spans="1:10" x14ac:dyDescent="0.25">
      <c r="A298" t="str">
        <f>INDEX('Pipe Table'!$E$2:$E$10,MATCH(INDEX('TE_OA_20200805_INTRDY_2020-08-0'!$T$2:$T$870,MATCH(Filter!B298,'TE_OA_20200805_INTRDY_2020-08-0'!$G$2:$G$870,0)),'Pipe Table'!$D$2:$D$10,0))</f>
        <v>TETCO</v>
      </c>
      <c r="B298">
        <v>72636</v>
      </c>
      <c r="C298" t="str">
        <f>INDEX('TE_OA_20200805_INTRDY_2020-08-0'!$J$2:$J$870,MATCH(Filter!B298,'TE_OA_20200805_INTRDY_2020-08-0'!$G$2:$G$870))</f>
        <v>Delivery</v>
      </c>
      <c r="D298" t="str">
        <f>INDEX('Pipe Table'!$B$2:$B$14,MATCH(INDEX(TeAllPoints!$I$2:$I$957,MATCH(Filter!B298,TeAllPoints!$B$2:$B$957,0)),'Pipe Table'!$A$2:$A$14,0))</f>
        <v>LDC</v>
      </c>
      <c r="E298" t="str">
        <f>INDEX('TE_OA_20200805_INTRDY_2020-08-0'!$H$2:$H$870,MATCH(Filter!B298,'TE_OA_20200805_INTRDY_2020-08-0'!$G$2:$G$870))</f>
        <v>PECO Energy - Montgomery Co., PA</v>
      </c>
      <c r="F298" t="str">
        <f>INDEX('Pipe Table'!$H$2:$H$8,MATCH('TE_OA_20200805_INTRDY_2020-08-0'!I279,'Pipe Table'!$G$2:$G$8,0))</f>
        <v>TETCO-M3</v>
      </c>
      <c r="G298" t="str">
        <f>INDEX(TeAllPoints!$D$2:$D$957,MATCH(Filter!B298,TeAllPoints!$B$2:$B$957,0))</f>
        <v>PA</v>
      </c>
      <c r="H298" t="str">
        <f>INDEX(TeAllPoints!$E$2:$E$957,MATCH(Filter!B298,TeAllPoints!$B$2:$B$957,0))</f>
        <v>MONTGOMERY</v>
      </c>
      <c r="I298">
        <f>INDEX('TE_OA_20200805_INTRDY_2020-08-0'!$Q$2:$Q$870,MATCH(Filter!B298,'TE_OA_20200805_INTRDY_2020-08-0'!$G$2:$G$870))</f>
        <v>46674</v>
      </c>
      <c r="J298">
        <f>INDEX('TE_OA_20200805_INTRDY_2020-08-0'!$R$2:$R$870,MATCH(Filter!B298,'TE_OA_20200805_INTRDY_2020-08-0'!$G$2:$G$870))</f>
        <v>0</v>
      </c>
    </row>
    <row r="299" spans="1:10" x14ac:dyDescent="0.25">
      <c r="A299" t="str">
        <f>INDEX('Pipe Table'!$E$2:$E$10,MATCH(INDEX('TE_OA_20200805_INTRDY_2020-08-0'!$T$2:$T$870,MATCH(Filter!B299,'TE_OA_20200805_INTRDY_2020-08-0'!$G$2:$G$870,0)),'Pipe Table'!$D$2:$D$10,0))</f>
        <v>TETCO</v>
      </c>
      <c r="B299">
        <v>72637</v>
      </c>
      <c r="C299" t="str">
        <f>INDEX('TE_OA_20200805_INTRDY_2020-08-0'!$J$2:$J$870,MATCH(Filter!B299,'TE_OA_20200805_INTRDY_2020-08-0'!$G$2:$G$870))</f>
        <v>Delivery</v>
      </c>
      <c r="D299" t="str">
        <f>INDEX('Pipe Table'!$B$2:$B$14,MATCH(INDEX(TeAllPoints!$I$2:$I$957,MATCH(Filter!B299,TeAllPoints!$B$2:$B$957,0)),'Pipe Table'!$A$2:$A$14,0))</f>
        <v>Intrcnnct</v>
      </c>
      <c r="E299" t="str">
        <f>INDEX('TE_OA_20200805_INTRDY_2020-08-0'!$H$2:$H$870,MATCH(Filter!B299,'TE_OA_20200805_INTRDY_2020-08-0'!$G$2:$G$870))</f>
        <v>Columbia Gas - Pickaway Co. OH</v>
      </c>
      <c r="F299" t="str">
        <f>INDEX('Pipe Table'!$H$2:$H$8,MATCH('TE_OA_20200805_INTRDY_2020-08-0'!I280,'Pipe Table'!$G$2:$G$8,0))</f>
        <v>TETCO-M2</v>
      </c>
      <c r="G299" t="str">
        <f>INDEX(TeAllPoints!$D$2:$D$957,MATCH(Filter!B299,TeAllPoints!$B$2:$B$957,0))</f>
        <v>OH</v>
      </c>
      <c r="H299" t="str">
        <f>INDEX(TeAllPoints!$E$2:$E$957,MATCH(Filter!B299,TeAllPoints!$B$2:$B$957,0))</f>
        <v>PICKAWAY</v>
      </c>
      <c r="I299">
        <f>INDEX('TE_OA_20200805_INTRDY_2020-08-0'!$Q$2:$Q$870,MATCH(Filter!B299,'TE_OA_20200805_INTRDY_2020-08-0'!$G$2:$G$870))</f>
        <v>189294</v>
      </c>
      <c r="J299">
        <f>INDEX('TE_OA_20200805_INTRDY_2020-08-0'!$R$2:$R$870,MATCH(Filter!B299,'TE_OA_20200805_INTRDY_2020-08-0'!$G$2:$G$870))</f>
        <v>3000</v>
      </c>
    </row>
    <row r="300" spans="1:10" x14ac:dyDescent="0.25">
      <c r="A300" t="str">
        <f>INDEX('Pipe Table'!$E$2:$E$10,MATCH(INDEX('TE_OA_20200805_INTRDY_2020-08-0'!$T$2:$T$870,MATCH(Filter!B300,'TE_OA_20200805_INTRDY_2020-08-0'!$G$2:$G$870,0)),'Pipe Table'!$D$2:$D$10,0))</f>
        <v>TETCO</v>
      </c>
      <c r="B300">
        <v>72648</v>
      </c>
      <c r="C300" t="str">
        <f>INDEX('TE_OA_20200805_INTRDY_2020-08-0'!$J$2:$J$870,MATCH(Filter!B300,'TE_OA_20200805_INTRDY_2020-08-0'!$G$2:$G$870))</f>
        <v>Delivery</v>
      </c>
      <c r="D300" t="str">
        <f>INDEX('Pipe Table'!$B$2:$B$14,MATCH(INDEX(TeAllPoints!$I$2:$I$957,MATCH(Filter!B300,TeAllPoints!$B$2:$B$957,0)),'Pipe Table'!$A$2:$A$14,0))</f>
        <v>LDC</v>
      </c>
      <c r="E300" t="str">
        <f>INDEX('TE_OA_20200805_INTRDY_2020-08-0'!$H$2:$H$870,MATCH(Filter!B300,'TE_OA_20200805_INTRDY_2020-08-0'!$G$2:$G$870))</f>
        <v>So. Ind. Gas &amp; El. -Posey, IN</v>
      </c>
      <c r="F300" t="str">
        <f>INDEX('Pipe Table'!$H$2:$H$8,MATCH('TE_OA_20200805_INTRDY_2020-08-0'!I281,'Pipe Table'!$G$2:$G$8,0))</f>
        <v>TETCO-M2</v>
      </c>
      <c r="G300" t="str">
        <f>INDEX(TeAllPoints!$D$2:$D$957,MATCH(Filter!B300,TeAllPoints!$B$2:$B$957,0))</f>
        <v>IN</v>
      </c>
      <c r="H300" t="str">
        <f>INDEX(TeAllPoints!$E$2:$E$957,MATCH(Filter!B300,TeAllPoints!$B$2:$B$957,0))</f>
        <v>POSEY</v>
      </c>
      <c r="I300">
        <f>INDEX('TE_OA_20200805_INTRDY_2020-08-0'!$Q$2:$Q$870,MATCH(Filter!B300,'TE_OA_20200805_INTRDY_2020-08-0'!$G$2:$G$870))</f>
        <v>167636</v>
      </c>
      <c r="J300">
        <f>INDEX('TE_OA_20200805_INTRDY_2020-08-0'!$R$2:$R$870,MATCH(Filter!B300,'TE_OA_20200805_INTRDY_2020-08-0'!$G$2:$G$870))</f>
        <v>0</v>
      </c>
    </row>
    <row r="301" spans="1:10" x14ac:dyDescent="0.25">
      <c r="A301" t="str">
        <f>INDEX('Pipe Table'!$E$2:$E$10,MATCH(INDEX('TE_OA_20200805_INTRDY_2020-08-0'!$T$2:$T$870,MATCH(Filter!B301,'TE_OA_20200805_INTRDY_2020-08-0'!$G$2:$G$870,0)),'Pipe Table'!$D$2:$D$10,0))</f>
        <v>TETCO</v>
      </c>
      <c r="B301">
        <v>72649</v>
      </c>
      <c r="C301" t="str">
        <f>INDEX('TE_OA_20200805_INTRDY_2020-08-0'!$J$2:$J$870,MATCH(Filter!B301,'TE_OA_20200805_INTRDY_2020-08-0'!$G$2:$G$870))</f>
        <v>Delivery</v>
      </c>
      <c r="D301" t="str">
        <f>INDEX('Pipe Table'!$B$2:$B$14,MATCH(INDEX(TeAllPoints!$I$2:$I$957,MATCH(Filter!B301,TeAllPoints!$B$2:$B$957,0)),'Pipe Table'!$A$2:$A$14,0))</f>
        <v>EndUsr</v>
      </c>
      <c r="E301" t="str">
        <f>INDEX('TE_OA_20200805_INTRDY_2020-08-0'!$H$2:$H$870,MATCH(Filter!B301,'TE_OA_20200805_INTRDY_2020-08-0'!$G$2:$G$870))</f>
        <v>Sun R&amp;M - Philadelphia Co., PA</v>
      </c>
      <c r="F301" t="str">
        <f>INDEX('Pipe Table'!$H$2:$H$8,MATCH('TE_OA_20200805_INTRDY_2020-08-0'!I282,'Pipe Table'!$G$2:$G$8,0))</f>
        <v>TETCO-M3</v>
      </c>
      <c r="G301" t="str">
        <f>INDEX(TeAllPoints!$D$2:$D$957,MATCH(Filter!B301,TeAllPoints!$B$2:$B$957,0))</f>
        <v>PA</v>
      </c>
      <c r="H301" t="str">
        <f>INDEX(TeAllPoints!$E$2:$E$957,MATCH(Filter!B301,TeAllPoints!$B$2:$B$957,0))</f>
        <v>PHILADELPHIA</v>
      </c>
      <c r="I301">
        <f>INDEX('TE_OA_20200805_INTRDY_2020-08-0'!$Q$2:$Q$870,MATCH(Filter!B301,'TE_OA_20200805_INTRDY_2020-08-0'!$G$2:$G$870))</f>
        <v>35000</v>
      </c>
      <c r="J301">
        <f>INDEX('TE_OA_20200805_INTRDY_2020-08-0'!$R$2:$R$870,MATCH(Filter!B301,'TE_OA_20200805_INTRDY_2020-08-0'!$G$2:$G$870))</f>
        <v>4000</v>
      </c>
    </row>
    <row r="302" spans="1:10" x14ac:dyDescent="0.25">
      <c r="A302" t="str">
        <f>INDEX('Pipe Table'!$E$2:$E$10,MATCH(INDEX('TE_OA_20200805_INTRDY_2020-08-0'!$T$2:$T$870,MATCH(Filter!B302,'TE_OA_20200805_INTRDY_2020-08-0'!$G$2:$G$870,0)),'Pipe Table'!$D$2:$D$10,0))</f>
        <v>TETCO</v>
      </c>
      <c r="B302">
        <v>72654</v>
      </c>
      <c r="C302" t="str">
        <f>INDEX('TE_OA_20200805_INTRDY_2020-08-0'!$J$2:$J$870,MATCH(Filter!B302,'TE_OA_20200805_INTRDY_2020-08-0'!$G$2:$G$870))</f>
        <v>Receipt</v>
      </c>
      <c r="D302" t="str">
        <f>INDEX('Pipe Table'!$B$2:$B$14,MATCH(INDEX(TeAllPoints!$I$2:$I$957,MATCH(Filter!B302,TeAllPoints!$B$2:$B$957,0)),'Pipe Table'!$A$2:$A$14,0))</f>
        <v>Wellhead</v>
      </c>
      <c r="E302" t="str">
        <f>INDEX('TE_OA_20200805_INTRDY_2020-08-0'!$H$2:$H$870,MATCH(Filter!B302,'TE_OA_20200805_INTRDY_2020-08-0'!$G$2:$G$870))</f>
        <v>BlueStone Natural Resources, LLC- Bonne Terre Field, McMullen Co.,</v>
      </c>
      <c r="F302" t="str">
        <f>INDEX('Pipe Table'!$H$2:$H$8,MATCH('TE_OA_20200805_INTRDY_2020-08-0'!I283,'Pipe Table'!$G$2:$G$8,0))</f>
        <v>TETCO-STX</v>
      </c>
      <c r="G302" t="str">
        <f>INDEX(TeAllPoints!$D$2:$D$957,MATCH(Filter!B302,TeAllPoints!$B$2:$B$957,0))</f>
        <v>TX</v>
      </c>
      <c r="H302" t="str">
        <f>INDEX(TeAllPoints!$E$2:$E$957,MATCH(Filter!B302,TeAllPoints!$B$2:$B$957,0))</f>
        <v>MC MULLEN</v>
      </c>
      <c r="I302">
        <f>INDEX('TE_OA_20200805_INTRDY_2020-08-0'!$Q$2:$Q$870,MATCH(Filter!B302,'TE_OA_20200805_INTRDY_2020-08-0'!$G$2:$G$870))</f>
        <v>65813</v>
      </c>
      <c r="J302">
        <f>INDEX('TE_OA_20200805_INTRDY_2020-08-0'!$R$2:$R$870,MATCH(Filter!B302,'TE_OA_20200805_INTRDY_2020-08-0'!$G$2:$G$870))</f>
        <v>120</v>
      </c>
    </row>
    <row r="303" spans="1:10" x14ac:dyDescent="0.25">
      <c r="A303" t="str">
        <f>INDEX('Pipe Table'!$E$2:$E$10,MATCH(INDEX('TE_OA_20200805_INTRDY_2020-08-0'!$T$2:$T$870,MATCH(Filter!B303,'TE_OA_20200805_INTRDY_2020-08-0'!$G$2:$G$870,0)),'Pipe Table'!$D$2:$D$10,0))</f>
        <v>TETCO</v>
      </c>
      <c r="B303">
        <v>72655</v>
      </c>
      <c r="C303" t="str">
        <f>INDEX('TE_OA_20200805_INTRDY_2020-08-0'!$J$2:$J$870,MATCH(Filter!B303,'TE_OA_20200805_INTRDY_2020-08-0'!$G$2:$G$870))</f>
        <v>Receipt</v>
      </c>
      <c r="D303" t="str">
        <f>INDEX('Pipe Table'!$B$2:$B$14,MATCH(INDEX(TeAllPoints!$I$2:$I$957,MATCH(Filter!B303,TeAllPoints!$B$2:$B$957,0)),'Pipe Table'!$A$2:$A$14,0))</f>
        <v>Intrcnnct</v>
      </c>
      <c r="E303" t="str">
        <f>INDEX('TE_OA_20200805_INTRDY_2020-08-0'!$H$2:$H$870,MATCH(Filter!B303,'TE_OA_20200805_INTRDY_2020-08-0'!$G$2:$G$870))</f>
        <v>Enterprise Texas Pipeline LLC - Calhoun County, TX  (REC)</v>
      </c>
      <c r="F303" t="str">
        <f>INDEX('Pipe Table'!$H$2:$H$8,MATCH('TE_OA_20200805_INTRDY_2020-08-0'!I284,'Pipe Table'!$G$2:$G$8,0))</f>
        <v>TETCO-STX</v>
      </c>
      <c r="G303" t="str">
        <f>INDEX(TeAllPoints!$D$2:$D$957,MATCH(Filter!B303,TeAllPoints!$B$2:$B$957,0))</f>
        <v>TX</v>
      </c>
      <c r="H303" t="str">
        <f>INDEX(TeAllPoints!$E$2:$E$957,MATCH(Filter!B303,TeAllPoints!$B$2:$B$957,0))</f>
        <v>CALHOUN</v>
      </c>
      <c r="I303">
        <f>INDEX('TE_OA_20200805_INTRDY_2020-08-0'!$Q$2:$Q$870,MATCH(Filter!B303,'TE_OA_20200805_INTRDY_2020-08-0'!$G$2:$G$870))</f>
        <v>138077</v>
      </c>
      <c r="J303">
        <f>INDEX('TE_OA_20200805_INTRDY_2020-08-0'!$R$2:$R$870,MATCH(Filter!B303,'TE_OA_20200805_INTRDY_2020-08-0'!$G$2:$G$870))</f>
        <v>0</v>
      </c>
    </row>
    <row r="304" spans="1:10" x14ac:dyDescent="0.25">
      <c r="A304" t="str">
        <f>INDEX('Pipe Table'!$E$2:$E$10,MATCH(INDEX('TE_OA_20200805_INTRDY_2020-08-0'!$T$2:$T$870,MATCH(Filter!B304,'TE_OA_20200805_INTRDY_2020-08-0'!$G$2:$G$870,0)),'Pipe Table'!$D$2:$D$10,0))</f>
        <v>TETCO</v>
      </c>
      <c r="B304">
        <v>72664</v>
      </c>
      <c r="C304" t="str">
        <f>INDEX('TE_OA_20200805_INTRDY_2020-08-0'!$J$2:$J$870,MATCH(Filter!B304,'TE_OA_20200805_INTRDY_2020-08-0'!$G$2:$G$870))</f>
        <v>Delivery</v>
      </c>
      <c r="D304" t="str">
        <f>INDEX('Pipe Table'!$B$2:$B$14,MATCH(INDEX(TeAllPoints!$I$2:$I$957,MATCH(Filter!B304,TeAllPoints!$B$2:$B$957,0)),'Pipe Table'!$A$2:$A$14,0))</f>
        <v>LDC</v>
      </c>
      <c r="E304" t="str">
        <f>INDEX('TE_OA_20200805_INTRDY_2020-08-0'!$H$2:$H$870,MATCH(Filter!B304,'TE_OA_20200805_INTRDY_2020-08-0'!$G$2:$G$870))</f>
        <v>Itawamba Gas -Itawamba Co., MS</v>
      </c>
      <c r="F304" t="str">
        <f>INDEX('Pipe Table'!$H$2:$H$8,MATCH('TE_OA_20200805_INTRDY_2020-08-0'!I285,'Pipe Table'!$G$2:$G$8,0))</f>
        <v>TETCO-M1</v>
      </c>
      <c r="G304" t="str">
        <f>INDEX(TeAllPoints!$D$2:$D$957,MATCH(Filter!B304,TeAllPoints!$B$2:$B$957,0))</f>
        <v>MS</v>
      </c>
      <c r="H304" t="str">
        <f>INDEX(TeAllPoints!$E$2:$E$957,MATCH(Filter!B304,TeAllPoints!$B$2:$B$957,0))</f>
        <v>ITAWAMBA</v>
      </c>
      <c r="I304">
        <f>INDEX('TE_OA_20200805_INTRDY_2020-08-0'!$Q$2:$Q$870,MATCH(Filter!B304,'TE_OA_20200805_INTRDY_2020-08-0'!$G$2:$G$870))</f>
        <v>5345</v>
      </c>
      <c r="J304">
        <f>INDEX('TE_OA_20200805_INTRDY_2020-08-0'!$R$2:$R$870,MATCH(Filter!B304,'TE_OA_20200805_INTRDY_2020-08-0'!$G$2:$G$870))</f>
        <v>1684</v>
      </c>
    </row>
    <row r="305" spans="1:10" x14ac:dyDescent="0.25">
      <c r="A305" t="str">
        <f>INDEX('Pipe Table'!$E$2:$E$10,MATCH(INDEX('TE_OA_20200805_INTRDY_2020-08-0'!$T$2:$T$870,MATCH(Filter!B305,'TE_OA_20200805_INTRDY_2020-08-0'!$G$2:$G$870,0)),'Pipe Table'!$D$2:$D$10,0))</f>
        <v>TETCO</v>
      </c>
      <c r="B305">
        <v>72668</v>
      </c>
      <c r="C305" t="str">
        <f>INDEX('TE_OA_20200805_INTRDY_2020-08-0'!$J$2:$J$870,MATCH(Filter!B305,'TE_OA_20200805_INTRDY_2020-08-0'!$G$2:$G$870))</f>
        <v>Receipt</v>
      </c>
      <c r="D305" t="str">
        <f>INDEX('Pipe Table'!$B$2:$B$14,MATCH(INDEX(TeAllPoints!$I$2:$I$957,MATCH(Filter!B305,TeAllPoints!$B$2:$B$957,0)),'Pipe Table'!$A$2:$A$14,0))</f>
        <v>Wellhead</v>
      </c>
      <c r="E305" t="str">
        <f>INDEX('TE_OA_20200805_INTRDY_2020-08-0'!$H$2:$H$870,MATCH(Filter!B305,'TE_OA_20200805_INTRDY_2020-08-0'!$G$2:$G$870))</f>
        <v>United Gas &amp; Minerals - #1 Goff, Wharton County, TX</v>
      </c>
      <c r="F305" t="str">
        <f>INDEX('Pipe Table'!$H$2:$H$8,MATCH('TE_OA_20200805_INTRDY_2020-08-0'!I286,'Pipe Table'!$G$2:$G$8,0))</f>
        <v>TETCO-STX</v>
      </c>
      <c r="G305" t="str">
        <f>INDEX(TeAllPoints!$D$2:$D$957,MATCH(Filter!B305,TeAllPoints!$B$2:$B$957,0))</f>
        <v>TX</v>
      </c>
      <c r="H305" t="str">
        <f>INDEX(TeAllPoints!$E$2:$E$957,MATCH(Filter!B305,TeAllPoints!$B$2:$B$957,0))</f>
        <v>WHARTON</v>
      </c>
      <c r="I305">
        <f>INDEX('TE_OA_20200805_INTRDY_2020-08-0'!$Q$2:$Q$870,MATCH(Filter!B305,'TE_OA_20200805_INTRDY_2020-08-0'!$G$2:$G$870))</f>
        <v>9733</v>
      </c>
      <c r="J305">
        <f>INDEX('TE_OA_20200805_INTRDY_2020-08-0'!$R$2:$R$870,MATCH(Filter!B305,'TE_OA_20200805_INTRDY_2020-08-0'!$G$2:$G$870))</f>
        <v>0</v>
      </c>
    </row>
    <row r="306" spans="1:10" x14ac:dyDescent="0.25">
      <c r="A306" t="str">
        <f>INDEX('Pipe Table'!$E$2:$E$10,MATCH(INDEX('TE_OA_20200805_INTRDY_2020-08-0'!$T$2:$T$870,MATCH(Filter!B306,'TE_OA_20200805_INTRDY_2020-08-0'!$G$2:$G$870,0)),'Pipe Table'!$D$2:$D$10,0))</f>
        <v>TETCO</v>
      </c>
      <c r="B306">
        <v>72672</v>
      </c>
      <c r="C306" t="str">
        <f>INDEX('TE_OA_20200805_INTRDY_2020-08-0'!$J$2:$J$870,MATCH(Filter!B306,'TE_OA_20200805_INTRDY_2020-08-0'!$G$2:$G$870))</f>
        <v>Delivery</v>
      </c>
      <c r="D306" t="str">
        <f>INDEX('Pipe Table'!$B$2:$B$14,MATCH(INDEX(TeAllPoints!$I$2:$I$957,MATCH(Filter!B306,TeAllPoints!$B$2:$B$957,0)),'Pipe Table'!$A$2:$A$14,0))</f>
        <v>EndUsr</v>
      </c>
      <c r="E306" t="str">
        <f>INDEX('TE_OA_20200805_INTRDY_2020-08-0'!$H$2:$H$870,MATCH(Filter!B306,'TE_OA_20200805_INTRDY_2020-08-0'!$G$2:$G$870))</f>
        <v>Lebanon #2 - Wilson Co., TN</v>
      </c>
      <c r="F306" t="str">
        <f>INDEX('Pipe Table'!$H$2:$H$8,MATCH('TE_OA_20200805_INTRDY_2020-08-0'!I287,'Pipe Table'!$G$2:$G$8,0))</f>
        <v>TETCO-M1</v>
      </c>
      <c r="G306" t="str">
        <f>INDEX(TeAllPoints!$D$2:$D$957,MATCH(Filter!B306,TeAllPoints!$B$2:$B$957,0))</f>
        <v>TN</v>
      </c>
      <c r="H306" t="str">
        <f>INDEX(TeAllPoints!$E$2:$E$957,MATCH(Filter!B306,TeAllPoints!$B$2:$B$957,0))</f>
        <v>WILSON</v>
      </c>
      <c r="I306">
        <f>INDEX('TE_OA_20200805_INTRDY_2020-08-0'!$Q$2:$Q$870,MATCH(Filter!B306,'TE_OA_20200805_INTRDY_2020-08-0'!$G$2:$G$870))</f>
        <v>67828</v>
      </c>
      <c r="J306">
        <f>INDEX('TE_OA_20200805_INTRDY_2020-08-0'!$R$2:$R$870,MATCH(Filter!B306,'TE_OA_20200805_INTRDY_2020-08-0'!$G$2:$G$870))</f>
        <v>0</v>
      </c>
    </row>
    <row r="307" spans="1:10" x14ac:dyDescent="0.25">
      <c r="A307" t="str">
        <f>INDEX('Pipe Table'!$E$2:$E$10,MATCH(INDEX('TE_OA_20200805_INTRDY_2020-08-0'!$T$2:$T$870,MATCH(Filter!B307,'TE_OA_20200805_INTRDY_2020-08-0'!$G$2:$G$870,0)),'Pipe Table'!$D$2:$D$10,0))</f>
        <v>TETCO</v>
      </c>
      <c r="B307">
        <v>72692</v>
      </c>
      <c r="C307" t="str">
        <f>INDEX('TE_OA_20200805_INTRDY_2020-08-0'!$J$2:$J$870,MATCH(Filter!B307,'TE_OA_20200805_INTRDY_2020-08-0'!$G$2:$G$870))</f>
        <v>Receipt</v>
      </c>
      <c r="D307" t="str">
        <f>INDEX('Pipe Table'!$B$2:$B$14,MATCH(INDEX(TeAllPoints!$I$2:$I$957,MATCH(Filter!B307,TeAllPoints!$B$2:$B$957,0)),'Pipe Table'!$A$2:$A$14,0))</f>
        <v>Wellhead</v>
      </c>
      <c r="E307" t="str">
        <f>INDEX('TE_OA_20200805_INTRDY_2020-08-0'!$H$2:$H$870,MATCH(Filter!B307,'TE_OA_20200805_INTRDY_2020-08-0'!$G$2:$G$870))</f>
        <v>Associated Natural Gas Inc. - Wilkinson Co., MS</v>
      </c>
      <c r="F307" t="str">
        <f>INDEX('Pipe Table'!$H$2:$H$8,MATCH('TE_OA_20200805_INTRDY_2020-08-0'!I288,'Pipe Table'!$G$2:$G$8,0))</f>
        <v>TETCO-ELA</v>
      </c>
      <c r="G307" t="str">
        <f>INDEX(TeAllPoints!$D$2:$D$957,MATCH(Filter!B307,TeAllPoints!$B$2:$B$957,0))</f>
        <v>MS</v>
      </c>
      <c r="H307" t="str">
        <f>INDEX(TeAllPoints!$E$2:$E$957,MATCH(Filter!B307,TeAllPoints!$B$2:$B$957,0))</f>
        <v>WILKINSON</v>
      </c>
      <c r="I307">
        <f>INDEX('TE_OA_20200805_INTRDY_2020-08-0'!$Q$2:$Q$870,MATCH(Filter!B307,'TE_OA_20200805_INTRDY_2020-08-0'!$G$2:$G$870))</f>
        <v>37855</v>
      </c>
      <c r="J307">
        <f>INDEX('TE_OA_20200805_INTRDY_2020-08-0'!$R$2:$R$870,MATCH(Filter!B307,'TE_OA_20200805_INTRDY_2020-08-0'!$G$2:$G$870))</f>
        <v>250</v>
      </c>
    </row>
    <row r="308" spans="1:10" x14ac:dyDescent="0.25">
      <c r="A308" t="str">
        <f>INDEX('Pipe Table'!$E$2:$E$10,MATCH(INDEX('TE_OA_20200805_INTRDY_2020-08-0'!$T$2:$T$870,MATCH(Filter!B308,'TE_OA_20200805_INTRDY_2020-08-0'!$G$2:$G$870,0)),'Pipe Table'!$D$2:$D$10,0))</f>
        <v>TETCO</v>
      </c>
      <c r="B308">
        <v>72694</v>
      </c>
      <c r="C308" t="str">
        <f>INDEX('TE_OA_20200805_INTRDY_2020-08-0'!$J$2:$J$870,MATCH(Filter!B308,'TE_OA_20200805_INTRDY_2020-08-0'!$G$2:$G$870))</f>
        <v>Receipt</v>
      </c>
      <c r="D308" t="str">
        <f>INDEX('Pipe Table'!$B$2:$B$14,MATCH(INDEX(TeAllPoints!$I$2:$I$957,MATCH(Filter!B308,TeAllPoints!$B$2:$B$957,0)),'Pipe Table'!$A$2:$A$14,0))</f>
        <v>Wellhead</v>
      </c>
      <c r="E308" t="str">
        <f>INDEX('TE_OA_20200805_INTRDY_2020-08-0'!$H$2:$H$870,MATCH(Filter!B308,'TE_OA_20200805_INTRDY_2020-08-0'!$G$2:$G$870))</f>
        <v>NCL Natural Resources, LLC (Eastern States Expl)- Centre Co., PA</v>
      </c>
      <c r="F308" t="str">
        <f>INDEX('Pipe Table'!$H$2:$H$8,MATCH('TE_OA_20200805_INTRDY_2020-08-0'!I289,'Pipe Table'!$G$2:$G$8,0))</f>
        <v>TETCO-M3</v>
      </c>
      <c r="G308" t="str">
        <f>INDEX(TeAllPoints!$D$2:$D$957,MATCH(Filter!B308,TeAllPoints!$B$2:$B$957,0))</f>
        <v>PA</v>
      </c>
      <c r="H308" t="str">
        <f>INDEX(TeAllPoints!$E$2:$E$957,MATCH(Filter!B308,TeAllPoints!$B$2:$B$957,0))</f>
        <v>CENTRE</v>
      </c>
      <c r="I308">
        <f>INDEX('TE_OA_20200805_INTRDY_2020-08-0'!$Q$2:$Q$870,MATCH(Filter!B308,'TE_OA_20200805_INTRDY_2020-08-0'!$G$2:$G$870))</f>
        <v>17953</v>
      </c>
      <c r="J308">
        <f>INDEX('TE_OA_20200805_INTRDY_2020-08-0'!$R$2:$R$870,MATCH(Filter!B308,'TE_OA_20200805_INTRDY_2020-08-0'!$G$2:$G$870))</f>
        <v>0</v>
      </c>
    </row>
    <row r="309" spans="1:10" x14ac:dyDescent="0.25">
      <c r="A309" t="str">
        <f>INDEX('Pipe Table'!$E$2:$E$10,MATCH(INDEX('TE_OA_20200805_INTRDY_2020-08-0'!$T$2:$T$870,MATCH(Filter!B309,'TE_OA_20200805_INTRDY_2020-08-0'!$G$2:$G$870,0)),'Pipe Table'!$D$2:$D$10,0))</f>
        <v>TETCO</v>
      </c>
      <c r="B309">
        <v>72697</v>
      </c>
      <c r="C309" t="str">
        <f>INDEX('TE_OA_20200805_INTRDY_2020-08-0'!$J$2:$J$870,MATCH(Filter!B309,'TE_OA_20200805_INTRDY_2020-08-0'!$G$2:$G$870))</f>
        <v>Receipt</v>
      </c>
      <c r="D309" t="str">
        <f>INDEX('Pipe Table'!$B$2:$B$14,MATCH(INDEX(TeAllPoints!$I$2:$I$957,MATCH(Filter!B309,TeAllPoints!$B$2:$B$957,0)),'Pipe Table'!$A$2:$A$14,0))</f>
        <v>Wellhead</v>
      </c>
      <c r="E309" t="str">
        <f>INDEX('TE_OA_20200805_INTRDY_2020-08-0'!$H$2:$H$870,MATCH(Filter!B309,'TE_OA_20200805_INTRDY_2020-08-0'!$G$2:$G$870))</f>
        <v>Odegard Energy - Chickasaw, MS</v>
      </c>
      <c r="F309" t="str">
        <f>INDEX('Pipe Table'!$H$2:$H$8,MATCH('TE_OA_20200805_INTRDY_2020-08-0'!I290,'Pipe Table'!$G$2:$G$8,0))</f>
        <v>TETCO-M1</v>
      </c>
      <c r="G309" t="str">
        <f>INDEX(TeAllPoints!$D$2:$D$957,MATCH(Filter!B309,TeAllPoints!$B$2:$B$957,0))</f>
        <v>MS</v>
      </c>
      <c r="H309" t="str">
        <f>INDEX(TeAllPoints!$E$2:$E$957,MATCH(Filter!B309,TeAllPoints!$B$2:$B$957,0))</f>
        <v>CHICKASAW</v>
      </c>
      <c r="I309">
        <f>INDEX('TE_OA_20200805_INTRDY_2020-08-0'!$Q$2:$Q$870,MATCH(Filter!B309,'TE_OA_20200805_INTRDY_2020-08-0'!$G$2:$G$870))</f>
        <v>9471</v>
      </c>
      <c r="J309">
        <f>INDEX('TE_OA_20200805_INTRDY_2020-08-0'!$R$2:$R$870,MATCH(Filter!B309,'TE_OA_20200805_INTRDY_2020-08-0'!$G$2:$G$870))</f>
        <v>65</v>
      </c>
    </row>
    <row r="310" spans="1:10" x14ac:dyDescent="0.25">
      <c r="A310" t="str">
        <f>INDEX('Pipe Table'!$E$2:$E$10,MATCH(INDEX('TE_OA_20200805_INTRDY_2020-08-0'!$T$2:$T$870,MATCH(Filter!B310,'TE_OA_20200805_INTRDY_2020-08-0'!$G$2:$G$870,0)),'Pipe Table'!$D$2:$D$10,0))</f>
        <v>TETCO</v>
      </c>
      <c r="B310">
        <v>72716</v>
      </c>
      <c r="C310" t="str">
        <f>INDEX('TE_OA_20200805_INTRDY_2020-08-0'!$J$2:$J$870,MATCH(Filter!B310,'TE_OA_20200805_INTRDY_2020-08-0'!$G$2:$G$870))</f>
        <v>Receipt</v>
      </c>
      <c r="D310" t="str">
        <f>INDEX('Pipe Table'!$B$2:$B$14,MATCH(INDEX(TeAllPoints!$I$2:$I$957,MATCH(Filter!B310,TeAllPoints!$B$2:$B$957,0)),'Pipe Table'!$A$2:$A$14,0))</f>
        <v>Intrcnnct</v>
      </c>
      <c r="E310" t="str">
        <f>INDEX('TE_OA_20200805_INTRDY_2020-08-0'!$H$2:$H$870,MATCH(Filter!B310,'TE_OA_20200805_INTRDY_2020-08-0'!$G$2:$G$870))</f>
        <v>Enterprise Texas Pipeline LLC Hildalgo County, TX (REC)</v>
      </c>
      <c r="F310" t="str">
        <f>INDEX('Pipe Table'!$H$2:$H$8,MATCH('TE_OA_20200805_INTRDY_2020-08-0'!I291,'Pipe Table'!$G$2:$G$8,0))</f>
        <v>TETCO-STX</v>
      </c>
      <c r="G310" t="str">
        <f>INDEX(TeAllPoints!$D$2:$D$957,MATCH(Filter!B310,TeAllPoints!$B$2:$B$957,0))</f>
        <v>TX</v>
      </c>
      <c r="H310" t="str">
        <f>INDEX(TeAllPoints!$E$2:$E$957,MATCH(Filter!B310,TeAllPoints!$B$2:$B$957,0))</f>
        <v>HIDALGO</v>
      </c>
      <c r="I310">
        <f>INDEX('TE_OA_20200805_INTRDY_2020-08-0'!$Q$2:$Q$870,MATCH(Filter!B310,'TE_OA_20200805_INTRDY_2020-08-0'!$G$2:$G$870))</f>
        <v>72653</v>
      </c>
      <c r="J310">
        <f>INDEX('TE_OA_20200805_INTRDY_2020-08-0'!$R$2:$R$870,MATCH(Filter!B310,'TE_OA_20200805_INTRDY_2020-08-0'!$G$2:$G$870))</f>
        <v>0</v>
      </c>
    </row>
    <row r="311" spans="1:10" x14ac:dyDescent="0.25">
      <c r="A311" t="str">
        <f>INDEX('Pipe Table'!$E$2:$E$10,MATCH(INDEX('TE_OA_20200805_INTRDY_2020-08-0'!$T$2:$T$870,MATCH(Filter!B311,'TE_OA_20200805_INTRDY_2020-08-0'!$G$2:$G$870,0)),'Pipe Table'!$D$2:$D$10,0))</f>
        <v>TETCO</v>
      </c>
      <c r="B311">
        <v>72718</v>
      </c>
      <c r="C311" t="str">
        <f>INDEX('TE_OA_20200805_INTRDY_2020-08-0'!$J$2:$J$870,MATCH(Filter!B311,'TE_OA_20200805_INTRDY_2020-08-0'!$G$2:$G$870))</f>
        <v>Receipt</v>
      </c>
      <c r="D311" t="str">
        <f>INDEX('Pipe Table'!$B$2:$B$14,MATCH(INDEX(TeAllPoints!$I$2:$I$957,MATCH(Filter!B311,TeAllPoints!$B$2:$B$957,0)),'Pipe Table'!$A$2:$A$14,0))</f>
        <v>Wellhead</v>
      </c>
      <c r="E311" t="str">
        <f>INDEX('TE_OA_20200805_INTRDY_2020-08-0'!$H$2:$H$870,MATCH(Filter!B311,'TE_OA_20200805_INTRDY_2020-08-0'!$G$2:$G$870))</f>
        <v>Smith Oper. (Harvey Broyle M.P. 0.00) - Bienville Psh. La</v>
      </c>
      <c r="F311" t="str">
        <f>INDEX('Pipe Table'!$H$2:$H$8,MATCH('TE_OA_20200805_INTRDY_2020-08-0'!I292,'Pipe Table'!$G$2:$G$8,0))</f>
        <v>TETCO-ETX</v>
      </c>
      <c r="G311" t="str">
        <f>INDEX(TeAllPoints!$D$2:$D$957,MATCH(Filter!B311,TeAllPoints!$B$2:$B$957,0))</f>
        <v>LA</v>
      </c>
      <c r="H311" t="str">
        <f>INDEX(TeAllPoints!$E$2:$E$957,MATCH(Filter!B311,TeAllPoints!$B$2:$B$957,0))</f>
        <v>BIENVILLE</v>
      </c>
      <c r="I311">
        <f>INDEX('TE_OA_20200805_INTRDY_2020-08-0'!$Q$2:$Q$870,MATCH(Filter!B311,'TE_OA_20200805_INTRDY_2020-08-0'!$G$2:$G$870))</f>
        <v>9044</v>
      </c>
      <c r="J311">
        <f>INDEX('TE_OA_20200805_INTRDY_2020-08-0'!$R$2:$R$870,MATCH(Filter!B311,'TE_OA_20200805_INTRDY_2020-08-0'!$G$2:$G$870))</f>
        <v>1</v>
      </c>
    </row>
    <row r="312" spans="1:10" x14ac:dyDescent="0.25">
      <c r="A312" t="str">
        <f>INDEX('Pipe Table'!$E$2:$E$10,MATCH(INDEX('TE_OA_20200805_INTRDY_2020-08-0'!$T$2:$T$870,MATCH(Filter!B312,'TE_OA_20200805_INTRDY_2020-08-0'!$G$2:$G$870,0)),'Pipe Table'!$D$2:$D$10,0))</f>
        <v>TETCO</v>
      </c>
      <c r="B312">
        <v>72723</v>
      </c>
      <c r="C312" t="str">
        <f>INDEX('TE_OA_20200805_INTRDY_2020-08-0'!$J$2:$J$870,MATCH(Filter!B312,'TE_OA_20200805_INTRDY_2020-08-0'!$G$2:$G$870))</f>
        <v>Receipt</v>
      </c>
      <c r="D312" t="str">
        <f>INDEX('Pipe Table'!$B$2:$B$14,MATCH(INDEX(TeAllPoints!$I$2:$I$957,MATCH(Filter!B312,TeAllPoints!$B$2:$B$957,0)),'Pipe Table'!$A$2:$A$14,0))</f>
        <v>Wellhead</v>
      </c>
      <c r="E312" t="str">
        <f>INDEX('TE_OA_20200805_INTRDY_2020-08-0'!$H$2:$H$870,MATCH(Filter!B312,'TE_OA_20200805_INTRDY_2020-08-0'!$G$2:$G$870))</f>
        <v>Abraxas Petroleum Corp.- Tipton Lease / Goliad Co., TX (REC)</v>
      </c>
      <c r="F312" t="str">
        <f>INDEX('Pipe Table'!$H$2:$H$8,MATCH('TE_OA_20200805_INTRDY_2020-08-0'!I293,'Pipe Table'!$G$2:$G$8,0))</f>
        <v>TETCO-STX</v>
      </c>
      <c r="G312" t="str">
        <f>INDEX(TeAllPoints!$D$2:$D$957,MATCH(Filter!B312,TeAllPoints!$B$2:$B$957,0))</f>
        <v>TX</v>
      </c>
      <c r="H312" t="str">
        <f>INDEX(TeAllPoints!$E$2:$E$957,MATCH(Filter!B312,TeAllPoints!$B$2:$B$957,0))</f>
        <v>GOLIAD</v>
      </c>
      <c r="I312">
        <f>INDEX('TE_OA_20200805_INTRDY_2020-08-0'!$Q$2:$Q$870,MATCH(Filter!B312,'TE_OA_20200805_INTRDY_2020-08-0'!$G$2:$G$870))</f>
        <v>35876</v>
      </c>
      <c r="J312">
        <f>INDEX('TE_OA_20200805_INTRDY_2020-08-0'!$R$2:$R$870,MATCH(Filter!B312,'TE_OA_20200805_INTRDY_2020-08-0'!$G$2:$G$870))</f>
        <v>0</v>
      </c>
    </row>
    <row r="313" spans="1:10" x14ac:dyDescent="0.25">
      <c r="A313" t="str">
        <f>INDEX('Pipe Table'!$E$2:$E$10,MATCH(INDEX('TE_OA_20200805_INTRDY_2020-08-0'!$T$2:$T$870,MATCH(Filter!B313,'TE_OA_20200805_INTRDY_2020-08-0'!$G$2:$G$870,0)),'Pipe Table'!$D$2:$D$10,0))</f>
        <v>TETCO</v>
      </c>
      <c r="B313">
        <v>72744</v>
      </c>
      <c r="C313" t="str">
        <f>INDEX('TE_OA_20200805_INTRDY_2020-08-0'!$J$2:$J$870,MATCH(Filter!B313,'TE_OA_20200805_INTRDY_2020-08-0'!$G$2:$G$870))</f>
        <v>Receipt</v>
      </c>
      <c r="D313" t="str">
        <f>INDEX('Pipe Table'!$B$2:$B$14,MATCH(INDEX(TeAllPoints!$I$2:$I$957,MATCH(Filter!B313,TeAllPoints!$B$2:$B$957,0)),'Pipe Table'!$A$2:$A$14,0))</f>
        <v>Wellhead</v>
      </c>
      <c r="E313" t="str">
        <f>INDEX('TE_OA_20200805_INTRDY_2020-08-0'!$H$2:$H$870,MATCH(Filter!B313,'TE_OA_20200805_INTRDY_2020-08-0'!$G$2:$G$870))</f>
        <v>Rio Grande Royalty Co., Inc. - Rio Grande #1/Hidalgo Co., TX</v>
      </c>
      <c r="F313" t="str">
        <f>INDEX('Pipe Table'!$H$2:$H$8,MATCH('TE_OA_20200805_INTRDY_2020-08-0'!I294,'Pipe Table'!$G$2:$G$8,0))</f>
        <v>TETCO-STX</v>
      </c>
      <c r="G313" t="str">
        <f>INDEX(TeAllPoints!$D$2:$D$957,MATCH(Filter!B313,TeAllPoints!$B$2:$B$957,0))</f>
        <v>TX</v>
      </c>
      <c r="H313" t="str">
        <f>INDEX(TeAllPoints!$E$2:$E$957,MATCH(Filter!B313,TeAllPoints!$B$2:$B$957,0))</f>
        <v>HIDALGO</v>
      </c>
      <c r="I313">
        <f>INDEX('TE_OA_20200805_INTRDY_2020-08-0'!$Q$2:$Q$870,MATCH(Filter!B313,'TE_OA_20200805_INTRDY_2020-08-0'!$G$2:$G$870))</f>
        <v>16086</v>
      </c>
      <c r="J313">
        <f>INDEX('TE_OA_20200805_INTRDY_2020-08-0'!$R$2:$R$870,MATCH(Filter!B313,'TE_OA_20200805_INTRDY_2020-08-0'!$G$2:$G$870))</f>
        <v>1</v>
      </c>
    </row>
    <row r="314" spans="1:10" x14ac:dyDescent="0.25">
      <c r="A314" t="str">
        <f>INDEX('Pipe Table'!$E$2:$E$10,MATCH(INDEX('TE_OA_20200805_INTRDY_2020-08-0'!$T$2:$T$870,MATCH(Filter!B314,'TE_OA_20200805_INTRDY_2020-08-0'!$G$2:$G$870,0)),'Pipe Table'!$D$2:$D$10,0))</f>
        <v>TETCO</v>
      </c>
      <c r="B314">
        <v>72745</v>
      </c>
      <c r="C314" t="str">
        <f>INDEX('TE_OA_20200805_INTRDY_2020-08-0'!$J$2:$J$870,MATCH(Filter!B314,'TE_OA_20200805_INTRDY_2020-08-0'!$G$2:$G$870))</f>
        <v>Delivery</v>
      </c>
      <c r="D314" t="str">
        <f>INDEX('Pipe Table'!$B$2:$B$14,MATCH(INDEX(TeAllPoints!$I$2:$I$957,MATCH(Filter!B314,TeAllPoints!$B$2:$B$957,0)),'Pipe Table'!$A$2:$A$14,0))</f>
        <v>LDC</v>
      </c>
      <c r="E314" t="str">
        <f>INDEX('TE_OA_20200805_INTRDY_2020-08-0'!$H$2:$H$870,MATCH(Filter!B314,'TE_OA_20200805_INTRDY_2020-08-0'!$G$2:$G$870))</f>
        <v>PECO Energy - Collegeville, PA.</v>
      </c>
      <c r="F314" t="str">
        <f>INDEX('Pipe Table'!$H$2:$H$8,MATCH('TE_OA_20200805_INTRDY_2020-08-0'!I295,'Pipe Table'!$G$2:$G$8,0))</f>
        <v>TETCO-M3</v>
      </c>
      <c r="G314" t="str">
        <f>INDEX(TeAllPoints!$D$2:$D$957,MATCH(Filter!B314,TeAllPoints!$B$2:$B$957,0))</f>
        <v>PA</v>
      </c>
      <c r="H314" t="str">
        <f>INDEX(TeAllPoints!$E$2:$E$957,MATCH(Filter!B314,TeAllPoints!$B$2:$B$957,0))</f>
        <v>MONTGOMERY</v>
      </c>
      <c r="I314">
        <f>INDEX('TE_OA_20200805_INTRDY_2020-08-0'!$Q$2:$Q$870,MATCH(Filter!B314,'TE_OA_20200805_INTRDY_2020-08-0'!$G$2:$G$870))</f>
        <v>55428</v>
      </c>
      <c r="J314">
        <f>INDEX('TE_OA_20200805_INTRDY_2020-08-0'!$R$2:$R$870,MATCH(Filter!B314,'TE_OA_20200805_INTRDY_2020-08-0'!$G$2:$G$870))</f>
        <v>0</v>
      </c>
    </row>
    <row r="315" spans="1:10" x14ac:dyDescent="0.25">
      <c r="A315" t="str">
        <f>INDEX('Pipe Table'!$E$2:$E$10,MATCH(INDEX('TE_OA_20200805_INTRDY_2020-08-0'!$T$2:$T$870,MATCH(Filter!B315,'TE_OA_20200805_INTRDY_2020-08-0'!$G$2:$G$870,0)),'Pipe Table'!$D$2:$D$10,0))</f>
        <v>TETCO</v>
      </c>
      <c r="B315">
        <v>72750</v>
      </c>
      <c r="C315" t="str">
        <f>INDEX('TE_OA_20200805_INTRDY_2020-08-0'!$J$2:$J$870,MATCH(Filter!B315,'TE_OA_20200805_INTRDY_2020-08-0'!$G$2:$G$870))</f>
        <v>Receipt</v>
      </c>
      <c r="D315" t="e">
        <f>INDEX('Pipe Table'!$B$2:$B$14,MATCH(INDEX(TeAllPoints!$I$2:$I$957,MATCH(Filter!B315,TeAllPoints!$B$2:$B$957,0)),'Pipe Table'!$A$2:$A$14,0))</f>
        <v>#N/A</v>
      </c>
      <c r="E315" t="str">
        <f>INDEX('TE_OA_20200805_INTRDY_2020-08-0'!$H$2:$H$870,MATCH(Filter!B315,'TE_OA_20200805_INTRDY_2020-08-0'!$G$2:$G$870))</f>
        <v>Bishop Pipeline - Estate Tract 66-72 #1, Calhoun Co., TX</v>
      </c>
      <c r="F315" t="str">
        <f>INDEX('Pipe Table'!$H$2:$H$8,MATCH('TE_OA_20200805_INTRDY_2020-08-0'!I296,'Pipe Table'!$G$2:$G$8,0))</f>
        <v>TETCO-STX</v>
      </c>
      <c r="G315" t="e">
        <f>INDEX(TeAllPoints!$D$2:$D$957,MATCH(Filter!B315,TeAllPoints!$B$2:$B$957,0))</f>
        <v>#N/A</v>
      </c>
      <c r="H315" t="e">
        <f>INDEX(TeAllPoints!$E$2:$E$957,MATCH(Filter!B315,TeAllPoints!$B$2:$B$957,0))</f>
        <v>#N/A</v>
      </c>
      <c r="I315">
        <f>INDEX('TE_OA_20200805_INTRDY_2020-08-0'!$Q$2:$Q$870,MATCH(Filter!B315,'TE_OA_20200805_INTRDY_2020-08-0'!$G$2:$G$870))</f>
        <v>4420</v>
      </c>
      <c r="J315">
        <f>INDEX('TE_OA_20200805_INTRDY_2020-08-0'!$R$2:$R$870,MATCH(Filter!B315,'TE_OA_20200805_INTRDY_2020-08-0'!$G$2:$G$870))</f>
        <v>0</v>
      </c>
    </row>
    <row r="316" spans="1:10" x14ac:dyDescent="0.25">
      <c r="A316" t="str">
        <f>INDEX('Pipe Table'!$E$2:$E$10,MATCH(INDEX('TE_OA_20200805_INTRDY_2020-08-0'!$T$2:$T$870,MATCH(Filter!B316,'TE_OA_20200805_INTRDY_2020-08-0'!$G$2:$G$870,0)),'Pipe Table'!$D$2:$D$10,0))</f>
        <v>TETCO</v>
      </c>
      <c r="B316">
        <v>72764</v>
      </c>
      <c r="C316" t="str">
        <f>INDEX('TE_OA_20200805_INTRDY_2020-08-0'!$J$2:$J$870,MATCH(Filter!B316,'TE_OA_20200805_INTRDY_2020-08-0'!$G$2:$G$870))</f>
        <v>Receipt</v>
      </c>
      <c r="D316" t="str">
        <f>INDEX('Pipe Table'!$B$2:$B$14,MATCH(INDEX(TeAllPoints!$I$2:$I$957,MATCH(Filter!B316,TeAllPoints!$B$2:$B$957,0)),'Pipe Table'!$A$2:$A$14,0))</f>
        <v>Intrcnnct</v>
      </c>
      <c r="E316" t="str">
        <f>INDEX('TE_OA_20200805_INTRDY_2020-08-0'!$H$2:$H$870,MATCH(Filter!B316,'TE_OA_20200805_INTRDY_2020-08-0'!$G$2:$G$870))</f>
        <v>NGPL Sweet Lake - Cameron Psh., LA</v>
      </c>
      <c r="F316" t="str">
        <f>INDEX('Pipe Table'!$H$2:$H$8,MATCH('TE_OA_20200805_INTRDY_2020-08-0'!I297,'Pipe Table'!$G$2:$G$8,0))</f>
        <v>TETCO-WLA</v>
      </c>
      <c r="G316" t="str">
        <f>INDEX(TeAllPoints!$D$2:$D$957,MATCH(Filter!B316,TeAllPoints!$B$2:$B$957,0))</f>
        <v>LA</v>
      </c>
      <c r="H316" t="str">
        <f>INDEX(TeAllPoints!$E$2:$E$957,MATCH(Filter!B316,TeAllPoints!$B$2:$B$957,0))</f>
        <v>CAMERON</v>
      </c>
      <c r="I316">
        <f>INDEX('TE_OA_20200805_INTRDY_2020-08-0'!$Q$2:$Q$870,MATCH(Filter!B316,'TE_OA_20200805_INTRDY_2020-08-0'!$G$2:$G$870))</f>
        <v>196049</v>
      </c>
      <c r="J316">
        <f>INDEX('TE_OA_20200805_INTRDY_2020-08-0'!$R$2:$R$870,MATCH(Filter!B316,'TE_OA_20200805_INTRDY_2020-08-0'!$G$2:$G$870))</f>
        <v>11415</v>
      </c>
    </row>
    <row r="317" spans="1:10" x14ac:dyDescent="0.25">
      <c r="A317" t="str">
        <f>INDEX('Pipe Table'!$E$2:$E$10,MATCH(INDEX('TE_OA_20200805_INTRDY_2020-08-0'!$T$2:$T$870,MATCH(Filter!B317,'TE_OA_20200805_INTRDY_2020-08-0'!$G$2:$G$870,0)),'Pipe Table'!$D$2:$D$10,0))</f>
        <v>TETCO</v>
      </c>
      <c r="B317">
        <v>72770</v>
      </c>
      <c r="C317" t="str">
        <f>INDEX('TE_OA_20200805_INTRDY_2020-08-0'!$J$2:$J$870,MATCH(Filter!B317,'TE_OA_20200805_INTRDY_2020-08-0'!$G$2:$G$870))</f>
        <v>Receipt</v>
      </c>
      <c r="D317" t="str">
        <f>INDEX('Pipe Table'!$B$2:$B$14,MATCH(INDEX(TeAllPoints!$I$2:$I$957,MATCH(Filter!B317,TeAllPoints!$B$2:$B$957,0)),'Pipe Table'!$A$2:$A$14,0))</f>
        <v>Intrcnnct</v>
      </c>
      <c r="E317" t="str">
        <f>INDEX('TE_OA_20200805_INTRDY_2020-08-0'!$H$2:$H$870,MATCH(Filter!B317,'TE_OA_20200805_INTRDY_2020-08-0'!$G$2:$G$870))</f>
        <v>PEPL/TETCO (LEBANON LATERAL-TETCO CAPACITY)</v>
      </c>
      <c r="F317" t="str">
        <f>INDEX('Pipe Table'!$H$2:$H$8,MATCH('TE_OA_20200805_INTRDY_2020-08-0'!I298,'Pipe Table'!$G$2:$G$8,0))</f>
        <v>TETCO-M2</v>
      </c>
      <c r="G317" t="str">
        <f>INDEX(TeAllPoints!$D$2:$D$957,MATCH(Filter!B317,TeAllPoints!$B$2:$B$957,0))</f>
        <v>OH</v>
      </c>
      <c r="H317" t="str">
        <f>INDEX(TeAllPoints!$E$2:$E$957,MATCH(Filter!B317,TeAllPoints!$B$2:$B$957,0))</f>
        <v>WARREN</v>
      </c>
      <c r="I317">
        <f>INDEX('TE_OA_20200805_INTRDY_2020-08-0'!$Q$2:$Q$870,MATCH(Filter!B317,'TE_OA_20200805_INTRDY_2020-08-0'!$G$2:$G$870))</f>
        <v>425000</v>
      </c>
      <c r="J317">
        <f>INDEX('TE_OA_20200805_INTRDY_2020-08-0'!$R$2:$R$870,MATCH(Filter!B317,'TE_OA_20200805_INTRDY_2020-08-0'!$G$2:$G$870))</f>
        <v>44425</v>
      </c>
    </row>
    <row r="318" spans="1:10" x14ac:dyDescent="0.25">
      <c r="A318" t="str">
        <f>INDEX('Pipe Table'!$E$2:$E$10,MATCH(INDEX('TE_OA_20200805_INTRDY_2020-08-0'!$T$2:$T$870,MATCH(Filter!B318,'TE_OA_20200805_INTRDY_2020-08-0'!$G$2:$G$870,0)),'Pipe Table'!$D$2:$D$10,0))</f>
        <v>TETCO</v>
      </c>
      <c r="B318">
        <v>72770</v>
      </c>
      <c r="C318" t="str">
        <f>INDEX('TE_OA_20200805_INTRDY_2020-08-0'!$J$2:$J$870,MATCH(Filter!B318,'TE_OA_20200805_INTRDY_2020-08-0'!$G$2:$G$870))</f>
        <v>Receipt</v>
      </c>
      <c r="D318" t="str">
        <f>INDEX('Pipe Table'!$B$2:$B$14,MATCH(INDEX(TeAllPoints!$I$2:$I$957,MATCH(Filter!B318,TeAllPoints!$B$2:$B$957,0)),'Pipe Table'!$A$2:$A$14,0))</f>
        <v>Intrcnnct</v>
      </c>
      <c r="E318" t="str">
        <f>INDEX('TE_OA_20200805_INTRDY_2020-08-0'!$H$2:$H$870,MATCH(Filter!B318,'TE_OA_20200805_INTRDY_2020-08-0'!$G$2:$G$870))</f>
        <v>PEPL/TETCO (LEBANON LATERAL-TETCO CAPACITY)</v>
      </c>
      <c r="F318" t="str">
        <f>INDEX('Pipe Table'!$H$2:$H$8,MATCH('TE_OA_20200805_INTRDY_2020-08-0'!I299,'Pipe Table'!$G$2:$G$8,0))</f>
        <v>TETCO-M2</v>
      </c>
      <c r="G318" t="str">
        <f>INDEX(TeAllPoints!$D$2:$D$957,MATCH(Filter!B318,TeAllPoints!$B$2:$B$957,0))</f>
        <v>OH</v>
      </c>
      <c r="H318" t="str">
        <f>INDEX(TeAllPoints!$E$2:$E$957,MATCH(Filter!B318,TeAllPoints!$B$2:$B$957,0))</f>
        <v>WARREN</v>
      </c>
      <c r="I318">
        <f>INDEX('TE_OA_20200805_INTRDY_2020-08-0'!$Q$2:$Q$870,MATCH(Filter!B318,'TE_OA_20200805_INTRDY_2020-08-0'!$G$2:$G$870))</f>
        <v>425000</v>
      </c>
      <c r="J318">
        <f>INDEX('TE_OA_20200805_INTRDY_2020-08-0'!$R$2:$R$870,MATCH(Filter!B318,'TE_OA_20200805_INTRDY_2020-08-0'!$G$2:$G$870))</f>
        <v>44425</v>
      </c>
    </row>
    <row r="319" spans="1:10" x14ac:dyDescent="0.25">
      <c r="A319" t="str">
        <f>INDEX('Pipe Table'!$E$2:$E$10,MATCH(INDEX('TE_OA_20200805_INTRDY_2020-08-0'!$T$2:$T$870,MATCH(Filter!B319,'TE_OA_20200805_INTRDY_2020-08-0'!$G$2:$G$870,0)),'Pipe Table'!$D$2:$D$10,0))</f>
        <v>TETCO</v>
      </c>
      <c r="B319">
        <v>72798</v>
      </c>
      <c r="C319" t="str">
        <f>INDEX('TE_OA_20200805_INTRDY_2020-08-0'!$J$2:$J$870,MATCH(Filter!B319,'TE_OA_20200805_INTRDY_2020-08-0'!$G$2:$G$870))</f>
        <v>Delivery</v>
      </c>
      <c r="D319" t="str">
        <f>INDEX('Pipe Table'!$B$2:$B$14,MATCH(INDEX(TeAllPoints!$I$2:$I$957,MATCH(Filter!B319,TeAllPoints!$B$2:$B$957,0)),'Pipe Table'!$A$2:$A$14,0))</f>
        <v>LDC</v>
      </c>
      <c r="E319" t="str">
        <f>INDEX('TE_OA_20200805_INTRDY_2020-08-0'!$H$2:$H$870,MATCH(Filter!B319,'TE_OA_20200805_INTRDY_2020-08-0'!$G$2:$G$870))</f>
        <v>Hamilton, OH</v>
      </c>
      <c r="F319" t="str">
        <f>INDEX('Pipe Table'!$H$2:$H$8,MATCH('TE_OA_20200805_INTRDY_2020-08-0'!I300,'Pipe Table'!$G$2:$G$8,0))</f>
        <v>TETCO-M2</v>
      </c>
      <c r="G319" t="str">
        <f>INDEX(TeAllPoints!$D$2:$D$957,MATCH(Filter!B319,TeAllPoints!$B$2:$B$957,0))</f>
        <v>OH</v>
      </c>
      <c r="H319" t="str">
        <f>INDEX(TeAllPoints!$E$2:$E$957,MATCH(Filter!B319,TeAllPoints!$B$2:$B$957,0))</f>
        <v>BUTLER</v>
      </c>
      <c r="I319">
        <f>INDEX('TE_OA_20200805_INTRDY_2020-08-0'!$Q$2:$Q$870,MATCH(Filter!B319,'TE_OA_20200805_INTRDY_2020-08-0'!$G$2:$G$870))</f>
        <v>57794</v>
      </c>
      <c r="J319">
        <f>INDEX('TE_OA_20200805_INTRDY_2020-08-0'!$R$2:$R$870,MATCH(Filter!B319,'TE_OA_20200805_INTRDY_2020-08-0'!$G$2:$G$870))</f>
        <v>2085</v>
      </c>
    </row>
    <row r="320" spans="1:10" x14ac:dyDescent="0.25">
      <c r="A320" t="str">
        <f>INDEX('Pipe Table'!$E$2:$E$10,MATCH(INDEX('TE_OA_20200805_INTRDY_2020-08-0'!$T$2:$T$870,MATCH(Filter!B320,'TE_OA_20200805_INTRDY_2020-08-0'!$G$2:$G$870,0)),'Pipe Table'!$D$2:$D$10,0))</f>
        <v>TETCO</v>
      </c>
      <c r="B320">
        <v>72803</v>
      </c>
      <c r="C320" t="str">
        <f>INDEX('TE_OA_20200805_INTRDY_2020-08-0'!$J$2:$J$870,MATCH(Filter!B320,'TE_OA_20200805_INTRDY_2020-08-0'!$G$2:$G$870))</f>
        <v>Receipt</v>
      </c>
      <c r="D320" t="str">
        <f>INDEX('Pipe Table'!$B$2:$B$14,MATCH(INDEX(TeAllPoints!$I$2:$I$957,MATCH(Filter!B320,TeAllPoints!$B$2:$B$957,0)),'Pipe Table'!$A$2:$A$14,0))</f>
        <v>Wellhead</v>
      </c>
      <c r="E320" t="str">
        <f>INDEX('TE_OA_20200805_INTRDY_2020-08-0'!$H$2:$H$870,MATCH(Filter!B320,'TE_OA_20200805_INTRDY_2020-08-0'!$G$2:$G$870))</f>
        <v>Dominion Exploration &amp; Production, Inc.</v>
      </c>
      <c r="F320" t="str">
        <f>INDEX('Pipe Table'!$H$2:$H$8,MATCH('TE_OA_20200805_INTRDY_2020-08-0'!I301,'Pipe Table'!$G$2:$G$8,0))</f>
        <v>TETCO-M2</v>
      </c>
      <c r="G320" t="str">
        <f>INDEX(TeAllPoints!$D$2:$D$957,MATCH(Filter!B320,TeAllPoints!$B$2:$B$957,0))</f>
        <v>PA</v>
      </c>
      <c r="H320" t="str">
        <f>INDEX(TeAllPoints!$E$2:$E$957,MATCH(Filter!B320,TeAllPoints!$B$2:$B$957,0))</f>
        <v>WESTMORELAND</v>
      </c>
      <c r="I320">
        <f>INDEX('TE_OA_20200805_INTRDY_2020-08-0'!$Q$2:$Q$870,MATCH(Filter!B320,'TE_OA_20200805_INTRDY_2020-08-0'!$G$2:$G$870))</f>
        <v>4281</v>
      </c>
      <c r="J320">
        <f>INDEX('TE_OA_20200805_INTRDY_2020-08-0'!$R$2:$R$870,MATCH(Filter!B320,'TE_OA_20200805_INTRDY_2020-08-0'!$G$2:$G$870))</f>
        <v>0</v>
      </c>
    </row>
    <row r="321" spans="1:10" x14ac:dyDescent="0.25">
      <c r="A321" t="str">
        <f>INDEX('Pipe Table'!$E$2:$E$10,MATCH(INDEX('TE_OA_20200805_INTRDY_2020-08-0'!$T$2:$T$870,MATCH(Filter!B321,'TE_OA_20200805_INTRDY_2020-08-0'!$G$2:$G$870,0)),'Pipe Table'!$D$2:$D$10,0))</f>
        <v>TETCO</v>
      </c>
      <c r="B321">
        <v>72808</v>
      </c>
      <c r="C321" t="str">
        <f>INDEX('TE_OA_20200805_INTRDY_2020-08-0'!$J$2:$J$870,MATCH(Filter!B321,'TE_OA_20200805_INTRDY_2020-08-0'!$G$2:$G$870))</f>
        <v>Receipt</v>
      </c>
      <c r="D321" t="str">
        <f>INDEX('Pipe Table'!$B$2:$B$14,MATCH(INDEX(TeAllPoints!$I$2:$I$957,MATCH(Filter!B321,TeAllPoints!$B$2:$B$957,0)),'Pipe Table'!$A$2:$A$14,0))</f>
        <v>Wellhead</v>
      </c>
      <c r="E321" t="str">
        <f>INDEX('TE_OA_20200805_INTRDY_2020-08-0'!$H$2:$H$870,MATCH(Filter!B321,'TE_OA_20200805_INTRDY_2020-08-0'!$G$2:$G$870))</f>
        <v>Comstock Resources -  #1 Desoto - Desoto Psh., LA</v>
      </c>
      <c r="F321" t="str">
        <f>INDEX('Pipe Table'!$H$2:$H$8,MATCH('TE_OA_20200805_INTRDY_2020-08-0'!I302,'Pipe Table'!$G$2:$G$8,0))</f>
        <v>TETCO-ETX</v>
      </c>
      <c r="G321" t="str">
        <f>INDEX(TeAllPoints!$D$2:$D$957,MATCH(Filter!B321,TeAllPoints!$B$2:$B$957,0))</f>
        <v>LA</v>
      </c>
      <c r="H321" t="str">
        <f>INDEX(TeAllPoints!$E$2:$E$957,MATCH(Filter!B321,TeAllPoints!$B$2:$B$957,0))</f>
        <v>DE SOTO</v>
      </c>
      <c r="I321">
        <f>INDEX('TE_OA_20200805_INTRDY_2020-08-0'!$Q$2:$Q$870,MATCH(Filter!B321,'TE_OA_20200805_INTRDY_2020-08-0'!$G$2:$G$870))</f>
        <v>10440</v>
      </c>
      <c r="J321">
        <f>INDEX('TE_OA_20200805_INTRDY_2020-08-0'!$R$2:$R$870,MATCH(Filter!B321,'TE_OA_20200805_INTRDY_2020-08-0'!$G$2:$G$870))</f>
        <v>75</v>
      </c>
    </row>
    <row r="322" spans="1:10" x14ac:dyDescent="0.25">
      <c r="A322" t="str">
        <f>INDEX('Pipe Table'!$E$2:$E$10,MATCH(INDEX('TE_OA_20200805_INTRDY_2020-08-0'!$T$2:$T$870,MATCH(Filter!B322,'TE_OA_20200805_INTRDY_2020-08-0'!$G$2:$G$870,0)),'Pipe Table'!$D$2:$D$10,0))</f>
        <v>TETCO</v>
      </c>
      <c r="B322">
        <v>72824</v>
      </c>
      <c r="C322" t="str">
        <f>INDEX('TE_OA_20200805_INTRDY_2020-08-0'!$J$2:$J$870,MATCH(Filter!B322,'TE_OA_20200805_INTRDY_2020-08-0'!$G$2:$G$870))</f>
        <v>Delivery</v>
      </c>
      <c r="D322" t="str">
        <f>INDEX('Pipe Table'!$B$2:$B$14,MATCH(INDEX(TeAllPoints!$I$2:$I$957,MATCH(Filter!B322,TeAllPoints!$B$2:$B$957,0)),'Pipe Table'!$A$2:$A$14,0))</f>
        <v>Intrcnnct</v>
      </c>
      <c r="E322" t="str">
        <f>INDEX('TE_OA_20200805_INTRDY_2020-08-0'!$H$2:$H$870,MATCH(Filter!B322,'TE_OA_20200805_INTRDY_2020-08-0'!$G$2:$G$870))</f>
        <v>Mid Louisiana - W. Feleciana Psh., LA</v>
      </c>
      <c r="F322" t="str">
        <f>INDEX('Pipe Table'!$H$2:$H$8,MATCH('TE_OA_20200805_INTRDY_2020-08-0'!I303,'Pipe Table'!$G$2:$G$8,0))</f>
        <v>TETCO-ELA</v>
      </c>
      <c r="G322" t="str">
        <f>INDEX(TeAllPoints!$D$2:$D$957,MATCH(Filter!B322,TeAllPoints!$B$2:$B$957,0))</f>
        <v>LA</v>
      </c>
      <c r="H322" t="str">
        <f>INDEX(TeAllPoints!$E$2:$E$957,MATCH(Filter!B322,TeAllPoints!$B$2:$B$957,0))</f>
        <v>WEST FELICIANA</v>
      </c>
      <c r="I322">
        <f>INDEX('TE_OA_20200805_INTRDY_2020-08-0'!$Q$2:$Q$870,MATCH(Filter!B322,'TE_OA_20200805_INTRDY_2020-08-0'!$G$2:$G$870))</f>
        <v>34227</v>
      </c>
      <c r="J322">
        <f>INDEX('TE_OA_20200805_INTRDY_2020-08-0'!$R$2:$R$870,MATCH(Filter!B322,'TE_OA_20200805_INTRDY_2020-08-0'!$G$2:$G$870))</f>
        <v>6022</v>
      </c>
    </row>
    <row r="323" spans="1:10" x14ac:dyDescent="0.25">
      <c r="A323" t="str">
        <f>INDEX('Pipe Table'!$E$2:$E$10,MATCH(INDEX('TE_OA_20200805_INTRDY_2020-08-0'!$T$2:$T$870,MATCH(Filter!B323,'TE_OA_20200805_INTRDY_2020-08-0'!$G$2:$G$870,0)),'Pipe Table'!$D$2:$D$10,0))</f>
        <v>TETCO</v>
      </c>
      <c r="B323">
        <v>72825</v>
      </c>
      <c r="C323" t="str">
        <f>INDEX('TE_OA_20200805_INTRDY_2020-08-0'!$J$2:$J$870,MATCH(Filter!B323,'TE_OA_20200805_INTRDY_2020-08-0'!$G$2:$G$870))</f>
        <v>Receipt</v>
      </c>
      <c r="D323" t="e">
        <f>INDEX('Pipe Table'!$B$2:$B$14,MATCH(INDEX(TeAllPoints!$I$2:$I$957,MATCH(Filter!B323,TeAllPoints!$B$2:$B$957,0)),'Pipe Table'!$A$2:$A$14,0))</f>
        <v>#N/A</v>
      </c>
      <c r="E323" t="str">
        <f>INDEX('TE_OA_20200805_INTRDY_2020-08-0'!$H$2:$H$870,MATCH(Filter!B323,'TE_OA_20200805_INTRDY_2020-08-0'!$G$2:$G$870))</f>
        <v>Assoc. Natural Gas, Inc. -  Lateral - Lavaca Co., TX</v>
      </c>
      <c r="F323" t="str">
        <f>INDEX('Pipe Table'!$H$2:$H$8,MATCH('TE_OA_20200805_INTRDY_2020-08-0'!I304,'Pipe Table'!$G$2:$G$8,0))</f>
        <v>TETCO-STX</v>
      </c>
      <c r="G323" t="e">
        <f>INDEX(TeAllPoints!$D$2:$D$957,MATCH(Filter!B323,TeAllPoints!$B$2:$B$957,0))</f>
        <v>#N/A</v>
      </c>
      <c r="H323" t="e">
        <f>INDEX(TeAllPoints!$E$2:$E$957,MATCH(Filter!B323,TeAllPoints!$B$2:$B$957,0))</f>
        <v>#N/A</v>
      </c>
      <c r="I323">
        <f>INDEX('TE_OA_20200805_INTRDY_2020-08-0'!$Q$2:$Q$870,MATCH(Filter!B323,'TE_OA_20200805_INTRDY_2020-08-0'!$G$2:$G$870))</f>
        <v>152212</v>
      </c>
      <c r="J323">
        <f>INDEX('TE_OA_20200805_INTRDY_2020-08-0'!$R$2:$R$870,MATCH(Filter!B323,'TE_OA_20200805_INTRDY_2020-08-0'!$G$2:$G$870))</f>
        <v>0</v>
      </c>
    </row>
    <row r="324" spans="1:10" x14ac:dyDescent="0.25">
      <c r="A324" t="str">
        <f>INDEX('Pipe Table'!$E$2:$E$10,MATCH(INDEX('TE_OA_20200805_INTRDY_2020-08-0'!$T$2:$T$870,MATCH(Filter!B324,'TE_OA_20200805_INTRDY_2020-08-0'!$G$2:$G$870,0)),'Pipe Table'!$D$2:$D$10,0))</f>
        <v>TETCO</v>
      </c>
      <c r="B324">
        <v>72827</v>
      </c>
      <c r="C324" t="str">
        <f>INDEX('TE_OA_20200805_INTRDY_2020-08-0'!$J$2:$J$870,MATCH(Filter!B324,'TE_OA_20200805_INTRDY_2020-08-0'!$G$2:$G$870))</f>
        <v>Delivery</v>
      </c>
      <c r="D324" t="str">
        <f>INDEX('Pipe Table'!$B$2:$B$14,MATCH(INDEX(TeAllPoints!$I$2:$I$957,MATCH(Filter!B324,TeAllPoints!$B$2:$B$957,0)),'Pipe Table'!$A$2:$A$14,0))</f>
        <v>LDC</v>
      </c>
      <c r="E324" t="str">
        <f>INDEX('TE_OA_20200805_INTRDY_2020-08-0'!$H$2:$H$870,MATCH(Filter!B324,'TE_OA_20200805_INTRDY_2020-08-0'!$G$2:$G$870))</f>
        <v>City Of Fulton - Itawamba Co., MS</v>
      </c>
      <c r="F324" t="str">
        <f>INDEX('Pipe Table'!$H$2:$H$8,MATCH('TE_OA_20200805_INTRDY_2020-08-0'!I305,'Pipe Table'!$G$2:$G$8,0))</f>
        <v>TETCO-M1</v>
      </c>
      <c r="G324" t="str">
        <f>INDEX(TeAllPoints!$D$2:$D$957,MATCH(Filter!B324,TeAllPoints!$B$2:$B$957,0))</f>
        <v>MS</v>
      </c>
      <c r="H324" t="str">
        <f>INDEX(TeAllPoints!$E$2:$E$957,MATCH(Filter!B324,TeAllPoints!$B$2:$B$957,0))</f>
        <v>ITAWAMBA</v>
      </c>
      <c r="I324">
        <f>INDEX('TE_OA_20200805_INTRDY_2020-08-0'!$Q$2:$Q$870,MATCH(Filter!B324,'TE_OA_20200805_INTRDY_2020-08-0'!$G$2:$G$870))</f>
        <v>4537</v>
      </c>
      <c r="J324">
        <f>INDEX('TE_OA_20200805_INTRDY_2020-08-0'!$R$2:$R$870,MATCH(Filter!B324,'TE_OA_20200805_INTRDY_2020-08-0'!$G$2:$G$870))</f>
        <v>25</v>
      </c>
    </row>
    <row r="325" spans="1:10" x14ac:dyDescent="0.25">
      <c r="A325" t="str">
        <f>INDEX('Pipe Table'!$E$2:$E$10,MATCH(INDEX('TE_OA_20200805_INTRDY_2020-08-0'!$T$2:$T$870,MATCH(Filter!B325,'TE_OA_20200805_INTRDY_2020-08-0'!$G$2:$G$870,0)),'Pipe Table'!$D$2:$D$10,0))</f>
        <v>TETCO</v>
      </c>
      <c r="B325">
        <v>72828</v>
      </c>
      <c r="C325" t="str">
        <f>INDEX('TE_OA_20200805_INTRDY_2020-08-0'!$J$2:$J$870,MATCH(Filter!B325,'TE_OA_20200805_INTRDY_2020-08-0'!$G$2:$G$870))</f>
        <v>Delivery</v>
      </c>
      <c r="D325" t="str">
        <f>INDEX('Pipe Table'!$B$2:$B$14,MATCH(INDEX(TeAllPoints!$I$2:$I$957,MATCH(Filter!B325,TeAllPoints!$B$2:$B$957,0)),'Pipe Table'!$A$2:$A$14,0))</f>
        <v>LDC</v>
      </c>
      <c r="E325" t="str">
        <f>INDEX('TE_OA_20200805_INTRDY_2020-08-0'!$H$2:$H$870,MATCH(Filter!B325,'TE_OA_20200805_INTRDY_2020-08-0'!$G$2:$G$870))</f>
        <v>RBS Gas Util. - Macon Co., TN</v>
      </c>
      <c r="F325" t="str">
        <f>INDEX('Pipe Table'!$H$2:$H$8,MATCH('TE_OA_20200805_INTRDY_2020-08-0'!I306,'Pipe Table'!$G$2:$G$8,0))</f>
        <v>TETCO-M1</v>
      </c>
      <c r="G325" t="str">
        <f>INDEX(TeAllPoints!$D$2:$D$957,MATCH(Filter!B325,TeAllPoints!$B$2:$B$957,0))</f>
        <v>TN</v>
      </c>
      <c r="H325" t="str">
        <f>INDEX(TeAllPoints!$E$2:$E$957,MATCH(Filter!B325,TeAllPoints!$B$2:$B$957,0))</f>
        <v>MACON</v>
      </c>
      <c r="I325">
        <f>INDEX('TE_OA_20200805_INTRDY_2020-08-0'!$Q$2:$Q$870,MATCH(Filter!B325,'TE_OA_20200805_INTRDY_2020-08-0'!$G$2:$G$870))</f>
        <v>625</v>
      </c>
      <c r="J325">
        <f>INDEX('TE_OA_20200805_INTRDY_2020-08-0'!$R$2:$R$870,MATCH(Filter!B325,'TE_OA_20200805_INTRDY_2020-08-0'!$G$2:$G$870))</f>
        <v>10</v>
      </c>
    </row>
    <row r="326" spans="1:10" x14ac:dyDescent="0.25">
      <c r="A326" t="str">
        <f>INDEX('Pipe Table'!$E$2:$E$10,MATCH(INDEX('TE_OA_20200805_INTRDY_2020-08-0'!$T$2:$T$870,MATCH(Filter!B326,'TE_OA_20200805_INTRDY_2020-08-0'!$G$2:$G$870,0)),'Pipe Table'!$D$2:$D$10,0))</f>
        <v>TETCO</v>
      </c>
      <c r="B326">
        <v>72831</v>
      </c>
      <c r="C326" t="str">
        <f>INDEX('TE_OA_20200805_INTRDY_2020-08-0'!$J$2:$J$870,MATCH(Filter!B326,'TE_OA_20200805_INTRDY_2020-08-0'!$G$2:$G$870))</f>
        <v>Receipt</v>
      </c>
      <c r="D326" t="str">
        <f>INDEX('Pipe Table'!$B$2:$B$14,MATCH(INDEX(TeAllPoints!$I$2:$I$957,MATCH(Filter!B326,TeAllPoints!$B$2:$B$957,0)),'Pipe Table'!$A$2:$A$14,0))</f>
        <v>Wellhead</v>
      </c>
      <c r="E326" t="str">
        <f>INDEX('TE_OA_20200805_INTRDY_2020-08-0'!$H$2:$H$870,MATCH(Filter!B326,'TE_OA_20200805_INTRDY_2020-08-0'!$G$2:$G$870))</f>
        <v>Northstar Offshore- South Pass 86</v>
      </c>
      <c r="F326" t="str">
        <f>INDEX('Pipe Table'!$H$2:$H$8,MATCH('TE_OA_20200805_INTRDY_2020-08-0'!I307,'Pipe Table'!$G$2:$G$8,0))</f>
        <v>TETCO-ELA</v>
      </c>
      <c r="G326" t="str">
        <f>INDEX(TeAllPoints!$D$2:$D$957,MATCH(Filter!B326,TeAllPoints!$B$2:$B$957,0))</f>
        <v>OF</v>
      </c>
      <c r="H326" t="str">
        <f>INDEX(TeAllPoints!$E$2:$E$957,MATCH(Filter!B326,TeAllPoints!$B$2:$B$957,0))</f>
        <v>SOUTH PASS</v>
      </c>
      <c r="I326">
        <f>INDEX('TE_OA_20200805_INTRDY_2020-08-0'!$Q$2:$Q$870,MATCH(Filter!B326,'TE_OA_20200805_INTRDY_2020-08-0'!$G$2:$G$870))</f>
        <v>132872</v>
      </c>
      <c r="J326">
        <f>INDEX('TE_OA_20200805_INTRDY_2020-08-0'!$R$2:$R$870,MATCH(Filter!B326,'TE_OA_20200805_INTRDY_2020-08-0'!$G$2:$G$870))</f>
        <v>1</v>
      </c>
    </row>
    <row r="327" spans="1:10" x14ac:dyDescent="0.25">
      <c r="A327" t="str">
        <f>INDEX('Pipe Table'!$E$2:$E$10,MATCH(INDEX('TE_OA_20200805_INTRDY_2020-08-0'!$T$2:$T$870,MATCH(Filter!B327,'TE_OA_20200805_INTRDY_2020-08-0'!$G$2:$G$870,0)),'Pipe Table'!$D$2:$D$10,0))</f>
        <v>TETCO</v>
      </c>
      <c r="B327">
        <v>72834</v>
      </c>
      <c r="C327" t="str">
        <f>INDEX('TE_OA_20200805_INTRDY_2020-08-0'!$J$2:$J$870,MATCH(Filter!B327,'TE_OA_20200805_INTRDY_2020-08-0'!$G$2:$G$870))</f>
        <v>Receipt</v>
      </c>
      <c r="D327" t="str">
        <f>INDEX('Pipe Table'!$B$2:$B$14,MATCH(INDEX(TeAllPoints!$I$2:$I$957,MATCH(Filter!B327,TeAllPoints!$B$2:$B$957,0)),'Pipe Table'!$A$2:$A$14,0))</f>
        <v>Wellhead</v>
      </c>
      <c r="E327" t="str">
        <f>INDEX('TE_OA_20200805_INTRDY_2020-08-0'!$H$2:$H$870,MATCH(Filter!B327,'TE_OA_20200805_INTRDY_2020-08-0'!$G$2:$G$870))</f>
        <v>Talon Energy LLC-Paul T Ray - LaFourche Psh., LA</v>
      </c>
      <c r="F327" t="str">
        <f>INDEX('Pipe Table'!$H$2:$H$8,MATCH('TE_OA_20200805_INTRDY_2020-08-0'!I308,'Pipe Table'!$G$2:$G$8,0))</f>
        <v>TETCO-ELA</v>
      </c>
      <c r="G327" t="str">
        <f>INDEX(TeAllPoints!$D$2:$D$957,MATCH(Filter!B327,TeAllPoints!$B$2:$B$957,0))</f>
        <v>LA</v>
      </c>
      <c r="H327" t="str">
        <f>INDEX(TeAllPoints!$E$2:$E$957,MATCH(Filter!B327,TeAllPoints!$B$2:$B$957,0))</f>
        <v>LAFOURCHE</v>
      </c>
      <c r="I327">
        <f>INDEX('TE_OA_20200805_INTRDY_2020-08-0'!$Q$2:$Q$870,MATCH(Filter!B327,'TE_OA_20200805_INTRDY_2020-08-0'!$G$2:$G$870))</f>
        <v>16781</v>
      </c>
      <c r="J327">
        <f>INDEX('TE_OA_20200805_INTRDY_2020-08-0'!$R$2:$R$870,MATCH(Filter!B327,'TE_OA_20200805_INTRDY_2020-08-0'!$G$2:$G$870))</f>
        <v>0</v>
      </c>
    </row>
    <row r="328" spans="1:10" x14ac:dyDescent="0.25">
      <c r="A328" t="str">
        <f>INDEX('Pipe Table'!$E$2:$E$10,MATCH(INDEX('TE_OA_20200805_INTRDY_2020-08-0'!$T$2:$T$870,MATCH(Filter!B328,'TE_OA_20200805_INTRDY_2020-08-0'!$G$2:$G$870,0)),'Pipe Table'!$D$2:$D$10,0))</f>
        <v>TETCO</v>
      </c>
      <c r="B328">
        <v>72837</v>
      </c>
      <c r="C328" t="str">
        <f>INDEX('TE_OA_20200805_INTRDY_2020-08-0'!$J$2:$J$870,MATCH(Filter!B328,'TE_OA_20200805_INTRDY_2020-08-0'!$G$2:$G$870))</f>
        <v>Receipt</v>
      </c>
      <c r="D328" t="str">
        <f>INDEX('Pipe Table'!$B$2:$B$14,MATCH(INDEX(TeAllPoints!$I$2:$I$957,MATCH(Filter!B328,TeAllPoints!$B$2:$B$957,0)),'Pipe Table'!$A$2:$A$14,0))</f>
        <v>Intrcnnct</v>
      </c>
      <c r="E328" t="str">
        <f>INDEX('TE_OA_20200805_INTRDY_2020-08-0'!$H$2:$H$870,MATCH(Filter!B328,'TE_OA_20200805_INTRDY_2020-08-0'!$G$2:$G$870))</f>
        <v>Monument Pipeline, LP - Harris County, TX</v>
      </c>
      <c r="F328" t="str">
        <f>INDEX('Pipe Table'!$H$2:$H$8,MATCH('TE_OA_20200805_INTRDY_2020-08-0'!I309,'Pipe Table'!$G$2:$G$8,0))</f>
        <v>TETCO-STX</v>
      </c>
      <c r="G328" t="str">
        <f>INDEX(TeAllPoints!$D$2:$D$957,MATCH(Filter!B328,TeAllPoints!$B$2:$B$957,0))</f>
        <v>TX</v>
      </c>
      <c r="H328" t="str">
        <f>INDEX(TeAllPoints!$E$2:$E$957,MATCH(Filter!B328,TeAllPoints!$B$2:$B$957,0))</f>
        <v>HARRIS</v>
      </c>
      <c r="I328">
        <f>INDEX('TE_OA_20200805_INTRDY_2020-08-0'!$Q$2:$Q$870,MATCH(Filter!B328,'TE_OA_20200805_INTRDY_2020-08-0'!$G$2:$G$870))</f>
        <v>135355</v>
      </c>
      <c r="J328">
        <f>INDEX('TE_OA_20200805_INTRDY_2020-08-0'!$R$2:$R$870,MATCH(Filter!B328,'TE_OA_20200805_INTRDY_2020-08-0'!$G$2:$G$870))</f>
        <v>0</v>
      </c>
    </row>
    <row r="329" spans="1:10" x14ac:dyDescent="0.25">
      <c r="A329" t="str">
        <f>INDEX('Pipe Table'!$E$2:$E$10,MATCH(INDEX('TE_OA_20200805_INTRDY_2020-08-0'!$T$2:$T$870,MATCH(Filter!B329,'TE_OA_20200805_INTRDY_2020-08-0'!$G$2:$G$870,0)),'Pipe Table'!$D$2:$D$10,0))</f>
        <v>TETCO</v>
      </c>
      <c r="B329">
        <v>72848</v>
      </c>
      <c r="C329" t="str">
        <f>INDEX('TE_OA_20200805_INTRDY_2020-08-0'!$J$2:$J$870,MATCH(Filter!B329,'TE_OA_20200805_INTRDY_2020-08-0'!$G$2:$G$870))</f>
        <v>Receipt</v>
      </c>
      <c r="D329" t="str">
        <f>INDEX('Pipe Table'!$B$2:$B$14,MATCH(INDEX(TeAllPoints!$I$2:$I$957,MATCH(Filter!B329,TeAllPoints!$B$2:$B$957,0)),'Pipe Table'!$A$2:$A$14,0))</f>
        <v>Intrcnnct</v>
      </c>
      <c r="E329" t="str">
        <f>INDEX('TE_OA_20200805_INTRDY_2020-08-0'!$H$2:$H$870,MATCH(Filter!B329,'TE_OA_20200805_INTRDY_2020-08-0'!$G$2:$G$870))</f>
        <v>Ozark Gas - Greene Co., AR</v>
      </c>
      <c r="F329" t="str">
        <f>INDEX('Pipe Table'!$H$2:$H$8,MATCH('TE_OA_20200805_INTRDY_2020-08-0'!I310,'Pipe Table'!$G$2:$G$8,0))</f>
        <v>TETCO-M1</v>
      </c>
      <c r="G329" t="str">
        <f>INDEX(TeAllPoints!$D$2:$D$957,MATCH(Filter!B329,TeAllPoints!$B$2:$B$957,0))</f>
        <v>AR</v>
      </c>
      <c r="H329" t="str">
        <f>INDEX(TeAllPoints!$E$2:$E$957,MATCH(Filter!B329,TeAllPoints!$B$2:$B$957,0))</f>
        <v>GREENE</v>
      </c>
      <c r="I329">
        <f>INDEX('TE_OA_20200805_INTRDY_2020-08-0'!$Q$2:$Q$870,MATCH(Filter!B329,'TE_OA_20200805_INTRDY_2020-08-0'!$G$2:$G$870))</f>
        <v>90000</v>
      </c>
      <c r="J329">
        <f>INDEX('TE_OA_20200805_INTRDY_2020-08-0'!$R$2:$R$870,MATCH(Filter!B329,'TE_OA_20200805_INTRDY_2020-08-0'!$G$2:$G$870))</f>
        <v>3397</v>
      </c>
    </row>
    <row r="330" spans="1:10" x14ac:dyDescent="0.25">
      <c r="A330" t="str">
        <f>INDEX('Pipe Table'!$E$2:$E$10,MATCH(INDEX('TE_OA_20200805_INTRDY_2020-08-0'!$T$2:$T$870,MATCH(Filter!B330,'TE_OA_20200805_INTRDY_2020-08-0'!$G$2:$G$870,0)),'Pipe Table'!$D$2:$D$10,0))</f>
        <v>TETCO</v>
      </c>
      <c r="B330">
        <v>72849</v>
      </c>
      <c r="C330" t="str">
        <f>INDEX('TE_OA_20200805_INTRDY_2020-08-0'!$J$2:$J$870,MATCH(Filter!B330,'TE_OA_20200805_INTRDY_2020-08-0'!$G$2:$G$870))</f>
        <v>Receipt</v>
      </c>
      <c r="D330" t="str">
        <f>INDEX('Pipe Table'!$B$2:$B$14,MATCH(INDEX(TeAllPoints!$I$2:$I$957,MATCH(Filter!B330,TeAllPoints!$B$2:$B$957,0)),'Pipe Table'!$A$2:$A$14,0))</f>
        <v>Wellhead</v>
      </c>
      <c r="E330" t="str">
        <f>INDEX('TE_OA_20200805_INTRDY_2020-08-0'!$H$2:$H$870,MATCH(Filter!B330,'TE_OA_20200805_INTRDY_2020-08-0'!$G$2:$G$870))</f>
        <v>ENI Petroleum US LLC - 365 MC, LA</v>
      </c>
      <c r="F330" t="str">
        <f>INDEX('Pipe Table'!$H$2:$H$8,MATCH('TE_OA_20200805_INTRDY_2020-08-0'!I311,'Pipe Table'!$G$2:$G$8,0))</f>
        <v>TETCO-ELA</v>
      </c>
      <c r="G330" t="str">
        <f>INDEX(TeAllPoints!$D$2:$D$957,MATCH(Filter!B330,TeAllPoints!$B$2:$B$957,0))</f>
        <v>OF</v>
      </c>
      <c r="H330" t="str">
        <f>INDEX(TeAllPoints!$E$2:$E$957,MATCH(Filter!B330,TeAllPoints!$B$2:$B$957,0))</f>
        <v>MAIN PASS</v>
      </c>
      <c r="I330">
        <f>INDEX('TE_OA_20200805_INTRDY_2020-08-0'!$Q$2:$Q$870,MATCH(Filter!B330,'TE_OA_20200805_INTRDY_2020-08-0'!$G$2:$G$870))</f>
        <v>160987</v>
      </c>
      <c r="J330">
        <f>INDEX('TE_OA_20200805_INTRDY_2020-08-0'!$R$2:$R$870,MATCH(Filter!B330,'TE_OA_20200805_INTRDY_2020-08-0'!$G$2:$G$870))</f>
        <v>36039</v>
      </c>
    </row>
    <row r="331" spans="1:10" x14ac:dyDescent="0.25">
      <c r="A331" t="str">
        <f>INDEX('Pipe Table'!$E$2:$E$10,MATCH(INDEX('TE_OA_20200805_INTRDY_2020-08-0'!$T$2:$T$870,MATCH(Filter!B331,'TE_OA_20200805_INTRDY_2020-08-0'!$G$2:$G$870,0)),'Pipe Table'!$D$2:$D$10,0))</f>
        <v>TETCO</v>
      </c>
      <c r="B331">
        <v>72856</v>
      </c>
      <c r="C331" t="str">
        <f>INDEX('TE_OA_20200805_INTRDY_2020-08-0'!$J$2:$J$870,MATCH(Filter!B331,'TE_OA_20200805_INTRDY_2020-08-0'!$G$2:$G$870))</f>
        <v>Delivery</v>
      </c>
      <c r="D331" t="str">
        <f>INDEX('Pipe Table'!$B$2:$B$14,MATCH(INDEX(TeAllPoints!$I$2:$I$957,MATCH(Filter!B331,TeAllPoints!$B$2:$B$957,0)),'Pipe Table'!$A$2:$A$14,0))</f>
        <v>LDC</v>
      </c>
      <c r="E331" t="str">
        <f>INDEX('TE_OA_20200805_INTRDY_2020-08-0'!$H$2:$H$870,MATCH(Filter!B331,'TE_OA_20200805_INTRDY_2020-08-0'!$G$2:$G$870))</f>
        <v>Onalaska Water &amp; Gas Corporation - Polk County, TX</v>
      </c>
      <c r="F331" t="str">
        <f>INDEX('Pipe Table'!$H$2:$H$8,MATCH('TE_OA_20200805_INTRDY_2020-08-0'!I312,'Pipe Table'!$G$2:$G$8,0))</f>
        <v>TETCO-ETX</v>
      </c>
      <c r="G331" t="str">
        <f>INDEX(TeAllPoints!$D$2:$D$957,MATCH(Filter!B331,TeAllPoints!$B$2:$B$957,0))</f>
        <v>TX</v>
      </c>
      <c r="H331" t="str">
        <f>INDEX(TeAllPoints!$E$2:$E$957,MATCH(Filter!B331,TeAllPoints!$B$2:$B$957,0))</f>
        <v>POLK</v>
      </c>
      <c r="I331">
        <f>INDEX('TE_OA_20200805_INTRDY_2020-08-0'!$Q$2:$Q$870,MATCH(Filter!B331,'TE_OA_20200805_INTRDY_2020-08-0'!$G$2:$G$870))</f>
        <v>1994</v>
      </c>
      <c r="J331">
        <f>INDEX('TE_OA_20200805_INTRDY_2020-08-0'!$R$2:$R$870,MATCH(Filter!B331,'TE_OA_20200805_INTRDY_2020-08-0'!$G$2:$G$870))</f>
        <v>20</v>
      </c>
    </row>
    <row r="332" spans="1:10" x14ac:dyDescent="0.25">
      <c r="A332" t="str">
        <f>INDEX('Pipe Table'!$E$2:$E$10,MATCH(INDEX('TE_OA_20200805_INTRDY_2020-08-0'!$T$2:$T$870,MATCH(Filter!B332,'TE_OA_20200805_INTRDY_2020-08-0'!$G$2:$G$870,0)),'Pipe Table'!$D$2:$D$10,0))</f>
        <v>TETCO</v>
      </c>
      <c r="B332">
        <v>72857</v>
      </c>
      <c r="C332" t="str">
        <f>INDEX('TE_OA_20200805_INTRDY_2020-08-0'!$J$2:$J$870,MATCH(Filter!B332,'TE_OA_20200805_INTRDY_2020-08-0'!$G$2:$G$870))</f>
        <v>Receipt</v>
      </c>
      <c r="D332" t="str">
        <f>INDEX('Pipe Table'!$B$2:$B$14,MATCH(INDEX(TeAllPoints!$I$2:$I$957,MATCH(Filter!B332,TeAllPoints!$B$2:$B$957,0)),'Pipe Table'!$A$2:$A$14,0))</f>
        <v>Wellhead</v>
      </c>
      <c r="E332" t="str">
        <f>INDEX('TE_OA_20200805_INTRDY_2020-08-0'!$H$2:$H$870,MATCH(Filter!B332,'TE_OA_20200805_INTRDY_2020-08-0'!$G$2:$G$870))</f>
        <v>Exchange Oil &amp; Gas - Wilkinson Co., MS</v>
      </c>
      <c r="F332" t="str">
        <f>INDEX('Pipe Table'!$H$2:$H$8,MATCH('TE_OA_20200805_INTRDY_2020-08-0'!I313,'Pipe Table'!$G$2:$G$8,0))</f>
        <v>TETCO-ELA</v>
      </c>
      <c r="G332" t="str">
        <f>INDEX(TeAllPoints!$D$2:$D$957,MATCH(Filter!B332,TeAllPoints!$B$2:$B$957,0))</f>
        <v>MS</v>
      </c>
      <c r="H332" t="str">
        <f>INDEX(TeAllPoints!$E$2:$E$957,MATCH(Filter!B332,TeAllPoints!$B$2:$B$957,0))</f>
        <v>WILKINSON</v>
      </c>
      <c r="I332">
        <f>INDEX('TE_OA_20200805_INTRDY_2020-08-0'!$Q$2:$Q$870,MATCH(Filter!B332,'TE_OA_20200805_INTRDY_2020-08-0'!$G$2:$G$870))</f>
        <v>8706</v>
      </c>
      <c r="J332">
        <f>INDEX('TE_OA_20200805_INTRDY_2020-08-0'!$R$2:$R$870,MATCH(Filter!B332,'TE_OA_20200805_INTRDY_2020-08-0'!$G$2:$G$870))</f>
        <v>0</v>
      </c>
    </row>
    <row r="333" spans="1:10" x14ac:dyDescent="0.25">
      <c r="A333" t="str">
        <f>INDEX('Pipe Table'!$E$2:$E$10,MATCH(INDEX('TE_OA_20200805_INTRDY_2020-08-0'!$T$2:$T$870,MATCH(Filter!B333,'TE_OA_20200805_INTRDY_2020-08-0'!$G$2:$G$870,0)),'Pipe Table'!$D$2:$D$10,0))</f>
        <v>TETCO</v>
      </c>
      <c r="B333">
        <v>72863</v>
      </c>
      <c r="C333" t="str">
        <f>INDEX('TE_OA_20200805_INTRDY_2020-08-0'!$J$2:$J$870,MATCH(Filter!B333,'TE_OA_20200805_INTRDY_2020-08-0'!$G$2:$G$870))</f>
        <v>Delivery</v>
      </c>
      <c r="D333" t="str">
        <f>INDEX('Pipe Table'!$B$2:$B$14,MATCH(INDEX(TeAllPoints!$I$2:$I$957,MATCH(Filter!B333,TeAllPoints!$B$2:$B$957,0)),'Pipe Table'!$A$2:$A$14,0))</f>
        <v>EndUsr</v>
      </c>
      <c r="E333" t="str">
        <f>INDEX('TE_OA_20200805_INTRDY_2020-08-0'!$H$2:$H$870,MATCH(Filter!B333,'TE_OA_20200805_INTRDY_2020-08-0'!$G$2:$G$870))</f>
        <v>Delmarva Power &amp; Light - New Castle, DE (Ultra Sonic Mtrs)</v>
      </c>
      <c r="F333" t="str">
        <f>INDEX('Pipe Table'!$H$2:$H$8,MATCH('TE_OA_20200805_INTRDY_2020-08-0'!I314,'Pipe Table'!$G$2:$G$8,0))</f>
        <v>TETCO-M3</v>
      </c>
      <c r="G333" t="str">
        <f>INDEX(TeAllPoints!$D$2:$D$957,MATCH(Filter!B333,TeAllPoints!$B$2:$B$957,0))</f>
        <v>DE</v>
      </c>
      <c r="H333" t="str">
        <f>INDEX(TeAllPoints!$E$2:$E$957,MATCH(Filter!B333,TeAllPoints!$B$2:$B$957,0))</f>
        <v>NEW CASTLE</v>
      </c>
      <c r="I333">
        <f>INDEX('TE_OA_20200805_INTRDY_2020-08-0'!$Q$2:$Q$870,MATCH(Filter!B333,'TE_OA_20200805_INTRDY_2020-08-0'!$G$2:$G$870))</f>
        <v>295135</v>
      </c>
      <c r="J333">
        <f>INDEX('TE_OA_20200805_INTRDY_2020-08-0'!$R$2:$R$870,MATCH(Filter!B333,'TE_OA_20200805_INTRDY_2020-08-0'!$G$2:$G$870))</f>
        <v>29898</v>
      </c>
    </row>
    <row r="334" spans="1:10" x14ac:dyDescent="0.25">
      <c r="A334" t="str">
        <f>INDEX('Pipe Table'!$E$2:$E$10,MATCH(INDEX('TE_OA_20200805_INTRDY_2020-08-0'!$T$2:$T$870,MATCH(Filter!B334,'TE_OA_20200805_INTRDY_2020-08-0'!$G$2:$G$870,0)),'Pipe Table'!$D$2:$D$10,0))</f>
        <v>TETCO</v>
      </c>
      <c r="B334">
        <v>72871</v>
      </c>
      <c r="C334" t="str">
        <f>INDEX('TE_OA_20200805_INTRDY_2020-08-0'!$J$2:$J$870,MATCH(Filter!B334,'TE_OA_20200805_INTRDY_2020-08-0'!$G$2:$G$870))</f>
        <v>Delivery</v>
      </c>
      <c r="D334" t="str">
        <f>INDEX('Pipe Table'!$B$2:$B$14,MATCH(INDEX(TeAllPoints!$I$2:$I$957,MATCH(Filter!B334,TeAllPoints!$B$2:$B$957,0)),'Pipe Table'!$A$2:$A$14,0))</f>
        <v>Intrcnnct</v>
      </c>
      <c r="E334" t="str">
        <f>INDEX('TE_OA_20200805_INTRDY_2020-08-0'!$H$2:$H$870,MATCH(Filter!B334,'TE_OA_20200805_INTRDY_2020-08-0'!$G$2:$G$870))</f>
        <v>NorAm -  Bodcaw, AR</v>
      </c>
      <c r="F334" t="str">
        <f>INDEX('Pipe Table'!$H$2:$H$8,MATCH('TE_OA_20200805_INTRDY_2020-08-0'!I315,'Pipe Table'!$G$2:$G$8,0))</f>
        <v>TETCO-ETX</v>
      </c>
      <c r="G334" t="str">
        <f>INDEX(TeAllPoints!$D$2:$D$957,MATCH(Filter!B334,TeAllPoints!$B$2:$B$957,0))</f>
        <v>AR</v>
      </c>
      <c r="H334" t="str">
        <f>INDEX(TeAllPoints!$E$2:$E$957,MATCH(Filter!B334,TeAllPoints!$B$2:$B$957,0))</f>
        <v>NEVADA</v>
      </c>
      <c r="I334">
        <f>INDEX('TE_OA_20200805_INTRDY_2020-08-0'!$Q$2:$Q$870,MATCH(Filter!B334,'TE_OA_20200805_INTRDY_2020-08-0'!$G$2:$G$870))</f>
        <v>4104</v>
      </c>
      <c r="J334">
        <f>INDEX('TE_OA_20200805_INTRDY_2020-08-0'!$R$2:$R$870,MATCH(Filter!B334,'TE_OA_20200805_INTRDY_2020-08-0'!$G$2:$G$870))</f>
        <v>5</v>
      </c>
    </row>
    <row r="335" spans="1:10" x14ac:dyDescent="0.25">
      <c r="A335" t="str">
        <f>INDEX('Pipe Table'!$E$2:$E$10,MATCH(INDEX('TE_OA_20200805_INTRDY_2020-08-0'!$T$2:$T$870,MATCH(Filter!B335,'TE_OA_20200805_INTRDY_2020-08-0'!$G$2:$G$870,0)),'Pipe Table'!$D$2:$D$10,0))</f>
        <v>TETCO</v>
      </c>
      <c r="B335">
        <v>72874</v>
      </c>
      <c r="C335" t="str">
        <f>INDEX('TE_OA_20200805_INTRDY_2020-08-0'!$J$2:$J$870,MATCH(Filter!B335,'TE_OA_20200805_INTRDY_2020-08-0'!$G$2:$G$870))</f>
        <v>Delivery</v>
      </c>
      <c r="D335" t="str">
        <f>INDEX('Pipe Table'!$B$2:$B$14,MATCH(INDEX(TeAllPoints!$I$2:$I$957,MATCH(Filter!B335,TeAllPoints!$B$2:$B$957,0)),'Pipe Table'!$A$2:$A$14,0))</f>
        <v>LDC</v>
      </c>
      <c r="E335" t="str">
        <f>INDEX('TE_OA_20200805_INTRDY_2020-08-0'!$H$2:$H$870,MATCH(Filter!B335,'TE_OA_20200805_INTRDY_2020-08-0'!$G$2:$G$870))</f>
        <v>St. Joseph - Lawrence Co., TN</v>
      </c>
      <c r="F335" t="str">
        <f>INDEX('Pipe Table'!$H$2:$H$8,MATCH('TE_OA_20200805_INTRDY_2020-08-0'!I316,'Pipe Table'!$G$2:$G$8,0))</f>
        <v>TETCO-M1</v>
      </c>
      <c r="G335" t="str">
        <f>INDEX(TeAllPoints!$D$2:$D$957,MATCH(Filter!B335,TeAllPoints!$B$2:$B$957,0))</f>
        <v>TN</v>
      </c>
      <c r="H335" t="str">
        <f>INDEX(TeAllPoints!$E$2:$E$957,MATCH(Filter!B335,TeAllPoints!$B$2:$B$957,0))</f>
        <v>LAWRENCE</v>
      </c>
      <c r="I335">
        <f>INDEX('TE_OA_20200805_INTRDY_2020-08-0'!$Q$2:$Q$870,MATCH(Filter!B335,'TE_OA_20200805_INTRDY_2020-08-0'!$G$2:$G$870))</f>
        <v>5779</v>
      </c>
      <c r="J335">
        <f>INDEX('TE_OA_20200805_INTRDY_2020-08-0'!$R$2:$R$870,MATCH(Filter!B335,'TE_OA_20200805_INTRDY_2020-08-0'!$G$2:$G$870))</f>
        <v>0</v>
      </c>
    </row>
    <row r="336" spans="1:10" x14ac:dyDescent="0.25">
      <c r="A336" t="str">
        <f>INDEX('Pipe Table'!$E$2:$E$10,MATCH(INDEX('TE_OA_20200805_INTRDY_2020-08-0'!$T$2:$T$870,MATCH(Filter!B336,'TE_OA_20200805_INTRDY_2020-08-0'!$G$2:$G$870,0)),'Pipe Table'!$D$2:$D$10,0))</f>
        <v>TETCO</v>
      </c>
      <c r="B336">
        <v>72877</v>
      </c>
      <c r="C336" t="str">
        <f>INDEX('TE_OA_20200805_INTRDY_2020-08-0'!$J$2:$J$870,MATCH(Filter!B336,'TE_OA_20200805_INTRDY_2020-08-0'!$G$2:$G$870))</f>
        <v>Delivery</v>
      </c>
      <c r="D336" t="str">
        <f>INDEX('Pipe Table'!$B$2:$B$14,MATCH(INDEX(TeAllPoints!$I$2:$I$957,MATCH(Filter!B336,TeAllPoints!$B$2:$B$957,0)),'Pipe Table'!$A$2:$A$14,0))</f>
        <v>EndUsr</v>
      </c>
      <c r="E336" t="str">
        <f>INDEX('TE_OA_20200805_INTRDY_2020-08-0'!$H$2:$H$870,MATCH(Filter!B336,'TE_OA_20200805_INTRDY_2020-08-0'!$G$2:$G$870))</f>
        <v>Denbury Onshore, LLC</v>
      </c>
      <c r="F336" t="str">
        <f>INDEX('Pipe Table'!$H$2:$H$8,MATCH('TE_OA_20200805_INTRDY_2020-08-0'!I317,'Pipe Table'!$G$2:$G$8,0))</f>
        <v>TETCO-STX</v>
      </c>
      <c r="G336" t="str">
        <f>INDEX(TeAllPoints!$D$2:$D$957,MATCH(Filter!B336,TeAllPoints!$B$2:$B$957,0))</f>
        <v>TX</v>
      </c>
      <c r="H336" t="str">
        <f>INDEX(TeAllPoints!$E$2:$E$957,MATCH(Filter!B336,TeAllPoints!$B$2:$B$957,0))</f>
        <v>BRAZORIA</v>
      </c>
      <c r="I336">
        <f>INDEX('TE_OA_20200805_INTRDY_2020-08-0'!$Q$2:$Q$870,MATCH(Filter!B336,'TE_OA_20200805_INTRDY_2020-08-0'!$G$2:$G$870))</f>
        <v>15472</v>
      </c>
      <c r="J336">
        <f>INDEX('TE_OA_20200805_INTRDY_2020-08-0'!$R$2:$R$870,MATCH(Filter!B336,'TE_OA_20200805_INTRDY_2020-08-0'!$G$2:$G$870))</f>
        <v>475</v>
      </c>
    </row>
    <row r="337" spans="1:10" x14ac:dyDescent="0.25">
      <c r="A337" t="str">
        <f>INDEX('Pipe Table'!$E$2:$E$10,MATCH(INDEX('TE_OA_20200805_INTRDY_2020-08-0'!$T$2:$T$870,MATCH(Filter!B337,'TE_OA_20200805_INTRDY_2020-08-0'!$G$2:$G$870,0)),'Pipe Table'!$D$2:$D$10,0))</f>
        <v>TETCO</v>
      </c>
      <c r="B337">
        <v>72890</v>
      </c>
      <c r="C337" t="str">
        <f>INDEX('TE_OA_20200805_INTRDY_2020-08-0'!$J$2:$J$870,MATCH(Filter!B337,'TE_OA_20200805_INTRDY_2020-08-0'!$G$2:$G$870))</f>
        <v>Delivery</v>
      </c>
      <c r="D337" t="str">
        <f>INDEX('Pipe Table'!$B$2:$B$14,MATCH(INDEX(TeAllPoints!$I$2:$I$957,MATCH(Filter!B337,TeAllPoints!$B$2:$B$957,0)),'Pipe Table'!$A$2:$A$14,0))</f>
        <v>Intrcnnct</v>
      </c>
      <c r="E337" t="str">
        <f>INDEX('TE_OA_20200805_INTRDY_2020-08-0'!$H$2:$H$870,MATCH(Filter!B337,'TE_OA_20200805_INTRDY_2020-08-0'!$G$2:$G$870))</f>
        <v>Louisiana Intrastate Gas - Iberville Psh., LA (DEL)</v>
      </c>
      <c r="F337" t="str">
        <f>INDEX('Pipe Table'!$H$2:$H$8,MATCH('TE_OA_20200805_INTRDY_2020-08-0'!I318,'Pipe Table'!$G$2:$G$8,0))</f>
        <v>TETCO-ELA</v>
      </c>
      <c r="G337" t="str">
        <f>INDEX(TeAllPoints!$D$2:$D$957,MATCH(Filter!B337,TeAllPoints!$B$2:$B$957,0))</f>
        <v>LA</v>
      </c>
      <c r="H337" t="str">
        <f>INDEX(TeAllPoints!$E$2:$E$957,MATCH(Filter!B337,TeAllPoints!$B$2:$B$957,0))</f>
        <v>IBERVILLE</v>
      </c>
      <c r="I337">
        <f>INDEX('TE_OA_20200805_INTRDY_2020-08-0'!$Q$2:$Q$870,MATCH(Filter!B337,'TE_OA_20200805_INTRDY_2020-08-0'!$G$2:$G$870))</f>
        <v>65618</v>
      </c>
      <c r="J337">
        <f>INDEX('TE_OA_20200805_INTRDY_2020-08-0'!$R$2:$R$870,MATCH(Filter!B337,'TE_OA_20200805_INTRDY_2020-08-0'!$G$2:$G$870))</f>
        <v>0</v>
      </c>
    </row>
    <row r="338" spans="1:10" x14ac:dyDescent="0.25">
      <c r="A338" t="str">
        <f>INDEX('Pipe Table'!$E$2:$E$10,MATCH(INDEX('TE_OA_20200805_INTRDY_2020-08-0'!$T$2:$T$870,MATCH(Filter!B338,'TE_OA_20200805_INTRDY_2020-08-0'!$G$2:$G$870,0)),'Pipe Table'!$D$2:$D$10,0))</f>
        <v>TETCO</v>
      </c>
      <c r="B338">
        <v>72892</v>
      </c>
      <c r="C338" t="str">
        <f>INDEX('TE_OA_20200805_INTRDY_2020-08-0'!$J$2:$J$870,MATCH(Filter!B338,'TE_OA_20200805_INTRDY_2020-08-0'!$G$2:$G$870))</f>
        <v>Receipt</v>
      </c>
      <c r="D338" t="str">
        <f>INDEX('Pipe Table'!$B$2:$B$14,MATCH(INDEX(TeAllPoints!$I$2:$I$957,MATCH(Filter!B338,TeAllPoints!$B$2:$B$957,0)),'Pipe Table'!$A$2:$A$14,0))</f>
        <v>Intrcnnct</v>
      </c>
      <c r="E338" t="str">
        <f>INDEX('TE_OA_20200805_INTRDY_2020-08-0'!$H$2:$H$870,MATCH(Filter!B338,'TE_OA_20200805_INTRDY_2020-08-0'!$G$2:$G$870))</f>
        <v>Enterprise Texas Pipeline, LLC - Panola County, TX (REC)</v>
      </c>
      <c r="F338" t="str">
        <f>INDEX('Pipe Table'!$H$2:$H$8,MATCH('TE_OA_20200805_INTRDY_2020-08-0'!I319,'Pipe Table'!$G$2:$G$8,0))</f>
        <v>TETCO-ETX</v>
      </c>
      <c r="G338" t="str">
        <f>INDEX(TeAllPoints!$D$2:$D$957,MATCH(Filter!B338,TeAllPoints!$B$2:$B$957,0))</f>
        <v>TX</v>
      </c>
      <c r="H338" t="str">
        <f>INDEX(TeAllPoints!$E$2:$E$957,MATCH(Filter!B338,TeAllPoints!$B$2:$B$957,0))</f>
        <v>PANOLA</v>
      </c>
      <c r="I338">
        <f>INDEX('TE_OA_20200805_INTRDY_2020-08-0'!$Q$2:$Q$870,MATCH(Filter!B338,'TE_OA_20200805_INTRDY_2020-08-0'!$G$2:$G$870))</f>
        <v>152285</v>
      </c>
      <c r="J338">
        <f>INDEX('TE_OA_20200805_INTRDY_2020-08-0'!$R$2:$R$870,MATCH(Filter!B338,'TE_OA_20200805_INTRDY_2020-08-0'!$G$2:$G$870))</f>
        <v>0</v>
      </c>
    </row>
    <row r="339" spans="1:10" x14ac:dyDescent="0.25">
      <c r="A339" t="str">
        <f>INDEX('Pipe Table'!$E$2:$E$10,MATCH(INDEX('TE_OA_20200805_INTRDY_2020-08-0'!$T$2:$T$870,MATCH(Filter!B339,'TE_OA_20200805_INTRDY_2020-08-0'!$G$2:$G$870,0)),'Pipe Table'!$D$2:$D$10,0))</f>
        <v>TETCO</v>
      </c>
      <c r="B339">
        <v>72897</v>
      </c>
      <c r="C339" t="str">
        <f>INDEX('TE_OA_20200805_INTRDY_2020-08-0'!$J$2:$J$870,MATCH(Filter!B339,'TE_OA_20200805_INTRDY_2020-08-0'!$G$2:$G$870))</f>
        <v>Receipt</v>
      </c>
      <c r="D339" t="str">
        <f>INDEX('Pipe Table'!$B$2:$B$14,MATCH(INDEX(TeAllPoints!$I$2:$I$957,MATCH(Filter!B339,TeAllPoints!$B$2:$B$957,0)),'Pipe Table'!$A$2:$A$14,0))</f>
        <v>Wellhead</v>
      </c>
      <c r="E339" t="str">
        <f>INDEX('TE_OA_20200805_INTRDY_2020-08-0'!$H$2:$H$870,MATCH(Filter!B339,'TE_OA_20200805_INTRDY_2020-08-0'!$G$2:$G$870))</f>
        <v>Desco Oil Company - Cameron Psh., LA</v>
      </c>
      <c r="F339" t="str">
        <f>INDEX('Pipe Table'!$H$2:$H$8,MATCH('TE_OA_20200805_INTRDY_2020-08-0'!I320,'Pipe Table'!$G$2:$G$8,0))</f>
        <v>TETCO-WLA</v>
      </c>
      <c r="G339" t="str">
        <f>INDEX(TeAllPoints!$D$2:$D$957,MATCH(Filter!B339,TeAllPoints!$B$2:$B$957,0))</f>
        <v>LA</v>
      </c>
      <c r="H339" t="str">
        <f>INDEX(TeAllPoints!$E$2:$E$957,MATCH(Filter!B339,TeAllPoints!$B$2:$B$957,0))</f>
        <v>CAMERON</v>
      </c>
      <c r="I339">
        <f>INDEX('TE_OA_20200805_INTRDY_2020-08-0'!$Q$2:$Q$870,MATCH(Filter!B339,'TE_OA_20200805_INTRDY_2020-08-0'!$G$2:$G$870))</f>
        <v>4060</v>
      </c>
      <c r="J339">
        <f>INDEX('TE_OA_20200805_INTRDY_2020-08-0'!$R$2:$R$870,MATCH(Filter!B339,'TE_OA_20200805_INTRDY_2020-08-0'!$G$2:$G$870))</f>
        <v>0</v>
      </c>
    </row>
    <row r="340" spans="1:10" x14ac:dyDescent="0.25">
      <c r="A340" t="str">
        <f>INDEX('Pipe Table'!$E$2:$E$10,MATCH(INDEX('TE_OA_20200805_INTRDY_2020-08-0'!$T$2:$T$870,MATCH(Filter!B340,'TE_OA_20200805_INTRDY_2020-08-0'!$G$2:$G$870,0)),'Pipe Table'!$D$2:$D$10,0))</f>
        <v>TETCO</v>
      </c>
      <c r="B340">
        <v>72903</v>
      </c>
      <c r="C340" t="str">
        <f>INDEX('TE_OA_20200805_INTRDY_2020-08-0'!$J$2:$J$870,MATCH(Filter!B340,'TE_OA_20200805_INTRDY_2020-08-0'!$G$2:$G$870))</f>
        <v>Delivery</v>
      </c>
      <c r="D340" t="str">
        <f>INDEX('Pipe Table'!$B$2:$B$14,MATCH(INDEX(TeAllPoints!$I$2:$I$957,MATCH(Filter!B340,TeAllPoints!$B$2:$B$957,0)),'Pipe Table'!$A$2:$A$14,0))</f>
        <v>Intrcnnct</v>
      </c>
      <c r="E340" t="str">
        <f>INDEX('TE_OA_20200805_INTRDY_2020-08-0'!$H$2:$H$870,MATCH(Filter!B340,'TE_OA_20200805_INTRDY_2020-08-0'!$G$2:$G$870))</f>
        <v>ANR - Glen Karn - (72903)</v>
      </c>
      <c r="F340" t="str">
        <f>INDEX('Pipe Table'!$H$2:$H$8,MATCH('TE_OA_20200805_INTRDY_2020-08-0'!I321,'Pipe Table'!$G$2:$G$8,0))</f>
        <v>TETCO-M2</v>
      </c>
      <c r="G340" t="str">
        <f>INDEX(TeAllPoints!$D$2:$D$957,MATCH(Filter!B340,TeAllPoints!$B$2:$B$957,0))</f>
        <v>OH</v>
      </c>
      <c r="H340" t="str">
        <f>INDEX(TeAllPoints!$E$2:$E$957,MATCH(Filter!B340,TeAllPoints!$B$2:$B$957,0))</f>
        <v>DARKE</v>
      </c>
      <c r="I340">
        <f>INDEX('TE_OA_20200805_INTRDY_2020-08-0'!$Q$2:$Q$870,MATCH(Filter!B340,'TE_OA_20200805_INTRDY_2020-08-0'!$G$2:$G$870))</f>
        <v>932170</v>
      </c>
      <c r="J340">
        <f>INDEX('TE_OA_20200805_INTRDY_2020-08-0'!$R$2:$R$870,MATCH(Filter!B340,'TE_OA_20200805_INTRDY_2020-08-0'!$G$2:$G$870))</f>
        <v>-8635</v>
      </c>
    </row>
    <row r="341" spans="1:10" x14ac:dyDescent="0.25">
      <c r="A341" t="str">
        <f>INDEX('Pipe Table'!$E$2:$E$10,MATCH(INDEX('TE_OA_20200805_INTRDY_2020-08-0'!$T$2:$T$870,MATCH(Filter!B341,'TE_OA_20200805_INTRDY_2020-08-0'!$G$2:$G$870,0)),'Pipe Table'!$D$2:$D$10,0))</f>
        <v>TETCO</v>
      </c>
      <c r="B341">
        <v>72904</v>
      </c>
      <c r="C341" t="str">
        <f>INDEX('TE_OA_20200805_INTRDY_2020-08-0'!$J$2:$J$870,MATCH(Filter!B341,'TE_OA_20200805_INTRDY_2020-08-0'!$G$2:$G$870))</f>
        <v>Delivery</v>
      </c>
      <c r="D341" t="str">
        <f>INDEX('Pipe Table'!$B$2:$B$14,MATCH(INDEX(TeAllPoints!$I$2:$I$957,MATCH(Filter!B341,TeAllPoints!$B$2:$B$957,0)),'Pipe Table'!$A$2:$A$14,0))</f>
        <v>LDC</v>
      </c>
      <c r="E341" t="str">
        <f>INDEX('TE_OA_20200805_INTRDY_2020-08-0'!$H$2:$H$870,MATCH(Filter!B341,'TE_OA_20200805_INTRDY_2020-08-0'!$G$2:$G$870))</f>
        <v>Vectren Ohio - Glen Karn, OH (PEPL 02831)</v>
      </c>
      <c r="F341" t="str">
        <f>INDEX('Pipe Table'!$H$2:$H$8,MATCH('TE_OA_20200805_INTRDY_2020-08-0'!I322,'Pipe Table'!$G$2:$G$8,0))</f>
        <v>TETCO-M2</v>
      </c>
      <c r="G341" t="str">
        <f>INDEX(TeAllPoints!$D$2:$D$957,MATCH(Filter!B341,TeAllPoints!$B$2:$B$957,0))</f>
        <v>OH</v>
      </c>
      <c r="H341" t="str">
        <f>INDEX(TeAllPoints!$E$2:$E$957,MATCH(Filter!B341,TeAllPoints!$B$2:$B$957,0))</f>
        <v>DARKE</v>
      </c>
      <c r="I341">
        <f>INDEX('TE_OA_20200805_INTRDY_2020-08-0'!$Q$2:$Q$870,MATCH(Filter!B341,'TE_OA_20200805_INTRDY_2020-08-0'!$G$2:$G$870))</f>
        <v>165296</v>
      </c>
      <c r="J341">
        <f>INDEX('TE_OA_20200805_INTRDY_2020-08-0'!$R$2:$R$870,MATCH(Filter!B341,'TE_OA_20200805_INTRDY_2020-08-0'!$G$2:$G$870))</f>
        <v>0</v>
      </c>
    </row>
    <row r="342" spans="1:10" x14ac:dyDescent="0.25">
      <c r="A342" t="str">
        <f>INDEX('Pipe Table'!$E$2:$E$10,MATCH(INDEX('TE_OA_20200805_INTRDY_2020-08-0'!$T$2:$T$870,MATCH(Filter!B342,'TE_OA_20200805_INTRDY_2020-08-0'!$G$2:$G$870,0)),'Pipe Table'!$D$2:$D$10,0))</f>
        <v>TETCO</v>
      </c>
      <c r="B342">
        <v>72906</v>
      </c>
      <c r="C342" t="str">
        <f>INDEX('TE_OA_20200805_INTRDY_2020-08-0'!$J$2:$J$870,MATCH(Filter!B342,'TE_OA_20200805_INTRDY_2020-08-0'!$G$2:$G$870))</f>
        <v>Delivery</v>
      </c>
      <c r="D342" t="str">
        <f>INDEX('Pipe Table'!$B$2:$B$14,MATCH(INDEX(TeAllPoints!$I$2:$I$957,MATCH(Filter!B342,TeAllPoints!$B$2:$B$957,0)),'Pipe Table'!$A$2:$A$14,0))</f>
        <v>LDC</v>
      </c>
      <c r="E342" t="str">
        <f>INDEX('TE_OA_20200805_INTRDY_2020-08-0'!$H$2:$H$870,MATCH(Filter!B342,'TE_OA_20200805_INTRDY_2020-08-0'!$G$2:$G$870))</f>
        <v>Dayton Pwr. &amp; Lt. -Castine, OH</v>
      </c>
      <c r="F342" t="str">
        <f>INDEX('Pipe Table'!$H$2:$H$8,MATCH('TE_OA_20200805_INTRDY_2020-08-0'!I323,'Pipe Table'!$G$2:$G$8,0))</f>
        <v>TETCO-M2</v>
      </c>
      <c r="G342" t="str">
        <f>INDEX(TeAllPoints!$D$2:$D$957,MATCH(Filter!B342,TeAllPoints!$B$2:$B$957,0))</f>
        <v>OH</v>
      </c>
      <c r="H342" t="str">
        <f>INDEX(TeAllPoints!$E$2:$E$957,MATCH(Filter!B342,TeAllPoints!$B$2:$B$957,0))</f>
        <v>MONTGOMERY</v>
      </c>
      <c r="I342">
        <f>INDEX('TE_OA_20200805_INTRDY_2020-08-0'!$Q$2:$Q$870,MATCH(Filter!B342,'TE_OA_20200805_INTRDY_2020-08-0'!$G$2:$G$870))</f>
        <v>49627</v>
      </c>
      <c r="J342">
        <f>INDEX('TE_OA_20200805_INTRDY_2020-08-0'!$R$2:$R$870,MATCH(Filter!B342,'TE_OA_20200805_INTRDY_2020-08-0'!$G$2:$G$870))</f>
        <v>0</v>
      </c>
    </row>
    <row r="343" spans="1:10" x14ac:dyDescent="0.25">
      <c r="A343" t="str">
        <f>INDEX('Pipe Table'!$E$2:$E$10,MATCH(INDEX('TE_OA_20200805_INTRDY_2020-08-0'!$T$2:$T$870,MATCH(Filter!B343,'TE_OA_20200805_INTRDY_2020-08-0'!$G$2:$G$870,0)),'Pipe Table'!$D$2:$D$10,0))</f>
        <v>TETCO</v>
      </c>
      <c r="B343">
        <v>72908</v>
      </c>
      <c r="C343" t="str">
        <f>INDEX('TE_OA_20200805_INTRDY_2020-08-0'!$J$2:$J$870,MATCH(Filter!B343,'TE_OA_20200805_INTRDY_2020-08-0'!$G$2:$G$870))</f>
        <v>Delivery</v>
      </c>
      <c r="D343" t="str">
        <f>INDEX('Pipe Table'!$B$2:$B$14,MATCH(INDEX(TeAllPoints!$I$2:$I$957,MATCH(Filter!B343,TeAllPoints!$B$2:$B$957,0)),'Pipe Table'!$A$2:$A$14,0))</f>
        <v>LDC</v>
      </c>
      <c r="E343" t="str">
        <f>INDEX('TE_OA_20200805_INTRDY_2020-08-0'!$H$2:$H$870,MATCH(Filter!B343,'TE_OA_20200805_INTRDY_2020-08-0'!$G$2:$G$870))</f>
        <v>Duke Energy Ohio Inc. Springboro, Franklin, OH</v>
      </c>
      <c r="F343" t="str">
        <f>INDEX('Pipe Table'!$H$2:$H$8,MATCH('TE_OA_20200805_INTRDY_2020-08-0'!I324,'Pipe Table'!$G$2:$G$8,0))</f>
        <v>TETCO-M2</v>
      </c>
      <c r="G343" t="str">
        <f>INDEX(TeAllPoints!$D$2:$D$957,MATCH(Filter!B343,TeAllPoints!$B$2:$B$957,0))</f>
        <v>OH</v>
      </c>
      <c r="H343" t="str">
        <f>INDEX(TeAllPoints!$E$2:$E$957,MATCH(Filter!B343,TeAllPoints!$B$2:$B$957,0))</f>
        <v>FRANKLIN</v>
      </c>
      <c r="I343">
        <f>INDEX('TE_OA_20200805_INTRDY_2020-08-0'!$Q$2:$Q$870,MATCH(Filter!B343,'TE_OA_20200805_INTRDY_2020-08-0'!$G$2:$G$870))</f>
        <v>140044</v>
      </c>
      <c r="J343">
        <f>INDEX('TE_OA_20200805_INTRDY_2020-08-0'!$R$2:$R$870,MATCH(Filter!B343,'TE_OA_20200805_INTRDY_2020-08-0'!$G$2:$G$870))</f>
        <v>0</v>
      </c>
    </row>
    <row r="344" spans="1:10" x14ac:dyDescent="0.25">
      <c r="A344" t="str">
        <f>INDEX('Pipe Table'!$E$2:$E$10,MATCH(INDEX('TE_OA_20200805_INTRDY_2020-08-0'!$T$2:$T$870,MATCH(Filter!B344,'TE_OA_20200805_INTRDY_2020-08-0'!$G$2:$G$870,0)),'Pipe Table'!$D$2:$D$10,0))</f>
        <v>TETCO</v>
      </c>
      <c r="B344">
        <v>72909</v>
      </c>
      <c r="C344" t="str">
        <f>INDEX('TE_OA_20200805_INTRDY_2020-08-0'!$J$2:$J$870,MATCH(Filter!B344,'TE_OA_20200805_INTRDY_2020-08-0'!$G$2:$G$870))</f>
        <v>Delivery</v>
      </c>
      <c r="D344" t="str">
        <f>INDEX('Pipe Table'!$B$2:$B$14,MATCH(INDEX(TeAllPoints!$I$2:$I$957,MATCH(Filter!B344,TeAllPoints!$B$2:$B$957,0)),'Pipe Table'!$A$2:$A$14,0))</f>
        <v>LDC</v>
      </c>
      <c r="E344" t="str">
        <f>INDEX('TE_OA_20200805_INTRDY_2020-08-0'!$H$2:$H$870,MATCH(Filter!B344,'TE_OA_20200805_INTRDY_2020-08-0'!$G$2:$G$870))</f>
        <v>Dayton Pwr &amp; Lt - Red Lion, OH</v>
      </c>
      <c r="F344" t="str">
        <f>INDEX('Pipe Table'!$H$2:$H$8,MATCH('TE_OA_20200805_INTRDY_2020-08-0'!I325,'Pipe Table'!$G$2:$G$8,0))</f>
        <v>TETCO-M2</v>
      </c>
      <c r="G344" t="str">
        <f>INDEX(TeAllPoints!$D$2:$D$957,MATCH(Filter!B344,TeAllPoints!$B$2:$B$957,0))</f>
        <v>OH</v>
      </c>
      <c r="H344" t="str">
        <f>INDEX(TeAllPoints!$E$2:$E$957,MATCH(Filter!B344,TeAllPoints!$B$2:$B$957,0))</f>
        <v>WARREN</v>
      </c>
      <c r="I344">
        <f>INDEX('TE_OA_20200805_INTRDY_2020-08-0'!$Q$2:$Q$870,MATCH(Filter!B344,'TE_OA_20200805_INTRDY_2020-08-0'!$G$2:$G$870))</f>
        <v>105986</v>
      </c>
      <c r="J344">
        <f>INDEX('TE_OA_20200805_INTRDY_2020-08-0'!$R$2:$R$870,MATCH(Filter!B344,'TE_OA_20200805_INTRDY_2020-08-0'!$G$2:$G$870))</f>
        <v>0</v>
      </c>
    </row>
    <row r="345" spans="1:10" x14ac:dyDescent="0.25">
      <c r="A345" t="str">
        <f>INDEX('Pipe Table'!$E$2:$E$10,MATCH(INDEX('TE_OA_20200805_INTRDY_2020-08-0'!$T$2:$T$870,MATCH(Filter!B345,'TE_OA_20200805_INTRDY_2020-08-0'!$G$2:$G$870,0)),'Pipe Table'!$D$2:$D$10,0))</f>
        <v>TETCO</v>
      </c>
      <c r="B345">
        <v>72910</v>
      </c>
      <c r="C345" t="str">
        <f>INDEX('TE_OA_20200805_INTRDY_2020-08-0'!$J$2:$J$870,MATCH(Filter!B345,'TE_OA_20200805_INTRDY_2020-08-0'!$G$2:$G$870))</f>
        <v>Delivery</v>
      </c>
      <c r="D345" t="str">
        <f>INDEX('Pipe Table'!$B$2:$B$14,MATCH(INDEX(TeAllPoints!$I$2:$I$957,MATCH(Filter!B345,TeAllPoints!$B$2:$B$957,0)),'Pipe Table'!$A$2:$A$14,0))</f>
        <v>Intrcnnct</v>
      </c>
      <c r="E345" t="str">
        <f>INDEX('TE_OA_20200805_INTRDY_2020-08-0'!$H$2:$H$870,MATCH(Filter!B345,'TE_OA_20200805_INTRDY_2020-08-0'!$G$2:$G$870))</f>
        <v>Gas Chrom @ CW-DTI (I-O) &amp; LEBANON, OH - (72910)</v>
      </c>
      <c r="F345" t="str">
        <f>INDEX('Pipe Table'!$H$2:$H$8,MATCH('TE_OA_20200805_INTRDY_2020-08-0'!I326,'Pipe Table'!$G$2:$G$8,0))</f>
        <v>TETCO-M2</v>
      </c>
      <c r="G345" t="str">
        <f>INDEX(TeAllPoints!$D$2:$D$957,MATCH(Filter!B345,TeAllPoints!$B$2:$B$957,0))</f>
        <v>OH</v>
      </c>
      <c r="H345" t="str">
        <f>INDEX(TeAllPoints!$E$2:$E$957,MATCH(Filter!B345,TeAllPoints!$B$2:$B$957,0))</f>
        <v>WARREN</v>
      </c>
      <c r="I345">
        <f>INDEX('TE_OA_20200805_INTRDY_2020-08-0'!$Q$2:$Q$870,MATCH(Filter!B345,'TE_OA_20200805_INTRDY_2020-08-0'!$G$2:$G$870))</f>
        <v>518897</v>
      </c>
      <c r="J345">
        <f>INDEX('TE_OA_20200805_INTRDY_2020-08-0'!$R$2:$R$870,MATCH(Filter!B345,'TE_OA_20200805_INTRDY_2020-08-0'!$G$2:$G$870))</f>
        <v>0</v>
      </c>
    </row>
    <row r="346" spans="1:10" x14ac:dyDescent="0.25">
      <c r="A346" t="str">
        <f>INDEX('Pipe Table'!$E$2:$E$10,MATCH(INDEX('TE_OA_20200805_INTRDY_2020-08-0'!$T$2:$T$870,MATCH(Filter!B346,'TE_OA_20200805_INTRDY_2020-08-0'!$G$2:$G$870,0)),'Pipe Table'!$D$2:$D$10,0))</f>
        <v>TETCO</v>
      </c>
      <c r="B346">
        <v>72911</v>
      </c>
      <c r="C346" t="str">
        <f>INDEX('TE_OA_20200805_INTRDY_2020-08-0'!$J$2:$J$870,MATCH(Filter!B346,'TE_OA_20200805_INTRDY_2020-08-0'!$G$2:$G$870))</f>
        <v>Delivery</v>
      </c>
      <c r="D346" t="str">
        <f>INDEX('Pipe Table'!$B$2:$B$14,MATCH(INDEX(TeAllPoints!$I$2:$I$957,MATCH(Filter!B346,TeAllPoints!$B$2:$B$957,0)),'Pipe Table'!$A$2:$A$14,0))</f>
        <v>Intrcnnct</v>
      </c>
      <c r="E346" t="str">
        <f>INDEX('TE_OA_20200805_INTRDY_2020-08-0'!$H$2:$H$870,MATCH(Filter!B346,'TE_OA_20200805_INTRDY_2020-08-0'!$G$2:$G$870))</f>
        <v>Col. Gas (I-O) &amp; Lebanon, OH</v>
      </c>
      <c r="F346" t="str">
        <f>INDEX('Pipe Table'!$H$2:$H$8,MATCH('TE_OA_20200805_INTRDY_2020-08-0'!I327,'Pipe Table'!$G$2:$G$8,0))</f>
        <v>TETCO-M2</v>
      </c>
      <c r="G346" t="str">
        <f>INDEX(TeAllPoints!$D$2:$D$957,MATCH(Filter!B346,TeAllPoints!$B$2:$B$957,0))</f>
        <v>OH</v>
      </c>
      <c r="H346" t="str">
        <f>INDEX(TeAllPoints!$E$2:$E$957,MATCH(Filter!B346,TeAllPoints!$B$2:$B$957,0))</f>
        <v>WARREN</v>
      </c>
      <c r="I346">
        <f>INDEX('TE_OA_20200805_INTRDY_2020-08-0'!$Q$2:$Q$870,MATCH(Filter!B346,'TE_OA_20200805_INTRDY_2020-08-0'!$G$2:$G$870))</f>
        <v>377137</v>
      </c>
      <c r="J346">
        <f>INDEX('TE_OA_20200805_INTRDY_2020-08-0'!$R$2:$R$870,MATCH(Filter!B346,'TE_OA_20200805_INTRDY_2020-08-0'!$G$2:$G$870))</f>
        <v>0</v>
      </c>
    </row>
    <row r="347" spans="1:10" x14ac:dyDescent="0.25">
      <c r="A347" t="str">
        <f>INDEX('Pipe Table'!$E$2:$E$10,MATCH(INDEX('TE_OA_20200805_INTRDY_2020-08-0'!$T$2:$T$870,MATCH(Filter!B347,'TE_OA_20200805_INTRDY_2020-08-0'!$G$2:$G$870,0)),'Pipe Table'!$D$2:$D$10,0))</f>
        <v>TETCO</v>
      </c>
      <c r="B347">
        <v>72921</v>
      </c>
      <c r="C347" t="str">
        <f>INDEX('TE_OA_20200805_INTRDY_2020-08-0'!$J$2:$J$870,MATCH(Filter!B347,'TE_OA_20200805_INTRDY_2020-08-0'!$G$2:$G$870))</f>
        <v>Receipt</v>
      </c>
      <c r="D347" t="str">
        <f>INDEX('Pipe Table'!$B$2:$B$14,MATCH(INDEX(TeAllPoints!$I$2:$I$957,MATCH(Filter!B347,TeAllPoints!$B$2:$B$957,0)),'Pipe Table'!$A$2:$A$14,0))</f>
        <v>Wellhead</v>
      </c>
      <c r="E347" t="str">
        <f>INDEX('TE_OA_20200805_INTRDY_2020-08-0'!$H$2:$H$870,MATCH(Filter!B347,'TE_OA_20200805_INTRDY_2020-08-0'!$G$2:$G$870))</f>
        <v>Talos - VK 203</v>
      </c>
      <c r="F347" t="str">
        <f>INDEX('Pipe Table'!$H$2:$H$8,MATCH('TE_OA_20200805_INTRDY_2020-08-0'!I328,'Pipe Table'!$G$2:$G$8,0))</f>
        <v>TETCO-ELA</v>
      </c>
      <c r="G347" t="str">
        <f>INDEX(TeAllPoints!$D$2:$D$957,MATCH(Filter!B347,TeAllPoints!$B$2:$B$957,0))</f>
        <v>OF</v>
      </c>
      <c r="H347" t="str">
        <f>INDEX(TeAllPoints!$E$2:$E$957,MATCH(Filter!B347,TeAllPoints!$B$2:$B$957,0))</f>
        <v>VIOSCA KNOLL</v>
      </c>
      <c r="I347">
        <f>INDEX('TE_OA_20200805_INTRDY_2020-08-0'!$Q$2:$Q$870,MATCH(Filter!B347,'TE_OA_20200805_INTRDY_2020-08-0'!$G$2:$G$870))</f>
        <v>128404</v>
      </c>
      <c r="J347">
        <f>INDEX('TE_OA_20200805_INTRDY_2020-08-0'!$R$2:$R$870,MATCH(Filter!B347,'TE_OA_20200805_INTRDY_2020-08-0'!$G$2:$G$870))</f>
        <v>0</v>
      </c>
    </row>
    <row r="348" spans="1:10" x14ac:dyDescent="0.25">
      <c r="A348" t="str">
        <f>INDEX('Pipe Table'!$E$2:$E$10,MATCH(INDEX('TE_OA_20200805_INTRDY_2020-08-0'!$T$2:$T$870,MATCH(Filter!B348,'TE_OA_20200805_INTRDY_2020-08-0'!$G$2:$G$870,0)),'Pipe Table'!$D$2:$D$10,0))</f>
        <v>TETCO</v>
      </c>
      <c r="B348">
        <v>72926</v>
      </c>
      <c r="C348" t="str">
        <f>INDEX('TE_OA_20200805_INTRDY_2020-08-0'!$J$2:$J$870,MATCH(Filter!B348,'TE_OA_20200805_INTRDY_2020-08-0'!$G$2:$G$870))</f>
        <v>Delivery</v>
      </c>
      <c r="D348" t="str">
        <f>INDEX('Pipe Table'!$B$2:$B$14,MATCH(INDEX(TeAllPoints!$I$2:$I$957,MATCH(Filter!B348,TeAllPoints!$B$2:$B$957,0)),'Pipe Table'!$A$2:$A$14,0))</f>
        <v>EndUsr</v>
      </c>
      <c r="E348" t="str">
        <f>INDEX('TE_OA_20200805_INTRDY_2020-08-0'!$H$2:$H$870,MATCH(Filter!B348,'TE_OA_20200805_INTRDY_2020-08-0'!$G$2:$G$870))</f>
        <v>Kent. Util. - Garrard Co., KY</v>
      </c>
      <c r="F348" t="str">
        <f>INDEX('Pipe Table'!$H$2:$H$8,MATCH('TE_OA_20200805_INTRDY_2020-08-0'!I329,'Pipe Table'!$G$2:$G$8,0))</f>
        <v>TETCO-M2</v>
      </c>
      <c r="G348" t="str">
        <f>INDEX(TeAllPoints!$D$2:$D$957,MATCH(Filter!B348,TeAllPoints!$B$2:$B$957,0))</f>
        <v>KY</v>
      </c>
      <c r="H348" t="str">
        <f>INDEX(TeAllPoints!$E$2:$E$957,MATCH(Filter!B348,TeAllPoints!$B$2:$B$957,0))</f>
        <v>GARRARD</v>
      </c>
      <c r="I348">
        <f>INDEX('TE_OA_20200805_INTRDY_2020-08-0'!$Q$2:$Q$870,MATCH(Filter!B348,'TE_OA_20200805_INTRDY_2020-08-0'!$G$2:$G$870))</f>
        <v>325210</v>
      </c>
      <c r="J348">
        <f>INDEX('TE_OA_20200805_INTRDY_2020-08-0'!$R$2:$R$870,MATCH(Filter!B348,'TE_OA_20200805_INTRDY_2020-08-0'!$G$2:$G$870))</f>
        <v>0</v>
      </c>
    </row>
    <row r="349" spans="1:10" x14ac:dyDescent="0.25">
      <c r="A349" t="str">
        <f>INDEX('Pipe Table'!$E$2:$E$10,MATCH(INDEX('TE_OA_20200805_INTRDY_2020-08-0'!$T$2:$T$870,MATCH(Filter!B349,'TE_OA_20200805_INTRDY_2020-08-0'!$G$2:$G$870,0)),'Pipe Table'!$D$2:$D$10,0))</f>
        <v>TETCO</v>
      </c>
      <c r="B349">
        <v>72930</v>
      </c>
      <c r="C349" t="str">
        <f>INDEX('TE_OA_20200805_INTRDY_2020-08-0'!$J$2:$J$870,MATCH(Filter!B349,'TE_OA_20200805_INTRDY_2020-08-0'!$G$2:$G$870))</f>
        <v>Delivery</v>
      </c>
      <c r="D349" t="str">
        <f>INDEX('Pipe Table'!$B$2:$B$14,MATCH(INDEX(TeAllPoints!$I$2:$I$957,MATCH(Filter!B349,TeAllPoints!$B$2:$B$957,0)),'Pipe Table'!$A$2:$A$14,0))</f>
        <v>LDC</v>
      </c>
      <c r="E349" t="str">
        <f>INDEX('TE_OA_20200805_INTRDY_2020-08-0'!$H$2:$H$870,MATCH(Filter!B349,'TE_OA_20200805_INTRDY_2020-08-0'!$G$2:$G$870))</f>
        <v>PECO Energy - Eddystone, Delaware Co., PA</v>
      </c>
      <c r="F349" t="str">
        <f>INDEX('Pipe Table'!$H$2:$H$8,MATCH('TE_OA_20200805_INTRDY_2020-08-0'!I330,'Pipe Table'!$G$2:$G$8,0))</f>
        <v>TETCO-M3</v>
      </c>
      <c r="G349" t="str">
        <f>INDEX(TeAllPoints!$D$2:$D$957,MATCH(Filter!B349,TeAllPoints!$B$2:$B$957,0))</f>
        <v>PA</v>
      </c>
      <c r="H349" t="str">
        <f>INDEX(TeAllPoints!$E$2:$E$957,MATCH(Filter!B349,TeAllPoints!$B$2:$B$957,0))</f>
        <v>DELAWARE</v>
      </c>
      <c r="I349">
        <f>INDEX('TE_OA_20200805_INTRDY_2020-08-0'!$Q$2:$Q$870,MATCH(Filter!B349,'TE_OA_20200805_INTRDY_2020-08-0'!$G$2:$G$870))</f>
        <v>383906</v>
      </c>
      <c r="J349">
        <f>INDEX('TE_OA_20200805_INTRDY_2020-08-0'!$R$2:$R$870,MATCH(Filter!B349,'TE_OA_20200805_INTRDY_2020-08-0'!$G$2:$G$870))</f>
        <v>50</v>
      </c>
    </row>
    <row r="350" spans="1:10" x14ac:dyDescent="0.25">
      <c r="A350" t="str">
        <f>INDEX('Pipe Table'!$E$2:$E$10,MATCH(INDEX('TE_OA_20200805_INTRDY_2020-08-0'!$T$2:$T$870,MATCH(Filter!B350,'TE_OA_20200805_INTRDY_2020-08-0'!$G$2:$G$870,0)),'Pipe Table'!$D$2:$D$10,0))</f>
        <v>TETCO</v>
      </c>
      <c r="B350">
        <v>72936</v>
      </c>
      <c r="C350" t="str">
        <f>INDEX('TE_OA_20200805_INTRDY_2020-08-0'!$J$2:$J$870,MATCH(Filter!B350,'TE_OA_20200805_INTRDY_2020-08-0'!$G$2:$G$870))</f>
        <v>Receipt</v>
      </c>
      <c r="D350" t="str">
        <f>INDEX('Pipe Table'!$B$2:$B$14,MATCH(INDEX(TeAllPoints!$I$2:$I$957,MATCH(Filter!B350,TeAllPoints!$B$2:$B$957,0)),'Pipe Table'!$A$2:$A$14,0))</f>
        <v>Wellhead</v>
      </c>
      <c r="E350" t="str">
        <f>INDEX('TE_OA_20200805_INTRDY_2020-08-0'!$H$2:$H$870,MATCH(Filter!B350,'TE_OA_20200805_INTRDY_2020-08-0'!$G$2:$G$870))</f>
        <v>Chandeleur Pipe Line Co. (Cantium, LLC) - MP 41L</v>
      </c>
      <c r="F350" t="str">
        <f>INDEX('Pipe Table'!$H$2:$H$8,MATCH('TE_OA_20200805_INTRDY_2020-08-0'!I331,'Pipe Table'!$G$2:$G$8,0))</f>
        <v>TETCO-ELA</v>
      </c>
      <c r="G350" t="str">
        <f>INDEX(TeAllPoints!$D$2:$D$957,MATCH(Filter!B350,TeAllPoints!$B$2:$B$957,0))</f>
        <v>OF</v>
      </c>
      <c r="H350" t="str">
        <f>INDEX(TeAllPoints!$E$2:$E$957,MATCH(Filter!B350,TeAllPoints!$B$2:$B$957,0))</f>
        <v>MAIN PASS</v>
      </c>
      <c r="I350">
        <f>INDEX('TE_OA_20200805_INTRDY_2020-08-0'!$Q$2:$Q$870,MATCH(Filter!B350,'TE_OA_20200805_INTRDY_2020-08-0'!$G$2:$G$870))</f>
        <v>145581</v>
      </c>
      <c r="J350">
        <f>INDEX('TE_OA_20200805_INTRDY_2020-08-0'!$R$2:$R$870,MATCH(Filter!B350,'TE_OA_20200805_INTRDY_2020-08-0'!$G$2:$G$870))</f>
        <v>0</v>
      </c>
    </row>
    <row r="351" spans="1:10" x14ac:dyDescent="0.25">
      <c r="A351" t="str">
        <f>INDEX('Pipe Table'!$E$2:$E$10,MATCH(INDEX('TE_OA_20200805_INTRDY_2020-08-0'!$T$2:$T$870,MATCH(Filter!B351,'TE_OA_20200805_INTRDY_2020-08-0'!$G$2:$G$870,0)),'Pipe Table'!$D$2:$D$10,0))</f>
        <v>TETCO</v>
      </c>
      <c r="B351">
        <v>72942</v>
      </c>
      <c r="C351" t="str">
        <f>INDEX('TE_OA_20200805_INTRDY_2020-08-0'!$J$2:$J$870,MATCH(Filter!B351,'TE_OA_20200805_INTRDY_2020-08-0'!$G$2:$G$870))</f>
        <v>Delivery</v>
      </c>
      <c r="D351" t="str">
        <f>INDEX('Pipe Table'!$B$2:$B$14,MATCH(INDEX(TeAllPoints!$I$2:$I$957,MATCH(Filter!B351,TeAllPoints!$B$2:$B$957,0)),'Pipe Table'!$A$2:$A$14,0))</f>
        <v>Intrcnnct</v>
      </c>
      <c r="E351" t="str">
        <f>INDEX('TE_OA_20200805_INTRDY_2020-08-0'!$H$2:$H$870,MATCH(Filter!B351,'TE_OA_20200805_INTRDY_2020-08-0'!$G$2:$G$870))</f>
        <v>Columbia Gas (N.W.L. Corp.) - Fayette Co., PA</v>
      </c>
      <c r="F351" t="str">
        <f>INDEX('Pipe Table'!$H$2:$H$8,MATCH('TE_OA_20200805_INTRDY_2020-08-0'!I332,'Pipe Table'!$G$2:$G$8,0))</f>
        <v>TETCO-M2</v>
      </c>
      <c r="G351" t="str">
        <f>INDEX(TeAllPoints!$D$2:$D$957,MATCH(Filter!B351,TeAllPoints!$B$2:$B$957,0))</f>
        <v>PA</v>
      </c>
      <c r="H351" t="str">
        <f>INDEX(TeAllPoints!$E$2:$E$957,MATCH(Filter!B351,TeAllPoints!$B$2:$B$957,0))</f>
        <v>FAYETTE</v>
      </c>
      <c r="I351">
        <f>INDEX('TE_OA_20200805_INTRDY_2020-08-0'!$Q$2:$Q$870,MATCH(Filter!B351,'TE_OA_20200805_INTRDY_2020-08-0'!$G$2:$G$870))</f>
        <v>8124</v>
      </c>
      <c r="J351">
        <f>INDEX('TE_OA_20200805_INTRDY_2020-08-0'!$R$2:$R$870,MATCH(Filter!B351,'TE_OA_20200805_INTRDY_2020-08-0'!$G$2:$G$870))</f>
        <v>0</v>
      </c>
    </row>
    <row r="352" spans="1:10" x14ac:dyDescent="0.25">
      <c r="A352" t="str">
        <f>INDEX('Pipe Table'!$E$2:$E$10,MATCH(INDEX('TE_OA_20200805_INTRDY_2020-08-0'!$T$2:$T$870,MATCH(Filter!B352,'TE_OA_20200805_INTRDY_2020-08-0'!$G$2:$G$870,0)),'Pipe Table'!$D$2:$D$10,0))</f>
        <v>TETCO</v>
      </c>
      <c r="B352">
        <v>72944</v>
      </c>
      <c r="C352" t="str">
        <f>INDEX('TE_OA_20200805_INTRDY_2020-08-0'!$J$2:$J$870,MATCH(Filter!B352,'TE_OA_20200805_INTRDY_2020-08-0'!$G$2:$G$870))</f>
        <v>Delivery</v>
      </c>
      <c r="D352" t="str">
        <f>INDEX('Pipe Table'!$B$2:$B$14,MATCH(INDEX(TeAllPoints!$I$2:$I$957,MATCH(Filter!B352,TeAllPoints!$B$2:$B$957,0)),'Pipe Table'!$A$2:$A$14,0))</f>
        <v>LDC</v>
      </c>
      <c r="E352" t="str">
        <f>INDEX('TE_OA_20200805_INTRDY_2020-08-0'!$H$2:$H$870,MATCH(Filter!B352,'TE_OA_20200805_INTRDY_2020-08-0'!$G$2:$G$870))</f>
        <v>Public Service - Jamesburg - Middlesex Co., NJ</v>
      </c>
      <c r="F352" t="str">
        <f>INDEX('Pipe Table'!$H$2:$H$8,MATCH('TE_OA_20200805_INTRDY_2020-08-0'!I333,'Pipe Table'!$G$2:$G$8,0))</f>
        <v>TETCO-M3</v>
      </c>
      <c r="G352" t="str">
        <f>INDEX(TeAllPoints!$D$2:$D$957,MATCH(Filter!B352,TeAllPoints!$B$2:$B$957,0))</f>
        <v>NJ</v>
      </c>
      <c r="H352" t="str">
        <f>INDEX(TeAllPoints!$E$2:$E$957,MATCH(Filter!B352,TeAllPoints!$B$2:$B$957,0))</f>
        <v>MIDDLESEX</v>
      </c>
      <c r="I352">
        <f>INDEX('TE_OA_20200805_INTRDY_2020-08-0'!$Q$2:$Q$870,MATCH(Filter!B352,'TE_OA_20200805_INTRDY_2020-08-0'!$G$2:$G$870))</f>
        <v>84050</v>
      </c>
      <c r="J352">
        <f>INDEX('TE_OA_20200805_INTRDY_2020-08-0'!$R$2:$R$870,MATCH(Filter!B352,'TE_OA_20200805_INTRDY_2020-08-0'!$G$2:$G$870))</f>
        <v>18127</v>
      </c>
    </row>
    <row r="353" spans="1:10" x14ac:dyDescent="0.25">
      <c r="A353" t="str">
        <f>INDEX('Pipe Table'!$E$2:$E$10,MATCH(INDEX('TE_OA_20200805_INTRDY_2020-08-0'!$T$2:$T$870,MATCH(Filter!B353,'TE_OA_20200805_INTRDY_2020-08-0'!$G$2:$G$870,0)),'Pipe Table'!$D$2:$D$10,0))</f>
        <v>TETCO</v>
      </c>
      <c r="B353">
        <v>72950</v>
      </c>
      <c r="C353" t="str">
        <f>INDEX('TE_OA_20200805_INTRDY_2020-08-0'!$J$2:$J$870,MATCH(Filter!B353,'TE_OA_20200805_INTRDY_2020-08-0'!$G$2:$G$870))</f>
        <v>Receipt</v>
      </c>
      <c r="D353" t="str">
        <f>INDEX('Pipe Table'!$B$2:$B$14,MATCH(INDEX(TeAllPoints!$I$2:$I$957,MATCH(Filter!B353,TeAllPoints!$B$2:$B$957,0)),'Pipe Table'!$A$2:$A$14,0))</f>
        <v>Wellhead</v>
      </c>
      <c r="E353" t="str">
        <f>INDEX('TE_OA_20200805_INTRDY_2020-08-0'!$H$2:$H$870,MATCH(Filter!B353,'TE_OA_20200805_INTRDY_2020-08-0'!$G$2:$G$870))</f>
        <v>Aptian Gas Corp., K.W. Schreiner #1 - Live Oak Co., TX</v>
      </c>
      <c r="F353" t="str">
        <f>INDEX('Pipe Table'!$H$2:$H$8,MATCH('TE_OA_20200805_INTRDY_2020-08-0'!I334,'Pipe Table'!$G$2:$G$8,0))</f>
        <v>TETCO-STX</v>
      </c>
      <c r="G353" t="str">
        <f>INDEX(TeAllPoints!$D$2:$D$957,MATCH(Filter!B353,TeAllPoints!$B$2:$B$957,0))</f>
        <v>TX</v>
      </c>
      <c r="H353" t="str">
        <f>INDEX(TeAllPoints!$E$2:$E$957,MATCH(Filter!B353,TeAllPoints!$B$2:$B$957,0))</f>
        <v>LIVE OAK</v>
      </c>
      <c r="I353">
        <f>INDEX('TE_OA_20200805_INTRDY_2020-08-0'!$Q$2:$Q$870,MATCH(Filter!B353,'TE_OA_20200805_INTRDY_2020-08-0'!$G$2:$G$870))</f>
        <v>4092</v>
      </c>
      <c r="J353">
        <f>INDEX('TE_OA_20200805_INTRDY_2020-08-0'!$R$2:$R$870,MATCH(Filter!B353,'TE_OA_20200805_INTRDY_2020-08-0'!$G$2:$G$870))</f>
        <v>382</v>
      </c>
    </row>
    <row r="354" spans="1:10" x14ac:dyDescent="0.25">
      <c r="A354" t="str">
        <f>INDEX('Pipe Table'!$E$2:$E$10,MATCH(INDEX('TE_OA_20200805_INTRDY_2020-08-0'!$T$2:$T$870,MATCH(Filter!B354,'TE_OA_20200805_INTRDY_2020-08-0'!$G$2:$G$870,0)),'Pipe Table'!$D$2:$D$10,0))</f>
        <v>TETCO</v>
      </c>
      <c r="B354">
        <v>72956</v>
      </c>
      <c r="C354" t="str">
        <f>INDEX('TE_OA_20200805_INTRDY_2020-08-0'!$J$2:$J$870,MATCH(Filter!B354,'TE_OA_20200805_INTRDY_2020-08-0'!$G$2:$G$870))</f>
        <v>Delivery</v>
      </c>
      <c r="D354" t="str">
        <f>INDEX('Pipe Table'!$B$2:$B$14,MATCH(INDEX(TeAllPoints!$I$2:$I$957,MATCH(Filter!B354,TeAllPoints!$B$2:$B$957,0)),'Pipe Table'!$A$2:$A$14,0))</f>
        <v>LDC</v>
      </c>
      <c r="E354" t="str">
        <f>INDEX('TE_OA_20200805_INTRDY_2020-08-0'!$H$2:$H$870,MATCH(Filter!B354,'TE_OA_20200805_INTRDY_2020-08-0'!$G$2:$G$870))</f>
        <v>Mid Tn Gas Dist - Wilson, TN</v>
      </c>
      <c r="F354" t="str">
        <f>INDEX('Pipe Table'!$H$2:$H$8,MATCH('TE_OA_20200805_INTRDY_2020-08-0'!I335,'Pipe Table'!$G$2:$G$8,0))</f>
        <v>TETCO-M1</v>
      </c>
      <c r="G354" t="str">
        <f>INDEX(TeAllPoints!$D$2:$D$957,MATCH(Filter!B354,TeAllPoints!$B$2:$B$957,0))</f>
        <v>TN</v>
      </c>
      <c r="H354" t="str">
        <f>INDEX(TeAllPoints!$E$2:$E$957,MATCH(Filter!B354,TeAllPoints!$B$2:$B$957,0))</f>
        <v>WILSON</v>
      </c>
      <c r="I354">
        <f>INDEX('TE_OA_20200805_INTRDY_2020-08-0'!$Q$2:$Q$870,MATCH(Filter!B354,'TE_OA_20200805_INTRDY_2020-08-0'!$G$2:$G$870))</f>
        <v>16248</v>
      </c>
      <c r="J354">
        <f>INDEX('TE_OA_20200805_INTRDY_2020-08-0'!$R$2:$R$870,MATCH(Filter!B354,'TE_OA_20200805_INTRDY_2020-08-0'!$G$2:$G$870))</f>
        <v>0</v>
      </c>
    </row>
    <row r="355" spans="1:10" x14ac:dyDescent="0.25">
      <c r="A355" t="str">
        <f>INDEX('Pipe Table'!$E$2:$E$10,MATCH(INDEX('TE_OA_20200805_INTRDY_2020-08-0'!$T$2:$T$870,MATCH(Filter!B355,'TE_OA_20200805_INTRDY_2020-08-0'!$G$2:$G$870,0)),'Pipe Table'!$D$2:$D$10,0))</f>
        <v>TETCO</v>
      </c>
      <c r="B355">
        <v>72963</v>
      </c>
      <c r="C355" t="str">
        <f>INDEX('TE_OA_20200805_INTRDY_2020-08-0'!$J$2:$J$870,MATCH(Filter!B355,'TE_OA_20200805_INTRDY_2020-08-0'!$G$2:$G$870))</f>
        <v>Receipt</v>
      </c>
      <c r="D355" t="str">
        <f>INDEX('Pipe Table'!$B$2:$B$14,MATCH(INDEX(TeAllPoints!$I$2:$I$957,MATCH(Filter!B355,TeAllPoints!$B$2:$B$957,0)),'Pipe Table'!$A$2:$A$14,0))</f>
        <v>Wellhead</v>
      </c>
      <c r="E355" t="str">
        <f>INDEX('TE_OA_20200805_INTRDY_2020-08-0'!$H$2:$H$870,MATCH(Filter!B355,'TE_OA_20200805_INTRDY_2020-08-0'!$G$2:$G$870))</f>
        <v>Auburn Enterprises - Kerlick #1, Dewitt, TX</v>
      </c>
      <c r="F355" t="str">
        <f>INDEX('Pipe Table'!$H$2:$H$8,MATCH('TE_OA_20200805_INTRDY_2020-08-0'!I336,'Pipe Table'!$G$2:$G$8,0))</f>
        <v>TETCO-STX</v>
      </c>
      <c r="G355" t="str">
        <f>INDEX(TeAllPoints!$D$2:$D$957,MATCH(Filter!B355,TeAllPoints!$B$2:$B$957,0))</f>
        <v>TX</v>
      </c>
      <c r="H355" t="str">
        <f>INDEX(TeAllPoints!$E$2:$E$957,MATCH(Filter!B355,TeAllPoints!$B$2:$B$957,0))</f>
        <v>DE WITT</v>
      </c>
      <c r="I355">
        <f>INDEX('TE_OA_20200805_INTRDY_2020-08-0'!$Q$2:$Q$870,MATCH(Filter!B355,'TE_OA_20200805_INTRDY_2020-08-0'!$G$2:$G$870))</f>
        <v>10438</v>
      </c>
      <c r="J355">
        <f>INDEX('TE_OA_20200805_INTRDY_2020-08-0'!$R$2:$R$870,MATCH(Filter!B355,'TE_OA_20200805_INTRDY_2020-08-0'!$G$2:$G$870))</f>
        <v>1</v>
      </c>
    </row>
    <row r="356" spans="1:10" x14ac:dyDescent="0.25">
      <c r="A356" t="str">
        <f>INDEX('Pipe Table'!$E$2:$E$10,MATCH(INDEX('TE_OA_20200805_INTRDY_2020-08-0'!$T$2:$T$870,MATCH(Filter!B356,'TE_OA_20200805_INTRDY_2020-08-0'!$G$2:$G$870,0)),'Pipe Table'!$D$2:$D$10,0))</f>
        <v>TETCO</v>
      </c>
      <c r="B356">
        <v>72964</v>
      </c>
      <c r="C356" t="str">
        <f>INDEX('TE_OA_20200805_INTRDY_2020-08-0'!$J$2:$J$870,MATCH(Filter!B356,'TE_OA_20200805_INTRDY_2020-08-0'!$G$2:$G$870))</f>
        <v>Receipt</v>
      </c>
      <c r="D356" t="str">
        <f>INDEX('Pipe Table'!$B$2:$B$14,MATCH(INDEX(TeAllPoints!$I$2:$I$957,MATCH(Filter!B356,TeAllPoints!$B$2:$B$957,0)),'Pipe Table'!$A$2:$A$14,0))</f>
        <v>Wellhead</v>
      </c>
      <c r="E356" t="str">
        <f>INDEX('TE_OA_20200805_INTRDY_2020-08-0'!$H$2:$H$870,MATCH(Filter!B356,'TE_OA_20200805_INTRDY_2020-08-0'!$G$2:$G$870))</f>
        <v>Elliot Oil &amp; Gas, Browder #C-1, San Jacinto Co., TX (REC)</v>
      </c>
      <c r="F356" t="str">
        <f>INDEX('Pipe Table'!$H$2:$H$8,MATCH('TE_OA_20200805_INTRDY_2020-08-0'!I337,'Pipe Table'!$G$2:$G$8,0))</f>
        <v>TETCO-STX</v>
      </c>
      <c r="G356" t="str">
        <f>INDEX(TeAllPoints!$D$2:$D$957,MATCH(Filter!B356,TeAllPoints!$B$2:$B$957,0))</f>
        <v>TX</v>
      </c>
      <c r="H356" t="str">
        <f>INDEX(TeAllPoints!$E$2:$E$957,MATCH(Filter!B356,TeAllPoints!$B$2:$B$957,0))</f>
        <v>SAN JACINTO</v>
      </c>
      <c r="I356">
        <f>INDEX('TE_OA_20200805_INTRDY_2020-08-0'!$Q$2:$Q$870,MATCH(Filter!B356,'TE_OA_20200805_INTRDY_2020-08-0'!$G$2:$G$870))</f>
        <v>4428</v>
      </c>
      <c r="J356">
        <f>INDEX('TE_OA_20200805_INTRDY_2020-08-0'!$R$2:$R$870,MATCH(Filter!B356,'TE_OA_20200805_INTRDY_2020-08-0'!$G$2:$G$870))</f>
        <v>0</v>
      </c>
    </row>
    <row r="357" spans="1:10" x14ac:dyDescent="0.25">
      <c r="A357" t="str">
        <f>INDEX('Pipe Table'!$E$2:$E$10,MATCH(INDEX('TE_OA_20200805_INTRDY_2020-08-0'!$T$2:$T$870,MATCH(Filter!B357,'TE_OA_20200805_INTRDY_2020-08-0'!$G$2:$G$870,0)),'Pipe Table'!$D$2:$D$10,0))</f>
        <v>TETCO</v>
      </c>
      <c r="B357">
        <v>72965</v>
      </c>
      <c r="C357" t="str">
        <f>INDEX('TE_OA_20200805_INTRDY_2020-08-0'!$J$2:$J$870,MATCH(Filter!B357,'TE_OA_20200805_INTRDY_2020-08-0'!$G$2:$G$870))</f>
        <v>Receipt</v>
      </c>
      <c r="D357" t="str">
        <f>INDEX('Pipe Table'!$B$2:$B$14,MATCH(INDEX(TeAllPoints!$I$2:$I$957,MATCH(Filter!B357,TeAllPoints!$B$2:$B$957,0)),'Pipe Table'!$A$2:$A$14,0))</f>
        <v>Wellhead</v>
      </c>
      <c r="E357" t="str">
        <f>INDEX('TE_OA_20200805_INTRDY_2020-08-0'!$H$2:$H$870,MATCH(Filter!B357,'TE_OA_20200805_INTRDY_2020-08-0'!$G$2:$G$870))</f>
        <v>M.E.Operating &amp; Services- Wright #1 - Colorado Co., TX</v>
      </c>
      <c r="F357" t="str">
        <f>INDEX('Pipe Table'!$H$2:$H$8,MATCH('TE_OA_20200805_INTRDY_2020-08-0'!I338,'Pipe Table'!$G$2:$G$8,0))</f>
        <v>TETCO-STX</v>
      </c>
      <c r="G357" t="str">
        <f>INDEX(TeAllPoints!$D$2:$D$957,MATCH(Filter!B357,TeAllPoints!$B$2:$B$957,0))</f>
        <v>TX</v>
      </c>
      <c r="H357" t="str">
        <f>INDEX(TeAllPoints!$E$2:$E$957,MATCH(Filter!B357,TeAllPoints!$B$2:$B$957,0))</f>
        <v>COLORADO</v>
      </c>
      <c r="I357">
        <f>INDEX('TE_OA_20200805_INTRDY_2020-08-0'!$Q$2:$Q$870,MATCH(Filter!B357,'TE_OA_20200805_INTRDY_2020-08-0'!$G$2:$G$870))</f>
        <v>9733</v>
      </c>
      <c r="J357">
        <f>INDEX('TE_OA_20200805_INTRDY_2020-08-0'!$R$2:$R$870,MATCH(Filter!B357,'TE_OA_20200805_INTRDY_2020-08-0'!$G$2:$G$870))</f>
        <v>0</v>
      </c>
    </row>
    <row r="358" spans="1:10" x14ac:dyDescent="0.25">
      <c r="A358" t="str">
        <f>INDEX('Pipe Table'!$E$2:$E$10,MATCH(INDEX('TE_OA_20200805_INTRDY_2020-08-0'!$T$2:$T$870,MATCH(Filter!B358,'TE_OA_20200805_INTRDY_2020-08-0'!$G$2:$G$870,0)),'Pipe Table'!$D$2:$D$10,0))</f>
        <v>TETCO</v>
      </c>
      <c r="B358">
        <v>72967</v>
      </c>
      <c r="C358" t="str">
        <f>INDEX('TE_OA_20200805_INTRDY_2020-08-0'!$J$2:$J$870,MATCH(Filter!B358,'TE_OA_20200805_INTRDY_2020-08-0'!$G$2:$G$870))</f>
        <v>Delivery</v>
      </c>
      <c r="D358" t="str">
        <f>INDEX('Pipe Table'!$B$2:$B$14,MATCH(INDEX(TeAllPoints!$I$2:$I$957,MATCH(Filter!B358,TeAllPoints!$B$2:$B$957,0)),'Pipe Table'!$A$2:$A$14,0))</f>
        <v>LDC</v>
      </c>
      <c r="E358" t="str">
        <f>INDEX('TE_OA_20200805_INTRDY_2020-08-0'!$H$2:$H$870,MATCH(Filter!B358,'TE_OA_20200805_INTRDY_2020-08-0'!$G$2:$G$870))</f>
        <v>Atmos Energy -Monroe, MS</v>
      </c>
      <c r="F358" t="str">
        <f>INDEX('Pipe Table'!$H$2:$H$8,MATCH('TE_OA_20200805_INTRDY_2020-08-0'!I339,'Pipe Table'!$G$2:$G$8,0))</f>
        <v>TETCO-M1</v>
      </c>
      <c r="G358" t="str">
        <f>INDEX(TeAllPoints!$D$2:$D$957,MATCH(Filter!B358,TeAllPoints!$B$2:$B$957,0))</f>
        <v>MS</v>
      </c>
      <c r="H358" t="str">
        <f>INDEX(TeAllPoints!$E$2:$E$957,MATCH(Filter!B358,TeAllPoints!$B$2:$B$957,0))</f>
        <v>MONROE</v>
      </c>
      <c r="I358">
        <f>INDEX('TE_OA_20200805_INTRDY_2020-08-0'!$Q$2:$Q$870,MATCH(Filter!B358,'TE_OA_20200805_INTRDY_2020-08-0'!$G$2:$G$870))</f>
        <v>9349</v>
      </c>
      <c r="J358">
        <f>INDEX('TE_OA_20200805_INTRDY_2020-08-0'!$R$2:$R$870,MATCH(Filter!B358,'TE_OA_20200805_INTRDY_2020-08-0'!$G$2:$G$870))</f>
        <v>980</v>
      </c>
    </row>
    <row r="359" spans="1:10" x14ac:dyDescent="0.25">
      <c r="A359" t="str">
        <f>INDEX('Pipe Table'!$E$2:$E$10,MATCH(INDEX('TE_OA_20200805_INTRDY_2020-08-0'!$T$2:$T$870,MATCH(Filter!B359,'TE_OA_20200805_INTRDY_2020-08-0'!$G$2:$G$870,0)),'Pipe Table'!$D$2:$D$10,0))</f>
        <v>TETCO</v>
      </c>
      <c r="B359">
        <v>72972</v>
      </c>
      <c r="C359" t="str">
        <f>INDEX('TE_OA_20200805_INTRDY_2020-08-0'!$J$2:$J$870,MATCH(Filter!B359,'TE_OA_20200805_INTRDY_2020-08-0'!$G$2:$G$870))</f>
        <v>Receipt</v>
      </c>
      <c r="D359" t="str">
        <f>INDEX('Pipe Table'!$B$2:$B$14,MATCH(INDEX(TeAllPoints!$I$2:$I$957,MATCH(Filter!B359,TeAllPoints!$B$2:$B$957,0)),'Pipe Table'!$A$2:$A$14,0))</f>
        <v>Wellhead</v>
      </c>
      <c r="E359" t="str">
        <f>INDEX('TE_OA_20200805_INTRDY_2020-08-0'!$H$2:$H$870,MATCH(Filter!B359,'TE_OA_20200805_INTRDY_2020-08-0'!$G$2:$G$870))</f>
        <v>Walter Oil &amp; Gas - WD 106</v>
      </c>
      <c r="F359" t="str">
        <f>INDEX('Pipe Table'!$H$2:$H$8,MATCH('TE_OA_20200805_INTRDY_2020-08-0'!I340,'Pipe Table'!$G$2:$G$8,0))</f>
        <v>TETCO-ELA</v>
      </c>
      <c r="G359" t="str">
        <f>INDEX(TeAllPoints!$D$2:$D$957,MATCH(Filter!B359,TeAllPoints!$B$2:$B$957,0))</f>
        <v>OF</v>
      </c>
      <c r="H359" t="str">
        <f>INDEX(TeAllPoints!$E$2:$E$957,MATCH(Filter!B359,TeAllPoints!$B$2:$B$957,0))</f>
        <v>WEST DELTA</v>
      </c>
      <c r="I359">
        <f>INDEX('TE_OA_20200805_INTRDY_2020-08-0'!$Q$2:$Q$870,MATCH(Filter!B359,'TE_OA_20200805_INTRDY_2020-08-0'!$G$2:$G$870))</f>
        <v>77008</v>
      </c>
      <c r="J359">
        <f>INDEX('TE_OA_20200805_INTRDY_2020-08-0'!$R$2:$R$870,MATCH(Filter!B359,'TE_OA_20200805_INTRDY_2020-08-0'!$G$2:$G$870))</f>
        <v>1</v>
      </c>
    </row>
    <row r="360" spans="1:10" x14ac:dyDescent="0.25">
      <c r="A360" t="str">
        <f>INDEX('Pipe Table'!$E$2:$E$10,MATCH(INDEX('TE_OA_20200805_INTRDY_2020-08-0'!$T$2:$T$870,MATCH(Filter!B360,'TE_OA_20200805_INTRDY_2020-08-0'!$G$2:$G$870,0)),'Pipe Table'!$D$2:$D$10,0))</f>
        <v>TETCO</v>
      </c>
      <c r="B360">
        <v>72979</v>
      </c>
      <c r="C360" t="str">
        <f>INDEX('TE_OA_20200805_INTRDY_2020-08-0'!$J$2:$J$870,MATCH(Filter!B360,'TE_OA_20200805_INTRDY_2020-08-0'!$G$2:$G$870))</f>
        <v>Delivery</v>
      </c>
      <c r="D360" t="str">
        <f>INDEX('Pipe Table'!$B$2:$B$14,MATCH(INDEX(TeAllPoints!$I$2:$I$957,MATCH(Filter!B360,TeAllPoints!$B$2:$B$957,0)),'Pipe Table'!$A$2:$A$14,0))</f>
        <v>LDC</v>
      </c>
      <c r="E360" t="str">
        <f>INDEX('TE_OA_20200805_INTRDY_2020-08-0'!$H$2:$H$870,MATCH(Filter!B360,'TE_OA_20200805_INTRDY_2020-08-0'!$G$2:$G$870))</f>
        <v>PECO - Doylestown, Bucks Co., PA</v>
      </c>
      <c r="F360" t="str">
        <f>INDEX('Pipe Table'!$H$2:$H$8,MATCH('TE_OA_20200805_INTRDY_2020-08-0'!I341,'Pipe Table'!$G$2:$G$8,0))</f>
        <v>TETCO-M3</v>
      </c>
      <c r="G360" t="str">
        <f>INDEX(TeAllPoints!$D$2:$D$957,MATCH(Filter!B360,TeAllPoints!$B$2:$B$957,0))</f>
        <v>PA</v>
      </c>
      <c r="H360" t="str">
        <f>INDEX(TeAllPoints!$E$2:$E$957,MATCH(Filter!B360,TeAllPoints!$B$2:$B$957,0))</f>
        <v>BUCKS</v>
      </c>
      <c r="I360">
        <f>INDEX('TE_OA_20200805_INTRDY_2020-08-0'!$Q$2:$Q$870,MATCH(Filter!B360,'TE_OA_20200805_INTRDY_2020-08-0'!$G$2:$G$870))</f>
        <v>67173</v>
      </c>
      <c r="J360">
        <f>INDEX('TE_OA_20200805_INTRDY_2020-08-0'!$R$2:$R$870,MATCH(Filter!B360,'TE_OA_20200805_INTRDY_2020-08-0'!$G$2:$G$870))</f>
        <v>18574</v>
      </c>
    </row>
    <row r="361" spans="1:10" x14ac:dyDescent="0.25">
      <c r="A361" t="str">
        <f>INDEX('Pipe Table'!$E$2:$E$10,MATCH(INDEX('TE_OA_20200805_INTRDY_2020-08-0'!$T$2:$T$870,MATCH(Filter!B361,'TE_OA_20200805_INTRDY_2020-08-0'!$G$2:$G$870,0)),'Pipe Table'!$D$2:$D$10,0))</f>
        <v>TETCO</v>
      </c>
      <c r="B361">
        <v>72988</v>
      </c>
      <c r="C361" t="str">
        <f>INDEX('TE_OA_20200805_INTRDY_2020-08-0'!$J$2:$J$870,MATCH(Filter!B361,'TE_OA_20200805_INTRDY_2020-08-0'!$G$2:$G$870))</f>
        <v>Delivery</v>
      </c>
      <c r="D361" t="e">
        <f>INDEX('Pipe Table'!$B$2:$B$14,MATCH(INDEX(TeAllPoints!$I$2:$I$957,MATCH(Filter!B361,TeAllPoints!$B$2:$B$957,0)),'Pipe Table'!$A$2:$A$14,0))</f>
        <v>#N/A</v>
      </c>
      <c r="E361" t="str">
        <f>INDEX('TE_OA_20200805_INTRDY_2020-08-0'!$H$2:$H$870,MATCH(Filter!B361,'TE_OA_20200805_INTRDY_2020-08-0'!$G$2:$G$870))</f>
        <v>EQM Gathering Opco - Westmoreland Co., PA</v>
      </c>
      <c r="F361" t="str">
        <f>INDEX('Pipe Table'!$H$2:$H$8,MATCH('TE_OA_20200805_INTRDY_2020-08-0'!I342,'Pipe Table'!$G$2:$G$8,0))</f>
        <v>TETCO-M2</v>
      </c>
      <c r="G361" t="e">
        <f>INDEX(TeAllPoints!$D$2:$D$957,MATCH(Filter!B361,TeAllPoints!$B$2:$B$957,0))</f>
        <v>#N/A</v>
      </c>
      <c r="H361" t="e">
        <f>INDEX(TeAllPoints!$E$2:$E$957,MATCH(Filter!B361,TeAllPoints!$B$2:$B$957,0))</f>
        <v>#N/A</v>
      </c>
      <c r="I361">
        <f>INDEX('TE_OA_20200805_INTRDY_2020-08-0'!$Q$2:$Q$870,MATCH(Filter!B361,'TE_OA_20200805_INTRDY_2020-08-0'!$G$2:$G$870))</f>
        <v>0</v>
      </c>
      <c r="J361">
        <f>INDEX('TE_OA_20200805_INTRDY_2020-08-0'!$R$2:$R$870,MATCH(Filter!B361,'TE_OA_20200805_INTRDY_2020-08-0'!$G$2:$G$870))</f>
        <v>0</v>
      </c>
    </row>
    <row r="362" spans="1:10" x14ac:dyDescent="0.25">
      <c r="A362" t="str">
        <f>INDEX('Pipe Table'!$E$2:$E$10,MATCH(INDEX('TE_OA_20200805_INTRDY_2020-08-0'!$T$2:$T$870,MATCH(Filter!B362,'TE_OA_20200805_INTRDY_2020-08-0'!$G$2:$G$870,0)),'Pipe Table'!$D$2:$D$10,0))</f>
        <v>TETCO</v>
      </c>
      <c r="B362">
        <v>72990</v>
      </c>
      <c r="C362" t="str">
        <f>INDEX('TE_OA_20200805_INTRDY_2020-08-0'!$J$2:$J$870,MATCH(Filter!B362,'TE_OA_20200805_INTRDY_2020-08-0'!$G$2:$G$870))</f>
        <v>Delivery</v>
      </c>
      <c r="D362" t="str">
        <f>INDEX('Pipe Table'!$B$2:$B$14,MATCH(INDEX(TeAllPoints!$I$2:$I$957,MATCH(Filter!B362,TeAllPoints!$B$2:$B$957,0)),'Pipe Table'!$A$2:$A$14,0))</f>
        <v>LDC</v>
      </c>
      <c r="E362" t="str">
        <f>INDEX('TE_OA_20200805_INTRDY_2020-08-0'!$H$2:$H$870,MATCH(Filter!B362,'TE_OA_20200805_INTRDY_2020-08-0'!$G$2:$G$870))</f>
        <v>MVG - Madison Co., MS</v>
      </c>
      <c r="F362" t="str">
        <f>INDEX('Pipe Table'!$H$2:$H$8,MATCH('TE_OA_20200805_INTRDY_2020-08-0'!I343,'Pipe Table'!$G$2:$G$8,0))</f>
        <v>TETCO-ELA</v>
      </c>
      <c r="G362" t="str">
        <f>INDEX(TeAllPoints!$D$2:$D$957,MATCH(Filter!B362,TeAllPoints!$B$2:$B$957,0))</f>
        <v>MS</v>
      </c>
      <c r="H362" t="str">
        <f>INDEX(TeAllPoints!$E$2:$E$957,MATCH(Filter!B362,TeAllPoints!$B$2:$B$957,0))</f>
        <v>MADISON</v>
      </c>
      <c r="I362">
        <f>INDEX('TE_OA_20200805_INTRDY_2020-08-0'!$Q$2:$Q$870,MATCH(Filter!B362,'TE_OA_20200805_INTRDY_2020-08-0'!$G$2:$G$870))</f>
        <v>10036</v>
      </c>
      <c r="J362">
        <f>INDEX('TE_OA_20200805_INTRDY_2020-08-0'!$R$2:$R$870,MATCH(Filter!B362,'TE_OA_20200805_INTRDY_2020-08-0'!$G$2:$G$870))</f>
        <v>0</v>
      </c>
    </row>
    <row r="363" spans="1:10" x14ac:dyDescent="0.25">
      <c r="A363" t="str">
        <f>INDEX('Pipe Table'!$E$2:$E$10,MATCH(INDEX('TE_OA_20200805_INTRDY_2020-08-0'!$T$2:$T$870,MATCH(Filter!B363,'TE_OA_20200805_INTRDY_2020-08-0'!$G$2:$G$870,0)),'Pipe Table'!$D$2:$D$10,0))</f>
        <v>TETCO</v>
      </c>
      <c r="B363">
        <v>72996</v>
      </c>
      <c r="C363" t="str">
        <f>INDEX('TE_OA_20200805_INTRDY_2020-08-0'!$J$2:$J$870,MATCH(Filter!B363,'TE_OA_20200805_INTRDY_2020-08-0'!$G$2:$G$870))</f>
        <v>Delivery</v>
      </c>
      <c r="D363" t="str">
        <f>INDEX('Pipe Table'!$B$2:$B$14,MATCH(INDEX(TeAllPoints!$I$2:$I$957,MATCH(Filter!B363,TeAllPoints!$B$2:$B$957,0)),'Pipe Table'!$A$2:$A$14,0))</f>
        <v>LDC</v>
      </c>
      <c r="E363" t="str">
        <f>INDEX('TE_OA_20200805_INTRDY_2020-08-0'!$H$2:$H$870,MATCH(Filter!B363,'TE_OA_20200805_INTRDY_2020-08-0'!$G$2:$G$870))</f>
        <v>Edmonton #2 - Metcalfe Co., KY</v>
      </c>
      <c r="F363" t="str">
        <f>INDEX('Pipe Table'!$H$2:$H$8,MATCH('TE_OA_20200805_INTRDY_2020-08-0'!I344,'Pipe Table'!$G$2:$G$8,0))</f>
        <v>TETCO-M2</v>
      </c>
      <c r="G363" t="str">
        <f>INDEX(TeAllPoints!$D$2:$D$957,MATCH(Filter!B363,TeAllPoints!$B$2:$B$957,0))</f>
        <v>KY</v>
      </c>
      <c r="H363" t="str">
        <f>INDEX(TeAllPoints!$E$2:$E$957,MATCH(Filter!B363,TeAllPoints!$B$2:$B$957,0))</f>
        <v>METCALFE</v>
      </c>
      <c r="I363">
        <f>INDEX('TE_OA_20200805_INTRDY_2020-08-0'!$Q$2:$Q$870,MATCH(Filter!B363,'TE_OA_20200805_INTRDY_2020-08-0'!$G$2:$G$870))</f>
        <v>5120</v>
      </c>
      <c r="J363">
        <f>INDEX('TE_OA_20200805_INTRDY_2020-08-0'!$R$2:$R$870,MATCH(Filter!B363,'TE_OA_20200805_INTRDY_2020-08-0'!$G$2:$G$870))</f>
        <v>375</v>
      </c>
    </row>
    <row r="364" spans="1:10" x14ac:dyDescent="0.25">
      <c r="A364" t="str">
        <f>INDEX('Pipe Table'!$E$2:$E$10,MATCH(INDEX('TE_OA_20200805_INTRDY_2020-08-0'!$T$2:$T$870,MATCH(Filter!B364,'TE_OA_20200805_INTRDY_2020-08-0'!$G$2:$G$870,0)),'Pipe Table'!$D$2:$D$10,0))</f>
        <v>TETCO</v>
      </c>
      <c r="B364">
        <v>72998</v>
      </c>
      <c r="C364" t="str">
        <f>INDEX('TE_OA_20200805_INTRDY_2020-08-0'!$J$2:$J$870,MATCH(Filter!B364,'TE_OA_20200805_INTRDY_2020-08-0'!$G$2:$G$870))</f>
        <v>Receipt</v>
      </c>
      <c r="D364" t="str">
        <f>INDEX('Pipe Table'!$B$2:$B$14,MATCH(INDEX(TeAllPoints!$I$2:$I$957,MATCH(Filter!B364,TeAllPoints!$B$2:$B$957,0)),'Pipe Table'!$A$2:$A$14,0))</f>
        <v>Wellhead</v>
      </c>
      <c r="E364" t="str">
        <f>INDEX('TE_OA_20200805_INTRDY_2020-08-0'!$H$2:$H$870,MATCH(Filter!B364,'TE_OA_20200805_INTRDY_2020-08-0'!$G$2:$G$870))</f>
        <v>Rovig Mineral-SWLB Field,LaFourche Parish, LA, Lafourche, LA</v>
      </c>
      <c r="F364" t="str">
        <f>INDEX('Pipe Table'!$H$2:$H$8,MATCH('TE_OA_20200805_INTRDY_2020-08-0'!I345,'Pipe Table'!$G$2:$G$8,0))</f>
        <v>TETCO-ELA</v>
      </c>
      <c r="G364" t="str">
        <f>INDEX(TeAllPoints!$D$2:$D$957,MATCH(Filter!B364,TeAllPoints!$B$2:$B$957,0))</f>
        <v>LA</v>
      </c>
      <c r="H364" t="str">
        <f>INDEX(TeAllPoints!$E$2:$E$957,MATCH(Filter!B364,TeAllPoints!$B$2:$B$957,0))</f>
        <v>LAFOURCHE</v>
      </c>
      <c r="I364">
        <f>INDEX('TE_OA_20200805_INTRDY_2020-08-0'!$Q$2:$Q$870,MATCH(Filter!B364,'TE_OA_20200805_INTRDY_2020-08-0'!$G$2:$G$870))</f>
        <v>16739</v>
      </c>
      <c r="J364">
        <f>INDEX('TE_OA_20200805_INTRDY_2020-08-0'!$R$2:$R$870,MATCH(Filter!B364,'TE_OA_20200805_INTRDY_2020-08-0'!$G$2:$G$870))</f>
        <v>250</v>
      </c>
    </row>
    <row r="365" spans="1:10" x14ac:dyDescent="0.25">
      <c r="A365" t="str">
        <f>INDEX('Pipe Table'!$E$2:$E$10,MATCH(INDEX('TE_OA_20200805_INTRDY_2020-08-0'!$T$2:$T$870,MATCH(Filter!B365,'TE_OA_20200805_INTRDY_2020-08-0'!$G$2:$G$870,0)),'Pipe Table'!$D$2:$D$10,0))</f>
        <v>TETCO</v>
      </c>
      <c r="B365">
        <v>72999</v>
      </c>
      <c r="C365" t="str">
        <f>INDEX('TE_OA_20200805_INTRDY_2020-08-0'!$J$2:$J$870,MATCH(Filter!B365,'TE_OA_20200805_INTRDY_2020-08-0'!$G$2:$G$870))</f>
        <v>Receipt</v>
      </c>
      <c r="D365" t="str">
        <f>INDEX('Pipe Table'!$B$2:$B$14,MATCH(INDEX(TeAllPoints!$I$2:$I$957,MATCH(Filter!B365,TeAllPoints!$B$2:$B$957,0)),'Pipe Table'!$A$2:$A$14,0))</f>
        <v>Wellhead</v>
      </c>
      <c r="E365" t="str">
        <f>INDEX('TE_OA_20200805_INTRDY_2020-08-0'!$H$2:$H$870,MATCH(Filter!B365,'TE_OA_20200805_INTRDY_2020-08-0'!$G$2:$G$870))</f>
        <v>American Explorer - Shore Oil #1 - Lafourche Psh., La</v>
      </c>
      <c r="F365" t="str">
        <f>INDEX('Pipe Table'!$H$2:$H$8,MATCH('TE_OA_20200805_INTRDY_2020-08-0'!I346,'Pipe Table'!$G$2:$G$8,0))</f>
        <v>TETCO-ELA</v>
      </c>
      <c r="G365" t="str">
        <f>INDEX(TeAllPoints!$D$2:$D$957,MATCH(Filter!B365,TeAllPoints!$B$2:$B$957,0))</f>
        <v>LA</v>
      </c>
      <c r="H365" t="str">
        <f>INDEX(TeAllPoints!$E$2:$E$957,MATCH(Filter!B365,TeAllPoints!$B$2:$B$957,0))</f>
        <v>LAFOURCHE</v>
      </c>
      <c r="I365">
        <f>INDEX('TE_OA_20200805_INTRDY_2020-08-0'!$Q$2:$Q$870,MATCH(Filter!B365,'TE_OA_20200805_INTRDY_2020-08-0'!$G$2:$G$870))</f>
        <v>16711</v>
      </c>
      <c r="J365">
        <f>INDEX('TE_OA_20200805_INTRDY_2020-08-0'!$R$2:$R$870,MATCH(Filter!B365,'TE_OA_20200805_INTRDY_2020-08-0'!$G$2:$G$870))</f>
        <v>1</v>
      </c>
    </row>
    <row r="366" spans="1:10" x14ac:dyDescent="0.25">
      <c r="A366" t="str">
        <f>INDEX('Pipe Table'!$E$2:$E$10,MATCH(INDEX('TE_OA_20200805_INTRDY_2020-08-0'!$T$2:$T$870,MATCH(Filter!B366,'TE_OA_20200805_INTRDY_2020-08-0'!$G$2:$G$870,0)),'Pipe Table'!$D$2:$D$10,0))</f>
        <v>TETCO</v>
      </c>
      <c r="B366">
        <v>73023</v>
      </c>
      <c r="C366" t="str">
        <f>INDEX('TE_OA_20200805_INTRDY_2020-08-0'!$J$2:$J$870,MATCH(Filter!B366,'TE_OA_20200805_INTRDY_2020-08-0'!$G$2:$G$870))</f>
        <v>Delivery</v>
      </c>
      <c r="D366" t="str">
        <f>INDEX('Pipe Table'!$B$2:$B$14,MATCH(INDEX(TeAllPoints!$I$2:$I$957,MATCH(Filter!B366,TeAllPoints!$B$2:$B$957,0)),'Pipe Table'!$A$2:$A$14,0))</f>
        <v>LDC</v>
      </c>
      <c r="E366" t="str">
        <f>INDEX('TE_OA_20200805_INTRDY_2020-08-0'!$H$2:$H$870,MATCH(Filter!B366,'TE_OA_20200805_INTRDY_2020-08-0'!$G$2:$G$870))</f>
        <v>UGI UTIL - Mt. Pleasant, Berks Co. , PA</v>
      </c>
      <c r="F366" t="str">
        <f>INDEX('Pipe Table'!$H$2:$H$8,MATCH('TE_OA_20200805_INTRDY_2020-08-0'!I347,'Pipe Table'!$G$2:$G$8,0))</f>
        <v>TETCO-M3</v>
      </c>
      <c r="G366" t="str">
        <f>INDEX(TeAllPoints!$D$2:$D$957,MATCH(Filter!B366,TeAllPoints!$B$2:$B$957,0))</f>
        <v>PA</v>
      </c>
      <c r="H366" t="str">
        <f>INDEX(TeAllPoints!$E$2:$E$957,MATCH(Filter!B366,TeAllPoints!$B$2:$B$957,0))</f>
        <v>BERKS</v>
      </c>
      <c r="I366">
        <f>INDEX('TE_OA_20200805_INTRDY_2020-08-0'!$Q$2:$Q$870,MATCH(Filter!B366,'TE_OA_20200805_INTRDY_2020-08-0'!$G$2:$G$870))</f>
        <v>37087</v>
      </c>
      <c r="J366">
        <f>INDEX('TE_OA_20200805_INTRDY_2020-08-0'!$R$2:$R$870,MATCH(Filter!B366,'TE_OA_20200805_INTRDY_2020-08-0'!$G$2:$G$870))</f>
        <v>0</v>
      </c>
    </row>
    <row r="367" spans="1:10" x14ac:dyDescent="0.25">
      <c r="A367" t="str">
        <f>INDEX('Pipe Table'!$E$2:$E$10,MATCH(INDEX('TE_OA_20200805_INTRDY_2020-08-0'!$T$2:$T$870,MATCH(Filter!B367,'TE_OA_20200805_INTRDY_2020-08-0'!$G$2:$G$870,0)),'Pipe Table'!$D$2:$D$10,0))</f>
        <v>TETCO</v>
      </c>
      <c r="B367">
        <v>73025</v>
      </c>
      <c r="C367" t="str">
        <f>INDEX('TE_OA_20200805_INTRDY_2020-08-0'!$J$2:$J$870,MATCH(Filter!B367,'TE_OA_20200805_INTRDY_2020-08-0'!$G$2:$G$870))</f>
        <v>Delivery</v>
      </c>
      <c r="D367" t="str">
        <f>INDEX('Pipe Table'!$B$2:$B$14,MATCH(INDEX(TeAllPoints!$I$2:$I$957,MATCH(Filter!B367,TeAllPoints!$B$2:$B$957,0)),'Pipe Table'!$A$2:$A$14,0))</f>
        <v>LDC</v>
      </c>
      <c r="E367" t="str">
        <f>INDEX('TE_OA_20200805_INTRDY_2020-08-0'!$H$2:$H$870,MATCH(Filter!B367,'TE_OA_20200805_INTRDY_2020-08-0'!$G$2:$G$870))</f>
        <v>Atmos Energy, TN (B/D 76025)</v>
      </c>
      <c r="F367" t="str">
        <f>INDEX('Pipe Table'!$H$2:$H$8,MATCH('TE_OA_20200805_INTRDY_2020-08-0'!I348,'Pipe Table'!$G$2:$G$8,0))</f>
        <v>TETCO-M1</v>
      </c>
      <c r="G367" t="str">
        <f>INDEX(TeAllPoints!$D$2:$D$957,MATCH(Filter!B367,TeAllPoints!$B$2:$B$957,0))</f>
        <v>TN</v>
      </c>
      <c r="H367" t="str">
        <f>INDEX(TeAllPoints!$E$2:$E$957,MATCH(Filter!B367,TeAllPoints!$B$2:$B$957,0))</f>
        <v>WILLIAMSON</v>
      </c>
      <c r="I367">
        <f>INDEX('TE_OA_20200805_INTRDY_2020-08-0'!$Q$2:$Q$870,MATCH(Filter!B367,'TE_OA_20200805_INTRDY_2020-08-0'!$G$2:$G$870))</f>
        <v>252206</v>
      </c>
      <c r="J367">
        <f>INDEX('TE_OA_20200805_INTRDY_2020-08-0'!$R$2:$R$870,MATCH(Filter!B367,'TE_OA_20200805_INTRDY_2020-08-0'!$G$2:$G$870))</f>
        <v>0</v>
      </c>
    </row>
    <row r="368" spans="1:10" x14ac:dyDescent="0.25">
      <c r="A368" t="str">
        <f>INDEX('Pipe Table'!$E$2:$E$10,MATCH(INDEX('TE_OA_20200805_INTRDY_2020-08-0'!$T$2:$T$870,MATCH(Filter!B368,'TE_OA_20200805_INTRDY_2020-08-0'!$G$2:$G$870,0)),'Pipe Table'!$D$2:$D$10,0))</f>
        <v>TETCO</v>
      </c>
      <c r="B368">
        <v>73027</v>
      </c>
      <c r="C368" t="str">
        <f>INDEX('TE_OA_20200805_INTRDY_2020-08-0'!$J$2:$J$870,MATCH(Filter!B368,'TE_OA_20200805_INTRDY_2020-08-0'!$G$2:$G$870))</f>
        <v>Receipt</v>
      </c>
      <c r="D368" t="str">
        <f>INDEX('Pipe Table'!$B$2:$B$14,MATCH(INDEX(TeAllPoints!$I$2:$I$957,MATCH(Filter!B368,TeAllPoints!$B$2:$B$957,0)),'Pipe Table'!$A$2:$A$14,0))</f>
        <v>Wellhead</v>
      </c>
      <c r="E368" t="str">
        <f>INDEX('TE_OA_20200805_INTRDY_2020-08-0'!$H$2:$H$870,MATCH(Filter!B368,'TE_OA_20200805_INTRDY_2020-08-0'!$G$2:$G$870))</f>
        <v>Fieldwood Energy - SP 87-D</v>
      </c>
      <c r="F368" t="str">
        <f>INDEX('Pipe Table'!$H$2:$H$8,MATCH('TE_OA_20200805_INTRDY_2020-08-0'!I349,'Pipe Table'!$G$2:$G$8,0))</f>
        <v>TETCO-ELA</v>
      </c>
      <c r="G368" t="str">
        <f>INDEX(TeAllPoints!$D$2:$D$957,MATCH(Filter!B368,TeAllPoints!$B$2:$B$957,0))</f>
        <v>OF</v>
      </c>
      <c r="H368" t="str">
        <f>INDEX(TeAllPoints!$E$2:$E$957,MATCH(Filter!B368,TeAllPoints!$B$2:$B$957,0))</f>
        <v>SOUTH PASS</v>
      </c>
      <c r="I368">
        <f>INDEX('TE_OA_20200805_INTRDY_2020-08-0'!$Q$2:$Q$870,MATCH(Filter!B368,'TE_OA_20200805_INTRDY_2020-08-0'!$G$2:$G$870))</f>
        <v>80523</v>
      </c>
      <c r="J368">
        <f>INDEX('TE_OA_20200805_INTRDY_2020-08-0'!$R$2:$R$870,MATCH(Filter!B368,'TE_OA_20200805_INTRDY_2020-08-0'!$G$2:$G$870))</f>
        <v>0</v>
      </c>
    </row>
    <row r="369" spans="1:10" x14ac:dyDescent="0.25">
      <c r="A369" t="str">
        <f>INDEX('Pipe Table'!$E$2:$E$10,MATCH(INDEX('TE_OA_20200805_INTRDY_2020-08-0'!$T$2:$T$870,MATCH(Filter!B369,'TE_OA_20200805_INTRDY_2020-08-0'!$G$2:$G$870,0)),'Pipe Table'!$D$2:$D$10,0))</f>
        <v>TETCO</v>
      </c>
      <c r="B369">
        <v>73037</v>
      </c>
      <c r="C369" t="str">
        <f>INDEX('TE_OA_20200805_INTRDY_2020-08-0'!$J$2:$J$870,MATCH(Filter!B369,'TE_OA_20200805_INTRDY_2020-08-0'!$G$2:$G$870))</f>
        <v>Delivery</v>
      </c>
      <c r="D369" t="str">
        <f>INDEX('Pipe Table'!$B$2:$B$14,MATCH(INDEX(TeAllPoints!$I$2:$I$957,MATCH(Filter!B369,TeAllPoints!$B$2:$B$957,0)),'Pipe Table'!$A$2:$A$14,0))</f>
        <v>LDC</v>
      </c>
      <c r="E369" t="str">
        <f>INDEX('TE_OA_20200805_INTRDY_2020-08-0'!$H$2:$H$870,MATCH(Filter!B369,'TE_OA_20200805_INTRDY_2020-08-0'!$G$2:$G$870))</f>
        <v>Mississippi Valley - Clay Co., MS</v>
      </c>
      <c r="F369" t="str">
        <f>INDEX('Pipe Table'!$H$2:$H$8,MATCH('TE_OA_20200805_INTRDY_2020-08-0'!I350,'Pipe Table'!$G$2:$G$8,0))</f>
        <v>TETCO-M1</v>
      </c>
      <c r="G369" t="str">
        <f>INDEX(TeAllPoints!$D$2:$D$957,MATCH(Filter!B369,TeAllPoints!$B$2:$B$957,0))</f>
        <v>MS</v>
      </c>
      <c r="H369" t="str">
        <f>INDEX(TeAllPoints!$E$2:$E$957,MATCH(Filter!B369,TeAllPoints!$B$2:$B$957,0))</f>
        <v>CLAY</v>
      </c>
      <c r="I369">
        <f>INDEX('TE_OA_20200805_INTRDY_2020-08-0'!$Q$2:$Q$870,MATCH(Filter!B369,'TE_OA_20200805_INTRDY_2020-08-0'!$G$2:$G$870))</f>
        <v>73344</v>
      </c>
      <c r="J369">
        <f>INDEX('TE_OA_20200805_INTRDY_2020-08-0'!$R$2:$R$870,MATCH(Filter!B369,'TE_OA_20200805_INTRDY_2020-08-0'!$G$2:$G$870))</f>
        <v>0</v>
      </c>
    </row>
    <row r="370" spans="1:10" x14ac:dyDescent="0.25">
      <c r="A370" t="str">
        <f>INDEX('Pipe Table'!$E$2:$E$10,MATCH(INDEX('TE_OA_20200805_INTRDY_2020-08-0'!$T$2:$T$870,MATCH(Filter!B370,'TE_OA_20200805_INTRDY_2020-08-0'!$G$2:$G$870,0)),'Pipe Table'!$D$2:$D$10,0))</f>
        <v>TETCO</v>
      </c>
      <c r="B370">
        <v>73041</v>
      </c>
      <c r="C370" t="str">
        <f>INDEX('TE_OA_20200805_INTRDY_2020-08-0'!$J$2:$J$870,MATCH(Filter!B370,'TE_OA_20200805_INTRDY_2020-08-0'!$G$2:$G$870))</f>
        <v>Delivery</v>
      </c>
      <c r="D370" t="str">
        <f>INDEX('Pipe Table'!$B$2:$B$14,MATCH(INDEX(TeAllPoints!$I$2:$I$957,MATCH(Filter!B370,TeAllPoints!$B$2:$B$957,0)),'Pipe Table'!$A$2:$A$14,0))</f>
        <v>LDC</v>
      </c>
      <c r="E370" t="str">
        <f>INDEX('TE_OA_20200805_INTRDY_2020-08-0'!$H$2:$H$870,MATCH(Filter!B370,'TE_OA_20200805_INTRDY_2020-08-0'!$G$2:$G$870))</f>
        <v>Four Square Gas Co., Inc. (Chireno #3) -  Shelby Co., TX</v>
      </c>
      <c r="F370" t="str">
        <f>INDEX('Pipe Table'!$H$2:$H$8,MATCH('TE_OA_20200805_INTRDY_2020-08-0'!I351,'Pipe Table'!$G$2:$G$8,0))</f>
        <v>TETCO-ETX</v>
      </c>
      <c r="G370" t="str">
        <f>INDEX(TeAllPoints!$D$2:$D$957,MATCH(Filter!B370,TeAllPoints!$B$2:$B$957,0))</f>
        <v>TX</v>
      </c>
      <c r="H370" t="str">
        <f>INDEX(TeAllPoints!$E$2:$E$957,MATCH(Filter!B370,TeAllPoints!$B$2:$B$957,0))</f>
        <v>SHELBY</v>
      </c>
      <c r="I370">
        <f>INDEX('TE_OA_20200805_INTRDY_2020-08-0'!$Q$2:$Q$870,MATCH(Filter!B370,'TE_OA_20200805_INTRDY_2020-08-0'!$G$2:$G$870))</f>
        <v>10266</v>
      </c>
      <c r="J370">
        <f>INDEX('TE_OA_20200805_INTRDY_2020-08-0'!$R$2:$R$870,MATCH(Filter!B370,'TE_OA_20200805_INTRDY_2020-08-0'!$G$2:$G$870))</f>
        <v>1</v>
      </c>
    </row>
    <row r="371" spans="1:10" x14ac:dyDescent="0.25">
      <c r="A371" t="str">
        <f>INDEX('Pipe Table'!$E$2:$E$10,MATCH(INDEX('TE_OA_20200805_INTRDY_2020-08-0'!$T$2:$T$870,MATCH(Filter!B371,'TE_OA_20200805_INTRDY_2020-08-0'!$G$2:$G$870,0)),'Pipe Table'!$D$2:$D$10,0))</f>
        <v>TETCO</v>
      </c>
      <c r="B371">
        <v>73054</v>
      </c>
      <c r="C371" t="str">
        <f>INDEX('TE_OA_20200805_INTRDY_2020-08-0'!$J$2:$J$870,MATCH(Filter!B371,'TE_OA_20200805_INTRDY_2020-08-0'!$G$2:$G$870))</f>
        <v>Receipt</v>
      </c>
      <c r="D371" t="e">
        <f>INDEX('Pipe Table'!$B$2:$B$14,MATCH(INDEX(TeAllPoints!$I$2:$I$957,MATCH(Filter!B371,TeAllPoints!$B$2:$B$957,0)),'Pipe Table'!$A$2:$A$14,0))</f>
        <v>#N/A</v>
      </c>
      <c r="E371" t="str">
        <f>INDEX('TE_OA_20200805_INTRDY_2020-08-0'!$H$2:$H$870,MATCH(Filter!B371,'TE_OA_20200805_INTRDY_2020-08-0'!$G$2:$G$870))</f>
        <v>Atlas America - Joseph MM, Fayette Co., Pa</v>
      </c>
      <c r="F371" t="str">
        <f>INDEX('Pipe Table'!$H$2:$H$8,MATCH('TE_OA_20200805_INTRDY_2020-08-0'!I352,'Pipe Table'!$G$2:$G$8,0))</f>
        <v>TETCO-M2</v>
      </c>
      <c r="G371" t="e">
        <f>INDEX(TeAllPoints!$D$2:$D$957,MATCH(Filter!B371,TeAllPoints!$B$2:$B$957,0))</f>
        <v>#N/A</v>
      </c>
      <c r="H371" t="e">
        <f>INDEX(TeAllPoints!$E$2:$E$957,MATCH(Filter!B371,TeAllPoints!$B$2:$B$957,0))</f>
        <v>#N/A</v>
      </c>
      <c r="I371">
        <f>INDEX('TE_OA_20200805_INTRDY_2020-08-0'!$Q$2:$Q$870,MATCH(Filter!B371,'TE_OA_20200805_INTRDY_2020-08-0'!$G$2:$G$870))</f>
        <v>4894</v>
      </c>
      <c r="J371">
        <f>INDEX('TE_OA_20200805_INTRDY_2020-08-0'!$R$2:$R$870,MATCH(Filter!B371,'TE_OA_20200805_INTRDY_2020-08-0'!$G$2:$G$870))</f>
        <v>0</v>
      </c>
    </row>
    <row r="372" spans="1:10" x14ac:dyDescent="0.25">
      <c r="A372" t="str">
        <f>INDEX('Pipe Table'!$E$2:$E$10,MATCH(INDEX('TE_OA_20200805_INTRDY_2020-08-0'!$T$2:$T$870,MATCH(Filter!B372,'TE_OA_20200805_INTRDY_2020-08-0'!$G$2:$G$870,0)),'Pipe Table'!$D$2:$D$10,0))</f>
        <v>TETCO</v>
      </c>
      <c r="B372">
        <v>73060</v>
      </c>
      <c r="C372" t="str">
        <f>INDEX('TE_OA_20200805_INTRDY_2020-08-0'!$J$2:$J$870,MATCH(Filter!B372,'TE_OA_20200805_INTRDY_2020-08-0'!$G$2:$G$870))</f>
        <v>Delivery</v>
      </c>
      <c r="D372" t="str">
        <f>INDEX('Pipe Table'!$B$2:$B$14,MATCH(INDEX(TeAllPoints!$I$2:$I$957,MATCH(Filter!B372,TeAllPoints!$B$2:$B$957,0)),'Pipe Table'!$A$2:$A$14,0))</f>
        <v>LDC</v>
      </c>
      <c r="E372" t="str">
        <f>INDEX('TE_OA_20200805_INTRDY_2020-08-0'!$H$2:$H$870,MATCH(Filter!B372,'TE_OA_20200805_INTRDY_2020-08-0'!$G$2:$G$870))</f>
        <v>PGW - Harkness Point - Philadelphia, PA</v>
      </c>
      <c r="F372" t="str">
        <f>INDEX('Pipe Table'!$H$2:$H$8,MATCH('TE_OA_20200805_INTRDY_2020-08-0'!I353,'Pipe Table'!$G$2:$G$8,0))</f>
        <v>TETCO-M3</v>
      </c>
      <c r="G372" t="str">
        <f>INDEX(TeAllPoints!$D$2:$D$957,MATCH(Filter!B372,TeAllPoints!$B$2:$B$957,0))</f>
        <v>PA</v>
      </c>
      <c r="H372" t="str">
        <f>INDEX(TeAllPoints!$E$2:$E$957,MATCH(Filter!B372,TeAllPoints!$B$2:$B$957,0))</f>
        <v>PHILADELPHIA</v>
      </c>
      <c r="I372">
        <f>INDEX('TE_OA_20200805_INTRDY_2020-08-0'!$Q$2:$Q$870,MATCH(Filter!B372,'TE_OA_20200805_INTRDY_2020-08-0'!$G$2:$G$870))</f>
        <v>132080</v>
      </c>
      <c r="J372">
        <f>INDEX('TE_OA_20200805_INTRDY_2020-08-0'!$R$2:$R$870,MATCH(Filter!B372,'TE_OA_20200805_INTRDY_2020-08-0'!$G$2:$G$870))</f>
        <v>36999</v>
      </c>
    </row>
    <row r="373" spans="1:10" x14ac:dyDescent="0.25">
      <c r="A373" t="str">
        <f>INDEX('Pipe Table'!$E$2:$E$10,MATCH(INDEX('TE_OA_20200805_INTRDY_2020-08-0'!$T$2:$T$870,MATCH(Filter!B373,'TE_OA_20200805_INTRDY_2020-08-0'!$G$2:$G$870,0)),'Pipe Table'!$D$2:$D$10,0))</f>
        <v>TETCO</v>
      </c>
      <c r="B373">
        <v>73062</v>
      </c>
      <c r="C373" t="str">
        <f>INDEX('TE_OA_20200805_INTRDY_2020-08-0'!$J$2:$J$870,MATCH(Filter!B373,'TE_OA_20200805_INTRDY_2020-08-0'!$G$2:$G$870))</f>
        <v>Delivery</v>
      </c>
      <c r="D373" t="str">
        <f>INDEX('Pipe Table'!$B$2:$B$14,MATCH(INDEX(TeAllPoints!$I$2:$I$957,MATCH(Filter!B373,TeAllPoints!$B$2:$B$957,0)),'Pipe Table'!$A$2:$A$14,0))</f>
        <v>LDC</v>
      </c>
      <c r="E373" t="str">
        <f>INDEX('TE_OA_20200805_INTRDY_2020-08-0'!$H$2:$H$870,MATCH(Filter!B373,'TE_OA_20200805_INTRDY_2020-08-0'!$G$2:$G$870))</f>
        <v>Elizabethtown Gas Company - Union Co., NJ</v>
      </c>
      <c r="F373" t="str">
        <f>INDEX('Pipe Table'!$H$2:$H$8,MATCH('TE_OA_20200805_INTRDY_2020-08-0'!I354,'Pipe Table'!$G$2:$G$8,0))</f>
        <v>TETCO-M3</v>
      </c>
      <c r="G373" t="str">
        <f>INDEX(TeAllPoints!$D$2:$D$957,MATCH(Filter!B373,TeAllPoints!$B$2:$B$957,0))</f>
        <v>NJ</v>
      </c>
      <c r="H373" t="str">
        <f>INDEX(TeAllPoints!$E$2:$E$957,MATCH(Filter!B373,TeAllPoints!$B$2:$B$957,0))</f>
        <v>UNION</v>
      </c>
      <c r="I373">
        <f>INDEX('TE_OA_20200805_INTRDY_2020-08-0'!$Q$2:$Q$870,MATCH(Filter!B373,'TE_OA_20200805_INTRDY_2020-08-0'!$G$2:$G$870))</f>
        <v>74861</v>
      </c>
      <c r="J373">
        <f>INDEX('TE_OA_20200805_INTRDY_2020-08-0'!$R$2:$R$870,MATCH(Filter!B373,'TE_OA_20200805_INTRDY_2020-08-0'!$G$2:$G$870))</f>
        <v>9442</v>
      </c>
    </row>
    <row r="374" spans="1:10" x14ac:dyDescent="0.25">
      <c r="A374" t="str">
        <f>INDEX('Pipe Table'!$E$2:$E$10,MATCH(INDEX('TE_OA_20200805_INTRDY_2020-08-0'!$T$2:$T$870,MATCH(Filter!B374,'TE_OA_20200805_INTRDY_2020-08-0'!$G$2:$G$870,0)),'Pipe Table'!$D$2:$D$10,0))</f>
        <v>TETCO</v>
      </c>
      <c r="B374">
        <v>73068</v>
      </c>
      <c r="C374" t="str">
        <f>INDEX('TE_OA_20200805_INTRDY_2020-08-0'!$J$2:$J$870,MATCH(Filter!B374,'TE_OA_20200805_INTRDY_2020-08-0'!$G$2:$G$870))</f>
        <v>Receipt</v>
      </c>
      <c r="D374" t="str">
        <f>INDEX('Pipe Table'!$B$2:$B$14,MATCH(INDEX(TeAllPoints!$I$2:$I$957,MATCH(Filter!B374,TeAllPoints!$B$2:$B$957,0)),'Pipe Table'!$A$2:$A$14,0))</f>
        <v>Wellhead</v>
      </c>
      <c r="E374" t="str">
        <f>INDEX('TE_OA_20200805_INTRDY_2020-08-0'!$H$2:$H$870,MATCH(Filter!B374,'TE_OA_20200805_INTRDY_2020-08-0'!$G$2:$G$870))</f>
        <v>Brammer Engineering, Inc. -Green Gas Unit #1 - Harrison Co., TX</v>
      </c>
      <c r="F374" t="str">
        <f>INDEX('Pipe Table'!$H$2:$H$8,MATCH('TE_OA_20200805_INTRDY_2020-08-0'!I355,'Pipe Table'!$G$2:$G$8,0))</f>
        <v>TETCO-ETX</v>
      </c>
      <c r="G374" t="str">
        <f>INDEX(TeAllPoints!$D$2:$D$957,MATCH(Filter!B374,TeAllPoints!$B$2:$B$957,0))</f>
        <v>TX</v>
      </c>
      <c r="H374" t="str">
        <f>INDEX(TeAllPoints!$E$2:$E$957,MATCH(Filter!B374,TeAllPoints!$B$2:$B$957,0))</f>
        <v>HARRISON</v>
      </c>
      <c r="I374">
        <f>INDEX('TE_OA_20200805_INTRDY_2020-08-0'!$Q$2:$Q$870,MATCH(Filter!B374,'TE_OA_20200805_INTRDY_2020-08-0'!$G$2:$G$870))</f>
        <v>4589</v>
      </c>
      <c r="J374">
        <f>INDEX('TE_OA_20200805_INTRDY_2020-08-0'!$R$2:$R$870,MATCH(Filter!B374,'TE_OA_20200805_INTRDY_2020-08-0'!$G$2:$G$870))</f>
        <v>0</v>
      </c>
    </row>
    <row r="375" spans="1:10" x14ac:dyDescent="0.25">
      <c r="A375" t="str">
        <f>INDEX('Pipe Table'!$E$2:$E$10,MATCH(INDEX('TE_OA_20200805_INTRDY_2020-08-0'!$T$2:$T$870,MATCH(Filter!B375,'TE_OA_20200805_INTRDY_2020-08-0'!$G$2:$G$870,0)),'Pipe Table'!$D$2:$D$10,0))</f>
        <v>TETCO</v>
      </c>
      <c r="B375">
        <v>73070</v>
      </c>
      <c r="C375" t="str">
        <f>INDEX('TE_OA_20200805_INTRDY_2020-08-0'!$J$2:$J$870,MATCH(Filter!B375,'TE_OA_20200805_INTRDY_2020-08-0'!$G$2:$G$870))</f>
        <v>Receipt</v>
      </c>
      <c r="D375" t="str">
        <f>INDEX('Pipe Table'!$B$2:$B$14,MATCH(INDEX(TeAllPoints!$I$2:$I$957,MATCH(Filter!B375,TeAllPoints!$B$2:$B$957,0)),'Pipe Table'!$A$2:$A$14,0))</f>
        <v>Wellhead</v>
      </c>
      <c r="E375" t="str">
        <f>INDEX('TE_OA_20200805_INTRDY_2020-08-0'!$H$2:$H$870,MATCH(Filter!B375,'TE_OA_20200805_INTRDY_2020-08-0'!$G$2:$G$870))</f>
        <v>Centana Gathering Co. MP 225,LA</v>
      </c>
      <c r="F375" t="str">
        <f>INDEX('Pipe Table'!$H$2:$H$8,MATCH('TE_OA_20200805_INTRDY_2020-08-0'!I356,'Pipe Table'!$G$2:$G$8,0))</f>
        <v>TETCO-ELA</v>
      </c>
      <c r="G375" t="str">
        <f>INDEX(TeAllPoints!$D$2:$D$957,MATCH(Filter!B375,TeAllPoints!$B$2:$B$957,0))</f>
        <v>LA</v>
      </c>
      <c r="H375" t="str">
        <f>INDEX(TeAllPoints!$E$2:$E$957,MATCH(Filter!B375,TeAllPoints!$B$2:$B$957,0))</f>
        <v>MAIN PASS</v>
      </c>
      <c r="I375">
        <f>INDEX('TE_OA_20200805_INTRDY_2020-08-0'!$Q$2:$Q$870,MATCH(Filter!B375,'TE_OA_20200805_INTRDY_2020-08-0'!$G$2:$G$870))</f>
        <v>208589</v>
      </c>
      <c r="J375">
        <f>INDEX('TE_OA_20200805_INTRDY_2020-08-0'!$R$2:$R$870,MATCH(Filter!B375,'TE_OA_20200805_INTRDY_2020-08-0'!$G$2:$G$870))</f>
        <v>0</v>
      </c>
    </row>
    <row r="376" spans="1:10" x14ac:dyDescent="0.25">
      <c r="A376" t="str">
        <f>INDEX('Pipe Table'!$E$2:$E$10,MATCH(INDEX('TE_OA_20200805_INTRDY_2020-08-0'!$T$2:$T$870,MATCH(Filter!B376,'TE_OA_20200805_INTRDY_2020-08-0'!$G$2:$G$870,0)),'Pipe Table'!$D$2:$D$10,0))</f>
        <v>TETCO</v>
      </c>
      <c r="B376">
        <v>73071</v>
      </c>
      <c r="C376" t="str">
        <f>INDEX('TE_OA_20200805_INTRDY_2020-08-0'!$J$2:$J$870,MATCH(Filter!B376,'TE_OA_20200805_INTRDY_2020-08-0'!$G$2:$G$870))</f>
        <v>Receipt</v>
      </c>
      <c r="D376" t="str">
        <f>INDEX('Pipe Table'!$B$2:$B$14,MATCH(INDEX(TeAllPoints!$I$2:$I$957,MATCH(Filter!B376,TeAllPoints!$B$2:$B$957,0)),'Pipe Table'!$A$2:$A$14,0))</f>
        <v>Wellhead</v>
      </c>
      <c r="E376" t="str">
        <f>INDEX('TE_OA_20200805_INTRDY_2020-08-0'!$H$2:$H$870,MATCH(Filter!B376,'TE_OA_20200805_INTRDY_2020-08-0'!$G$2:$G$870))</f>
        <v>Noble - VK 826</v>
      </c>
      <c r="F376" t="str">
        <f>INDEX('Pipe Table'!$H$2:$H$8,MATCH('TE_OA_20200805_INTRDY_2020-08-0'!I357,'Pipe Table'!$G$2:$G$8,0))</f>
        <v>TETCO-ELA</v>
      </c>
      <c r="G376" t="str">
        <f>INDEX(TeAllPoints!$D$2:$D$957,MATCH(Filter!B376,TeAllPoints!$B$2:$B$957,0))</f>
        <v>OF</v>
      </c>
      <c r="H376" t="str">
        <f>INDEX(TeAllPoints!$E$2:$E$957,MATCH(Filter!B376,TeAllPoints!$B$2:$B$957,0))</f>
        <v>VIOSCA KNOLL</v>
      </c>
      <c r="I376">
        <f>INDEX('TE_OA_20200805_INTRDY_2020-08-0'!$Q$2:$Q$870,MATCH(Filter!B376,'TE_OA_20200805_INTRDY_2020-08-0'!$G$2:$G$870))</f>
        <v>102489</v>
      </c>
      <c r="J376">
        <f>INDEX('TE_OA_20200805_INTRDY_2020-08-0'!$R$2:$R$870,MATCH(Filter!B376,'TE_OA_20200805_INTRDY_2020-08-0'!$G$2:$G$870))</f>
        <v>0</v>
      </c>
    </row>
    <row r="377" spans="1:10" x14ac:dyDescent="0.25">
      <c r="A377" t="str">
        <f>INDEX('Pipe Table'!$E$2:$E$10,MATCH(INDEX('TE_OA_20200805_INTRDY_2020-08-0'!$T$2:$T$870,MATCH(Filter!B377,'TE_OA_20200805_INTRDY_2020-08-0'!$G$2:$G$870,0)),'Pipe Table'!$D$2:$D$10,0))</f>
        <v>TETCO</v>
      </c>
      <c r="B377">
        <v>73072</v>
      </c>
      <c r="C377" t="str">
        <f>INDEX('TE_OA_20200805_INTRDY_2020-08-0'!$J$2:$J$870,MATCH(Filter!B377,'TE_OA_20200805_INTRDY_2020-08-0'!$G$2:$G$870))</f>
        <v>Receipt</v>
      </c>
      <c r="D377" t="str">
        <f>INDEX('Pipe Table'!$B$2:$B$14,MATCH(INDEX(TeAllPoints!$I$2:$I$957,MATCH(Filter!B377,TeAllPoints!$B$2:$B$957,0)),'Pipe Table'!$A$2:$A$14,0))</f>
        <v>Wellhead</v>
      </c>
      <c r="E377" t="str">
        <f>INDEX('TE_OA_20200805_INTRDY_2020-08-0'!$H$2:$H$870,MATCH(Filter!B377,'TE_OA_20200805_INTRDY_2020-08-0'!$G$2:$G$870))</f>
        <v>W &amp; T Offshore,Inc. Blk 279 Verm. LAO</v>
      </c>
      <c r="F377" t="str">
        <f>INDEX('Pipe Table'!$H$2:$H$8,MATCH('TE_OA_20200805_INTRDY_2020-08-0'!I358,'Pipe Table'!$G$2:$G$8,0))</f>
        <v>TETCO-WLA</v>
      </c>
      <c r="G377" t="str">
        <f>INDEX(TeAllPoints!$D$2:$D$957,MATCH(Filter!B377,TeAllPoints!$B$2:$B$957,0))</f>
        <v>OF</v>
      </c>
      <c r="H377" t="str">
        <f>INDEX(TeAllPoints!$E$2:$E$957,MATCH(Filter!B377,TeAllPoints!$B$2:$B$957,0))</f>
        <v>VERMILLION</v>
      </c>
      <c r="I377">
        <f>INDEX('TE_OA_20200805_INTRDY_2020-08-0'!$Q$2:$Q$870,MATCH(Filter!B377,'TE_OA_20200805_INTRDY_2020-08-0'!$G$2:$G$870))</f>
        <v>73008</v>
      </c>
      <c r="J377">
        <f>INDEX('TE_OA_20200805_INTRDY_2020-08-0'!$R$2:$R$870,MATCH(Filter!B377,'TE_OA_20200805_INTRDY_2020-08-0'!$G$2:$G$870))</f>
        <v>0</v>
      </c>
    </row>
    <row r="378" spans="1:10" x14ac:dyDescent="0.25">
      <c r="A378" t="str">
        <f>INDEX('Pipe Table'!$E$2:$E$10,MATCH(INDEX('TE_OA_20200805_INTRDY_2020-08-0'!$T$2:$T$870,MATCH(Filter!B378,'TE_OA_20200805_INTRDY_2020-08-0'!$G$2:$G$870,0)),'Pipe Table'!$D$2:$D$10,0))</f>
        <v>TETCO</v>
      </c>
      <c r="B378">
        <v>73073</v>
      </c>
      <c r="C378" t="str">
        <f>INDEX('TE_OA_20200805_INTRDY_2020-08-0'!$J$2:$J$870,MATCH(Filter!B378,'TE_OA_20200805_INTRDY_2020-08-0'!$G$2:$G$870))</f>
        <v>Receipt</v>
      </c>
      <c r="D378" t="str">
        <f>INDEX('Pipe Table'!$B$2:$B$14,MATCH(INDEX(TeAllPoints!$I$2:$I$957,MATCH(Filter!B378,TeAllPoints!$B$2:$B$957,0)),'Pipe Table'!$A$2:$A$14,0))</f>
        <v>Wellhead</v>
      </c>
      <c r="E378" t="str">
        <f>INDEX('TE_OA_20200805_INTRDY_2020-08-0'!$H$2:$H$870,MATCH(Filter!B378,'TE_OA_20200805_INTRDY_2020-08-0'!$G$2:$G$870))</f>
        <v>Shell Offshore , WD 143, - LAO</v>
      </c>
      <c r="F378" t="str">
        <f>INDEX('Pipe Table'!$H$2:$H$8,MATCH('TE_OA_20200805_INTRDY_2020-08-0'!I359,'Pipe Table'!$G$2:$G$8,0))</f>
        <v>TETCO-ELA</v>
      </c>
      <c r="G378" t="str">
        <f>INDEX(TeAllPoints!$D$2:$D$957,MATCH(Filter!B378,TeAllPoints!$B$2:$B$957,0))</f>
        <v>OF</v>
      </c>
      <c r="H378" t="str">
        <f>INDEX(TeAllPoints!$E$2:$E$957,MATCH(Filter!B378,TeAllPoints!$B$2:$B$957,0))</f>
        <v>WEST DELTA</v>
      </c>
      <c r="I378">
        <f>INDEX('TE_OA_20200805_INTRDY_2020-08-0'!$Q$2:$Q$870,MATCH(Filter!B378,'TE_OA_20200805_INTRDY_2020-08-0'!$G$2:$G$870))</f>
        <v>133751</v>
      </c>
      <c r="J378">
        <f>INDEX('TE_OA_20200805_INTRDY_2020-08-0'!$R$2:$R$870,MATCH(Filter!B378,'TE_OA_20200805_INTRDY_2020-08-0'!$G$2:$G$870))</f>
        <v>0</v>
      </c>
    </row>
    <row r="379" spans="1:10" x14ac:dyDescent="0.25">
      <c r="A379" t="str">
        <f>INDEX('Pipe Table'!$E$2:$E$10,MATCH(INDEX('TE_OA_20200805_INTRDY_2020-08-0'!$T$2:$T$870,MATCH(Filter!B379,'TE_OA_20200805_INTRDY_2020-08-0'!$G$2:$G$870,0)),'Pipe Table'!$D$2:$D$10,0))</f>
        <v>TETCO</v>
      </c>
      <c r="B379">
        <v>73076</v>
      </c>
      <c r="C379" t="str">
        <f>INDEX('TE_OA_20200805_INTRDY_2020-08-0'!$J$2:$J$870,MATCH(Filter!B379,'TE_OA_20200805_INTRDY_2020-08-0'!$G$2:$G$870))</f>
        <v>Delivery</v>
      </c>
      <c r="D379" t="str">
        <f>INDEX('Pipe Table'!$B$2:$B$14,MATCH(INDEX(TeAllPoints!$I$2:$I$957,MATCH(Filter!B379,TeAllPoints!$B$2:$B$957,0)),'Pipe Table'!$A$2:$A$14,0))</f>
        <v>LDC</v>
      </c>
      <c r="E379" t="str">
        <f>INDEX('TE_OA_20200805_INTRDY_2020-08-0'!$H$2:$H$870,MATCH(Filter!B379,'TE_OA_20200805_INTRDY_2020-08-0'!$G$2:$G$870))</f>
        <v>Atmos Energy - Columbia, TN</v>
      </c>
      <c r="F379" t="str">
        <f>INDEX('Pipe Table'!$H$2:$H$8,MATCH('TE_OA_20200805_INTRDY_2020-08-0'!I360,'Pipe Table'!$G$2:$G$8,0))</f>
        <v>TETCO-M1</v>
      </c>
      <c r="G379" t="str">
        <f>INDEX(TeAllPoints!$D$2:$D$957,MATCH(Filter!B379,TeAllPoints!$B$2:$B$957,0))</f>
        <v>TN</v>
      </c>
      <c r="H379" t="str">
        <f>INDEX(TeAllPoints!$E$2:$E$957,MATCH(Filter!B379,TeAllPoints!$B$2:$B$957,0))</f>
        <v>MAURY</v>
      </c>
      <c r="I379">
        <f>INDEX('TE_OA_20200805_INTRDY_2020-08-0'!$Q$2:$Q$870,MATCH(Filter!B379,'TE_OA_20200805_INTRDY_2020-08-0'!$G$2:$G$870))</f>
        <v>185344</v>
      </c>
      <c r="J379">
        <f>INDEX('TE_OA_20200805_INTRDY_2020-08-0'!$R$2:$R$870,MATCH(Filter!B379,'TE_OA_20200805_INTRDY_2020-08-0'!$G$2:$G$870))</f>
        <v>3000</v>
      </c>
    </row>
    <row r="380" spans="1:10" x14ac:dyDescent="0.25">
      <c r="A380" t="str">
        <f>INDEX('Pipe Table'!$E$2:$E$10,MATCH(INDEX('TE_OA_20200805_INTRDY_2020-08-0'!$T$2:$T$870,MATCH(Filter!B380,'TE_OA_20200805_INTRDY_2020-08-0'!$G$2:$G$870,0)),'Pipe Table'!$D$2:$D$10,0))</f>
        <v>TETCO</v>
      </c>
      <c r="B380">
        <v>73078</v>
      </c>
      <c r="C380" t="str">
        <f>INDEX('TE_OA_20200805_INTRDY_2020-08-0'!$J$2:$J$870,MATCH(Filter!B380,'TE_OA_20200805_INTRDY_2020-08-0'!$G$2:$G$870))</f>
        <v>Receipt</v>
      </c>
      <c r="D380" t="str">
        <f>INDEX('Pipe Table'!$B$2:$B$14,MATCH(INDEX(TeAllPoints!$I$2:$I$957,MATCH(Filter!B380,TeAllPoints!$B$2:$B$957,0)),'Pipe Table'!$A$2:$A$14,0))</f>
        <v>Wellhead</v>
      </c>
      <c r="E380" t="str">
        <f>INDEX('TE_OA_20200805_INTRDY_2020-08-0'!$H$2:$H$870,MATCH(Filter!B380,'TE_OA_20200805_INTRDY_2020-08-0'!$G$2:$G$870))</f>
        <v>Eagle Natural Gas -Lake Boeuf, Lafourche Psh., LA - TEST</v>
      </c>
      <c r="F380" t="str">
        <f>INDEX('Pipe Table'!$H$2:$H$8,MATCH('TE_OA_20200805_INTRDY_2020-08-0'!I361,'Pipe Table'!$G$2:$G$8,0))</f>
        <v>TETCO-ELA</v>
      </c>
      <c r="G380" t="str">
        <f>INDEX(TeAllPoints!$D$2:$D$957,MATCH(Filter!B380,TeAllPoints!$B$2:$B$957,0))</f>
        <v>LA</v>
      </c>
      <c r="H380" t="str">
        <f>INDEX(TeAllPoints!$E$2:$E$957,MATCH(Filter!B380,TeAllPoints!$B$2:$B$957,0))</f>
        <v>LAFOURCHE</v>
      </c>
      <c r="I380">
        <f>INDEX('TE_OA_20200805_INTRDY_2020-08-0'!$Q$2:$Q$870,MATCH(Filter!B380,'TE_OA_20200805_INTRDY_2020-08-0'!$G$2:$G$870))</f>
        <v>16755</v>
      </c>
      <c r="J380">
        <f>INDEX('TE_OA_20200805_INTRDY_2020-08-0'!$R$2:$R$870,MATCH(Filter!B380,'TE_OA_20200805_INTRDY_2020-08-0'!$G$2:$G$870))</f>
        <v>0</v>
      </c>
    </row>
    <row r="381" spans="1:10" x14ac:dyDescent="0.25">
      <c r="A381" t="str">
        <f>INDEX('Pipe Table'!$E$2:$E$10,MATCH(INDEX('TE_OA_20200805_INTRDY_2020-08-0'!$T$2:$T$870,MATCH(Filter!B381,'TE_OA_20200805_INTRDY_2020-08-0'!$G$2:$G$870,0)),'Pipe Table'!$D$2:$D$10,0))</f>
        <v>TETCO</v>
      </c>
      <c r="B381">
        <v>73079</v>
      </c>
      <c r="C381" t="str">
        <f>INDEX('TE_OA_20200805_INTRDY_2020-08-0'!$J$2:$J$870,MATCH(Filter!B381,'TE_OA_20200805_INTRDY_2020-08-0'!$G$2:$G$870))</f>
        <v>Delivery</v>
      </c>
      <c r="D381" t="str">
        <f>INDEX('Pipe Table'!$B$2:$B$14,MATCH(INDEX(TeAllPoints!$I$2:$I$957,MATCH(Filter!B381,TeAllPoints!$B$2:$B$957,0)),'Pipe Table'!$A$2:$A$14,0))</f>
        <v>LDC</v>
      </c>
      <c r="E381" t="str">
        <f>INDEX('TE_OA_20200805_INTRDY_2020-08-0'!$H$2:$H$870,MATCH(Filter!B381,'TE_OA_20200805_INTRDY_2020-08-0'!$G$2:$G$870))</f>
        <v>Smyrna #3 - Rutherford Co., TN</v>
      </c>
      <c r="F381" t="str">
        <f>INDEX('Pipe Table'!$H$2:$H$8,MATCH('TE_OA_20200805_INTRDY_2020-08-0'!I362,'Pipe Table'!$G$2:$G$8,0))</f>
        <v>TETCO-M1</v>
      </c>
      <c r="G381" t="str">
        <f>INDEX(TeAllPoints!$D$2:$D$957,MATCH(Filter!B381,TeAllPoints!$B$2:$B$957,0))</f>
        <v>TN</v>
      </c>
      <c r="H381" t="str">
        <f>INDEX(TeAllPoints!$E$2:$E$957,MATCH(Filter!B381,TeAllPoints!$B$2:$B$957,0))</f>
        <v>RUTHERFORD</v>
      </c>
      <c r="I381">
        <f>INDEX('TE_OA_20200805_INTRDY_2020-08-0'!$Q$2:$Q$870,MATCH(Filter!B381,'TE_OA_20200805_INTRDY_2020-08-0'!$G$2:$G$870))</f>
        <v>9466</v>
      </c>
      <c r="J381">
        <f>INDEX('TE_OA_20200805_INTRDY_2020-08-0'!$R$2:$R$870,MATCH(Filter!B381,'TE_OA_20200805_INTRDY_2020-08-0'!$G$2:$G$870))</f>
        <v>0</v>
      </c>
    </row>
    <row r="382" spans="1:10" x14ac:dyDescent="0.25">
      <c r="A382" t="str">
        <f>INDEX('Pipe Table'!$E$2:$E$10,MATCH(INDEX('TE_OA_20200805_INTRDY_2020-08-0'!$T$2:$T$870,MATCH(Filter!B382,'TE_OA_20200805_INTRDY_2020-08-0'!$G$2:$G$870,0)),'Pipe Table'!$D$2:$D$10,0))</f>
        <v>TETCO</v>
      </c>
      <c r="B382">
        <v>73090</v>
      </c>
      <c r="C382" t="str">
        <f>INDEX('TE_OA_20200805_INTRDY_2020-08-0'!$J$2:$J$870,MATCH(Filter!B382,'TE_OA_20200805_INTRDY_2020-08-0'!$G$2:$G$870))</f>
        <v>Delivery</v>
      </c>
      <c r="D382" t="str">
        <f>INDEX('Pipe Table'!$B$2:$B$14,MATCH(INDEX(TeAllPoints!$I$2:$I$957,MATCH(Filter!B382,TeAllPoints!$B$2:$B$957,0)),'Pipe Table'!$A$2:$A$14,0))</f>
        <v>GsPlnt</v>
      </c>
      <c r="E382" t="str">
        <f>INDEX('TE_OA_20200805_INTRDY_2020-08-0'!$H$2:$H$870,MATCH(Filter!B382,'TE_OA_20200805_INTRDY_2020-08-0'!$G$2:$G$870))</f>
        <v>venice-Delivery into Plant</v>
      </c>
      <c r="F382" t="str">
        <f>INDEX('Pipe Table'!$H$2:$H$8,MATCH('TE_OA_20200805_INTRDY_2020-08-0'!I363,'Pipe Table'!$G$2:$G$8,0))</f>
        <v>TETCO-ELA</v>
      </c>
      <c r="G382" t="str">
        <f>INDEX(TeAllPoints!$D$2:$D$957,MATCH(Filter!B382,TeAllPoints!$B$2:$B$957,0))</f>
        <v>LA</v>
      </c>
      <c r="H382" t="str">
        <f>INDEX(TeAllPoints!$E$2:$E$957,MATCH(Filter!B382,TeAllPoints!$B$2:$B$957,0))</f>
        <v>PLAQUEMINES</v>
      </c>
      <c r="I382">
        <f>INDEX('TE_OA_20200805_INTRDY_2020-08-0'!$Q$2:$Q$870,MATCH(Filter!B382,'TE_OA_20200805_INTRDY_2020-08-0'!$G$2:$G$870))</f>
        <v>492411</v>
      </c>
      <c r="J382">
        <f>INDEX('TE_OA_20200805_INTRDY_2020-08-0'!$R$2:$R$870,MATCH(Filter!B382,'TE_OA_20200805_INTRDY_2020-08-0'!$G$2:$G$870))</f>
        <v>0</v>
      </c>
    </row>
    <row r="383" spans="1:10" x14ac:dyDescent="0.25">
      <c r="A383" t="str">
        <f>INDEX('Pipe Table'!$E$2:$E$10,MATCH(INDEX('TE_OA_20200805_INTRDY_2020-08-0'!$T$2:$T$870,MATCH(Filter!B383,'TE_OA_20200805_INTRDY_2020-08-0'!$G$2:$G$870,0)),'Pipe Table'!$D$2:$D$10,0))</f>
        <v>TETCO</v>
      </c>
      <c r="B383">
        <v>73096</v>
      </c>
      <c r="C383" t="str">
        <f>INDEX('TE_OA_20200805_INTRDY_2020-08-0'!$J$2:$J$870,MATCH(Filter!B383,'TE_OA_20200805_INTRDY_2020-08-0'!$G$2:$G$870))</f>
        <v>Delivery</v>
      </c>
      <c r="D383" t="str">
        <f>INDEX('Pipe Table'!$B$2:$B$14,MATCH(INDEX(TeAllPoints!$I$2:$I$957,MATCH(Filter!B383,TeAllPoints!$B$2:$B$957,0)),'Pipe Table'!$A$2:$A$14,0))</f>
        <v>Intrcnnct</v>
      </c>
      <c r="E383" t="str">
        <f>INDEX('TE_OA_20200805_INTRDY_2020-08-0'!$H$2:$H$870,MATCH(Filter!B383,'TE_OA_20200805_INTRDY_2020-08-0'!$G$2:$G$870))</f>
        <v>Interstate Energy Company (I.E.C.) - Bucks Co., PA</v>
      </c>
      <c r="F383" t="str">
        <f>INDEX('Pipe Table'!$H$2:$H$8,MATCH('TE_OA_20200805_INTRDY_2020-08-0'!I364,'Pipe Table'!$G$2:$G$8,0))</f>
        <v>TETCO-M3</v>
      </c>
      <c r="G383" t="str">
        <f>INDEX(TeAllPoints!$D$2:$D$957,MATCH(Filter!B383,TeAllPoints!$B$2:$B$957,0))</f>
        <v>PA</v>
      </c>
      <c r="H383" t="str">
        <f>INDEX(TeAllPoints!$E$2:$E$957,MATCH(Filter!B383,TeAllPoints!$B$2:$B$957,0))</f>
        <v>BUCKS</v>
      </c>
      <c r="I383">
        <f>INDEX('TE_OA_20200805_INTRDY_2020-08-0'!$Q$2:$Q$870,MATCH(Filter!B383,'TE_OA_20200805_INTRDY_2020-08-0'!$G$2:$G$870))</f>
        <v>311948</v>
      </c>
      <c r="J383">
        <f>INDEX('TE_OA_20200805_INTRDY_2020-08-0'!$R$2:$R$870,MATCH(Filter!B383,'TE_OA_20200805_INTRDY_2020-08-0'!$G$2:$G$870))</f>
        <v>88300</v>
      </c>
    </row>
    <row r="384" spans="1:10" x14ac:dyDescent="0.25">
      <c r="A384" t="str">
        <f>INDEX('Pipe Table'!$E$2:$E$10,MATCH(INDEX('TE_OA_20200805_INTRDY_2020-08-0'!$T$2:$T$870,MATCH(Filter!B384,'TE_OA_20200805_INTRDY_2020-08-0'!$G$2:$G$870,0)),'Pipe Table'!$D$2:$D$10,0))</f>
        <v>TETCO</v>
      </c>
      <c r="B384">
        <v>73104</v>
      </c>
      <c r="C384" t="str">
        <f>INDEX('TE_OA_20200805_INTRDY_2020-08-0'!$J$2:$J$870,MATCH(Filter!B384,'TE_OA_20200805_INTRDY_2020-08-0'!$G$2:$G$870))</f>
        <v>Receipt</v>
      </c>
      <c r="D384" t="str">
        <f>INDEX('Pipe Table'!$B$2:$B$14,MATCH(INDEX(TeAllPoints!$I$2:$I$957,MATCH(Filter!B384,TeAllPoints!$B$2:$B$957,0)),'Pipe Table'!$A$2:$A$14,0))</f>
        <v>Wellhead</v>
      </c>
      <c r="E384" t="str">
        <f>INDEX('TE_OA_20200805_INTRDY_2020-08-0'!$H$2:$H$870,MATCH(Filter!B384,'TE_OA_20200805_INTRDY_2020-08-0'!$G$2:$G$870))</f>
        <v>Verado Energy, Inc. - Young #3 - Rusk County, TX</v>
      </c>
      <c r="F384" t="str">
        <f>INDEX('Pipe Table'!$H$2:$H$8,MATCH('TE_OA_20200805_INTRDY_2020-08-0'!I365,'Pipe Table'!$G$2:$G$8,0))</f>
        <v>TETCO-ETX</v>
      </c>
      <c r="G384" t="str">
        <f>INDEX(TeAllPoints!$D$2:$D$957,MATCH(Filter!B384,TeAllPoints!$B$2:$B$957,0))</f>
        <v>TX</v>
      </c>
      <c r="H384" t="str">
        <f>INDEX(TeAllPoints!$E$2:$E$957,MATCH(Filter!B384,TeAllPoints!$B$2:$B$957,0))</f>
        <v>RUSK</v>
      </c>
      <c r="I384">
        <f>INDEX('TE_OA_20200805_INTRDY_2020-08-0'!$Q$2:$Q$870,MATCH(Filter!B384,'TE_OA_20200805_INTRDY_2020-08-0'!$G$2:$G$870))</f>
        <v>4589</v>
      </c>
      <c r="J384">
        <f>INDEX('TE_OA_20200805_INTRDY_2020-08-0'!$R$2:$R$870,MATCH(Filter!B384,'TE_OA_20200805_INTRDY_2020-08-0'!$G$2:$G$870))</f>
        <v>1</v>
      </c>
    </row>
    <row r="385" spans="1:10" x14ac:dyDescent="0.25">
      <c r="A385" t="str">
        <f>INDEX('Pipe Table'!$E$2:$E$10,MATCH(INDEX('TE_OA_20200805_INTRDY_2020-08-0'!$T$2:$T$870,MATCH(Filter!B385,'TE_OA_20200805_INTRDY_2020-08-0'!$G$2:$G$870,0)),'Pipe Table'!$D$2:$D$10,0))</f>
        <v>TETCO</v>
      </c>
      <c r="B385">
        <v>73105</v>
      </c>
      <c r="C385" t="str">
        <f>INDEX('TE_OA_20200805_INTRDY_2020-08-0'!$J$2:$J$870,MATCH(Filter!B385,'TE_OA_20200805_INTRDY_2020-08-0'!$G$2:$G$870))</f>
        <v>Delivery</v>
      </c>
      <c r="D385" t="str">
        <f>INDEX('Pipe Table'!$B$2:$B$14,MATCH(INDEX(TeAllPoints!$I$2:$I$957,MATCH(Filter!B385,TeAllPoints!$B$2:$B$957,0)),'Pipe Table'!$A$2:$A$14,0))</f>
        <v>LDC</v>
      </c>
      <c r="E385" t="str">
        <f>INDEX('TE_OA_20200805_INTRDY_2020-08-0'!$H$2:$H$870,MATCH(Filter!B385,'TE_OA_20200805_INTRDY_2020-08-0'!$G$2:$G$870))</f>
        <v>Dayton Pwr &amp; Lt - Clinton, OH</v>
      </c>
      <c r="F385" t="str">
        <f>INDEX('Pipe Table'!$H$2:$H$8,MATCH('TE_OA_20200805_INTRDY_2020-08-0'!I366,'Pipe Table'!$G$2:$G$8,0))</f>
        <v>TETCO-M2</v>
      </c>
      <c r="G385" t="str">
        <f>INDEX(TeAllPoints!$D$2:$D$957,MATCH(Filter!B385,TeAllPoints!$B$2:$B$957,0))</f>
        <v>OH</v>
      </c>
      <c r="H385" t="str">
        <f>INDEX(TeAllPoints!$E$2:$E$957,MATCH(Filter!B385,TeAllPoints!$B$2:$B$957,0))</f>
        <v>CLINTON</v>
      </c>
      <c r="I385">
        <f>INDEX('TE_OA_20200805_INTRDY_2020-08-0'!$Q$2:$Q$870,MATCH(Filter!B385,'TE_OA_20200805_INTRDY_2020-08-0'!$G$2:$G$870))</f>
        <v>69927</v>
      </c>
      <c r="J385">
        <f>INDEX('TE_OA_20200805_INTRDY_2020-08-0'!$R$2:$R$870,MATCH(Filter!B385,'TE_OA_20200805_INTRDY_2020-08-0'!$G$2:$G$870))</f>
        <v>1251</v>
      </c>
    </row>
    <row r="386" spans="1:10" x14ac:dyDescent="0.25">
      <c r="A386" t="str">
        <f>INDEX('Pipe Table'!$E$2:$E$10,MATCH(INDEX('TE_OA_20200805_INTRDY_2020-08-0'!$T$2:$T$870,MATCH(Filter!B386,'TE_OA_20200805_INTRDY_2020-08-0'!$G$2:$G$870,0)),'Pipe Table'!$D$2:$D$10,0))</f>
        <v>TETCO</v>
      </c>
      <c r="B386">
        <v>73106</v>
      </c>
      <c r="C386" t="str">
        <f>INDEX('TE_OA_20200805_INTRDY_2020-08-0'!$J$2:$J$870,MATCH(Filter!B386,'TE_OA_20200805_INTRDY_2020-08-0'!$G$2:$G$870))</f>
        <v>Delivery</v>
      </c>
      <c r="D386" t="str">
        <f>INDEX('Pipe Table'!$B$2:$B$14,MATCH(INDEX(TeAllPoints!$I$2:$I$957,MATCH(Filter!B386,TeAllPoints!$B$2:$B$957,0)),'Pipe Table'!$A$2:$A$14,0))</f>
        <v>EndUsr</v>
      </c>
      <c r="E386" t="str">
        <f>INDEX('TE_OA_20200805_INTRDY_2020-08-0'!$H$2:$H$870,MATCH(Filter!B386,'TE_OA_20200805_INTRDY_2020-08-0'!$G$2:$G$870))</f>
        <v>Federal Bureau of Prison - Yazoo Co. MS</v>
      </c>
      <c r="F386" t="str">
        <f>INDEX('Pipe Table'!$H$2:$H$8,MATCH('TE_OA_20200805_INTRDY_2020-08-0'!I367,'Pipe Table'!$G$2:$G$8,0))</f>
        <v>TETCO-ELA</v>
      </c>
      <c r="G386" t="str">
        <f>INDEX(TeAllPoints!$D$2:$D$957,MATCH(Filter!B386,TeAllPoints!$B$2:$B$957,0))</f>
        <v>MS</v>
      </c>
      <c r="H386" t="str">
        <f>INDEX(TeAllPoints!$E$2:$E$957,MATCH(Filter!B386,TeAllPoints!$B$2:$B$957,0))</f>
        <v>YAZOO</v>
      </c>
      <c r="I386">
        <f>INDEX('TE_OA_20200805_INTRDY_2020-08-0'!$Q$2:$Q$870,MATCH(Filter!B386,'TE_OA_20200805_INTRDY_2020-08-0'!$G$2:$G$870))</f>
        <v>1493</v>
      </c>
      <c r="J386">
        <f>INDEX('TE_OA_20200805_INTRDY_2020-08-0'!$R$2:$R$870,MATCH(Filter!B386,'TE_OA_20200805_INTRDY_2020-08-0'!$G$2:$G$870))</f>
        <v>243</v>
      </c>
    </row>
    <row r="387" spans="1:10" x14ac:dyDescent="0.25">
      <c r="A387" t="str">
        <f>INDEX('Pipe Table'!$E$2:$E$10,MATCH(INDEX('TE_OA_20200805_INTRDY_2020-08-0'!$T$2:$T$870,MATCH(Filter!B387,'TE_OA_20200805_INTRDY_2020-08-0'!$G$2:$G$870,0)),'Pipe Table'!$D$2:$D$10,0))</f>
        <v>TETCO</v>
      </c>
      <c r="B387">
        <v>73107</v>
      </c>
      <c r="C387" t="str">
        <f>INDEX('TE_OA_20200805_INTRDY_2020-08-0'!$J$2:$J$870,MATCH(Filter!B387,'TE_OA_20200805_INTRDY_2020-08-0'!$G$2:$G$870))</f>
        <v>Delivery</v>
      </c>
      <c r="D387" t="str">
        <f>INDEX('Pipe Table'!$B$2:$B$14,MATCH(INDEX(TeAllPoints!$I$2:$I$957,MATCH(Filter!B387,TeAllPoints!$B$2:$B$957,0)),'Pipe Table'!$A$2:$A$14,0))</f>
        <v>LDC</v>
      </c>
      <c r="E387" t="str">
        <f>INDEX('TE_OA_20200805_INTRDY_2020-08-0'!$H$2:$H$870,MATCH(Filter!B387,'TE_OA_20200805_INTRDY_2020-08-0'!$G$2:$G$870))</f>
        <v>Horton Hwy Dist #2 - Maury, TN</v>
      </c>
      <c r="F387" t="str">
        <f>INDEX('Pipe Table'!$H$2:$H$8,MATCH('TE_OA_20200805_INTRDY_2020-08-0'!I368,'Pipe Table'!$G$2:$G$8,0))</f>
        <v>TETCO-M1</v>
      </c>
      <c r="G387" t="str">
        <f>INDEX(TeAllPoints!$D$2:$D$957,MATCH(Filter!B387,TeAllPoints!$B$2:$B$957,0))</f>
        <v>TN</v>
      </c>
      <c r="H387" t="str">
        <f>INDEX(TeAllPoints!$E$2:$E$957,MATCH(Filter!B387,TeAllPoints!$B$2:$B$957,0))</f>
        <v>MAURY</v>
      </c>
      <c r="I387">
        <f>INDEX('TE_OA_20200805_INTRDY_2020-08-0'!$Q$2:$Q$870,MATCH(Filter!B387,'TE_OA_20200805_INTRDY_2020-08-0'!$G$2:$G$870))</f>
        <v>5089</v>
      </c>
      <c r="J387">
        <f>INDEX('TE_OA_20200805_INTRDY_2020-08-0'!$R$2:$R$870,MATCH(Filter!B387,'TE_OA_20200805_INTRDY_2020-08-0'!$G$2:$G$870))</f>
        <v>700</v>
      </c>
    </row>
    <row r="388" spans="1:10" x14ac:dyDescent="0.25">
      <c r="A388" t="str">
        <f>INDEX('Pipe Table'!$E$2:$E$10,MATCH(INDEX('TE_OA_20200805_INTRDY_2020-08-0'!$T$2:$T$870,MATCH(Filter!B388,'TE_OA_20200805_INTRDY_2020-08-0'!$G$2:$G$870,0)),'Pipe Table'!$D$2:$D$10,0))</f>
        <v>TETCO</v>
      </c>
      <c r="B388">
        <v>73109</v>
      </c>
      <c r="C388" t="str">
        <f>INDEX('TE_OA_20200805_INTRDY_2020-08-0'!$J$2:$J$870,MATCH(Filter!B388,'TE_OA_20200805_INTRDY_2020-08-0'!$G$2:$G$870))</f>
        <v>Delivery</v>
      </c>
      <c r="D388" t="str">
        <f>INDEX('Pipe Table'!$B$2:$B$14,MATCH(INDEX(TeAllPoints!$I$2:$I$957,MATCH(Filter!B388,TeAllPoints!$B$2:$B$957,0)),'Pipe Table'!$A$2:$A$14,0))</f>
        <v>LDC</v>
      </c>
      <c r="E388" t="str">
        <f>INDEX('TE_OA_20200805_INTRDY_2020-08-0'!$H$2:$H$870,MATCH(Filter!B388,'TE_OA_20200805_INTRDY_2020-08-0'!$G$2:$G$870))</f>
        <v>Red Bay #2, Franklin Co. Al.</v>
      </c>
      <c r="F388" t="str">
        <f>INDEX('Pipe Table'!$H$2:$H$8,MATCH('TE_OA_20200805_INTRDY_2020-08-0'!I369,'Pipe Table'!$G$2:$G$8,0))</f>
        <v>TETCO-M1</v>
      </c>
      <c r="G388" t="str">
        <f>INDEX(TeAllPoints!$D$2:$D$957,MATCH(Filter!B388,TeAllPoints!$B$2:$B$957,0))</f>
        <v>AL</v>
      </c>
      <c r="H388" t="str">
        <f>INDEX(TeAllPoints!$E$2:$E$957,MATCH(Filter!B388,TeAllPoints!$B$2:$B$957,0))</f>
        <v>FRANKLIN</v>
      </c>
      <c r="I388">
        <f>INDEX('TE_OA_20200805_INTRDY_2020-08-0'!$Q$2:$Q$870,MATCH(Filter!B388,'TE_OA_20200805_INTRDY_2020-08-0'!$G$2:$G$870))</f>
        <v>38368</v>
      </c>
      <c r="J388">
        <f>INDEX('TE_OA_20200805_INTRDY_2020-08-0'!$R$2:$R$870,MATCH(Filter!B388,'TE_OA_20200805_INTRDY_2020-08-0'!$G$2:$G$870))</f>
        <v>375</v>
      </c>
    </row>
    <row r="389" spans="1:10" x14ac:dyDescent="0.25">
      <c r="A389" t="str">
        <f>INDEX('Pipe Table'!$E$2:$E$10,MATCH(INDEX('TE_OA_20200805_INTRDY_2020-08-0'!$T$2:$T$870,MATCH(Filter!B389,'TE_OA_20200805_INTRDY_2020-08-0'!$G$2:$G$870,0)),'Pipe Table'!$D$2:$D$10,0))</f>
        <v>TETCO</v>
      </c>
      <c r="B389">
        <v>73110</v>
      </c>
      <c r="C389" t="str">
        <f>INDEX('TE_OA_20200805_INTRDY_2020-08-0'!$J$2:$J$870,MATCH(Filter!B389,'TE_OA_20200805_INTRDY_2020-08-0'!$G$2:$G$870))</f>
        <v>Receipt</v>
      </c>
      <c r="D389" t="str">
        <f>INDEX('Pipe Table'!$B$2:$B$14,MATCH(INDEX(TeAllPoints!$I$2:$I$957,MATCH(Filter!B389,TeAllPoints!$B$2:$B$957,0)),'Pipe Table'!$A$2:$A$14,0))</f>
        <v>Wellhead</v>
      </c>
      <c r="E389" t="str">
        <f>INDEX('TE_OA_20200805_INTRDY_2020-08-0'!$H$2:$H$870,MATCH(Filter!B389,'TE_OA_20200805_INTRDY_2020-08-0'!$G$2:$G$870))</f>
        <v>Great Lake Energy - Fayette Co. ,PA</v>
      </c>
      <c r="F389" t="str">
        <f>INDEX('Pipe Table'!$H$2:$H$8,MATCH('TE_OA_20200805_INTRDY_2020-08-0'!I370,'Pipe Table'!$G$2:$G$8,0))</f>
        <v>TETCO-M2</v>
      </c>
      <c r="G389" t="str">
        <f>INDEX(TeAllPoints!$D$2:$D$957,MATCH(Filter!B389,TeAllPoints!$B$2:$B$957,0))</f>
        <v>PA</v>
      </c>
      <c r="H389" t="str">
        <f>INDEX(TeAllPoints!$E$2:$E$957,MATCH(Filter!B389,TeAllPoints!$B$2:$B$957,0))</f>
        <v>FAYETTE</v>
      </c>
      <c r="I389">
        <f>INDEX('TE_OA_20200805_INTRDY_2020-08-0'!$Q$2:$Q$870,MATCH(Filter!B389,'TE_OA_20200805_INTRDY_2020-08-0'!$G$2:$G$870))</f>
        <v>14543</v>
      </c>
      <c r="J389">
        <f>INDEX('TE_OA_20200805_INTRDY_2020-08-0'!$R$2:$R$870,MATCH(Filter!B389,'TE_OA_20200805_INTRDY_2020-08-0'!$G$2:$G$870))</f>
        <v>0</v>
      </c>
    </row>
    <row r="390" spans="1:10" x14ac:dyDescent="0.25">
      <c r="A390" t="str">
        <f>INDEX('Pipe Table'!$E$2:$E$10,MATCH(INDEX('TE_OA_20200805_INTRDY_2020-08-0'!$T$2:$T$870,MATCH(Filter!B390,'TE_OA_20200805_INTRDY_2020-08-0'!$G$2:$G$870,0)),'Pipe Table'!$D$2:$D$10,0))</f>
        <v>TETCO</v>
      </c>
      <c r="B390">
        <v>73113</v>
      </c>
      <c r="C390" t="str">
        <f>INDEX('TE_OA_20200805_INTRDY_2020-08-0'!$J$2:$J$870,MATCH(Filter!B390,'TE_OA_20200805_INTRDY_2020-08-0'!$G$2:$G$870))</f>
        <v>Receipt</v>
      </c>
      <c r="D390" t="str">
        <f>INDEX('Pipe Table'!$B$2:$B$14,MATCH(INDEX(TeAllPoints!$I$2:$I$957,MATCH(Filter!B390,TeAllPoints!$B$2:$B$957,0)),'Pipe Table'!$A$2:$A$14,0))</f>
        <v>Intrcnnct</v>
      </c>
      <c r="E390" t="str">
        <f>INDEX('TE_OA_20200805_INTRDY_2020-08-0'!$H$2:$H$870,MATCH(Filter!B390,'TE_OA_20200805_INTRDY_2020-08-0'!$G$2:$G$870))</f>
        <v>Enterprise Texas Pipeline LLC - Hidalgo County, TX</v>
      </c>
      <c r="F390" t="str">
        <f>INDEX('Pipe Table'!$H$2:$H$8,MATCH('TE_OA_20200805_INTRDY_2020-08-0'!I371,'Pipe Table'!$G$2:$G$8,0))</f>
        <v>TETCO-STX</v>
      </c>
      <c r="G390" t="str">
        <f>INDEX(TeAllPoints!$D$2:$D$957,MATCH(Filter!B390,TeAllPoints!$B$2:$B$957,0))</f>
        <v>TX</v>
      </c>
      <c r="H390" t="str">
        <f>INDEX(TeAllPoints!$E$2:$E$957,MATCH(Filter!B390,TeAllPoints!$B$2:$B$957,0))</f>
        <v>HIDALGO</v>
      </c>
      <c r="I390">
        <f>INDEX('TE_OA_20200805_INTRDY_2020-08-0'!$Q$2:$Q$870,MATCH(Filter!B390,'TE_OA_20200805_INTRDY_2020-08-0'!$G$2:$G$870))</f>
        <v>144452</v>
      </c>
      <c r="J390">
        <f>INDEX('TE_OA_20200805_INTRDY_2020-08-0'!$R$2:$R$870,MATCH(Filter!B390,'TE_OA_20200805_INTRDY_2020-08-0'!$G$2:$G$870))</f>
        <v>0</v>
      </c>
    </row>
    <row r="391" spans="1:10" x14ac:dyDescent="0.25">
      <c r="A391" t="str">
        <f>INDEX('Pipe Table'!$E$2:$E$10,MATCH(INDEX('TE_OA_20200805_INTRDY_2020-08-0'!$T$2:$T$870,MATCH(Filter!B391,'TE_OA_20200805_INTRDY_2020-08-0'!$G$2:$G$870,0)),'Pipe Table'!$D$2:$D$10,0))</f>
        <v>TETCO</v>
      </c>
      <c r="B391">
        <v>73116</v>
      </c>
      <c r="C391" t="str">
        <f>INDEX('TE_OA_20200805_INTRDY_2020-08-0'!$J$2:$J$870,MATCH(Filter!B391,'TE_OA_20200805_INTRDY_2020-08-0'!$G$2:$G$870))</f>
        <v>Receipt</v>
      </c>
      <c r="D391" t="str">
        <f>INDEX('Pipe Table'!$B$2:$B$14,MATCH(INDEX(TeAllPoints!$I$2:$I$957,MATCH(Filter!B391,TeAllPoints!$B$2:$B$957,0)),'Pipe Table'!$A$2:$A$14,0))</f>
        <v>Wellhead</v>
      </c>
      <c r="E391" t="str">
        <f>INDEX('TE_OA_20200805_INTRDY_2020-08-0'!$H$2:$H$870,MATCH(Filter!B391,'TE_OA_20200805_INTRDY_2020-08-0'!$G$2:$G$870))</f>
        <v>Douglas Oil &amp; Gas - Fayette Co., PA</v>
      </c>
      <c r="F391" t="str">
        <f>INDEX('Pipe Table'!$H$2:$H$8,MATCH('TE_OA_20200805_INTRDY_2020-08-0'!I372,'Pipe Table'!$G$2:$G$8,0))</f>
        <v>TETCO-M2</v>
      </c>
      <c r="G391" t="str">
        <f>INDEX(TeAllPoints!$D$2:$D$957,MATCH(Filter!B391,TeAllPoints!$B$2:$B$957,0))</f>
        <v>PA</v>
      </c>
      <c r="H391" t="str">
        <f>INDEX(TeAllPoints!$E$2:$E$957,MATCH(Filter!B391,TeAllPoints!$B$2:$B$957,0))</f>
        <v>FAYETTE</v>
      </c>
      <c r="I391">
        <f>INDEX('TE_OA_20200805_INTRDY_2020-08-0'!$Q$2:$Q$870,MATCH(Filter!B391,'TE_OA_20200805_INTRDY_2020-08-0'!$G$2:$G$870))</f>
        <v>3757</v>
      </c>
      <c r="J391">
        <f>INDEX('TE_OA_20200805_INTRDY_2020-08-0'!$R$2:$R$870,MATCH(Filter!B391,'TE_OA_20200805_INTRDY_2020-08-0'!$G$2:$G$870))</f>
        <v>0</v>
      </c>
    </row>
    <row r="392" spans="1:10" x14ac:dyDescent="0.25">
      <c r="A392" t="str">
        <f>INDEX('Pipe Table'!$E$2:$E$10,MATCH(INDEX('TE_OA_20200805_INTRDY_2020-08-0'!$T$2:$T$870,MATCH(Filter!B392,'TE_OA_20200805_INTRDY_2020-08-0'!$G$2:$G$870,0)),'Pipe Table'!$D$2:$D$10,0))</f>
        <v>TETCO</v>
      </c>
      <c r="B392">
        <v>73117</v>
      </c>
      <c r="C392" t="str">
        <f>INDEX('TE_OA_20200805_INTRDY_2020-08-0'!$J$2:$J$870,MATCH(Filter!B392,'TE_OA_20200805_INTRDY_2020-08-0'!$G$2:$G$870))</f>
        <v>Receipt</v>
      </c>
      <c r="D392" t="str">
        <f>INDEX('Pipe Table'!$B$2:$B$14,MATCH(INDEX(TeAllPoints!$I$2:$I$957,MATCH(Filter!B392,TeAllPoints!$B$2:$B$957,0)),'Pipe Table'!$A$2:$A$14,0))</f>
        <v>Wellhead</v>
      </c>
      <c r="E392" t="str">
        <f>INDEX('TE_OA_20200805_INTRDY_2020-08-0'!$H$2:$H$870,MATCH(Filter!B392,'TE_OA_20200805_INTRDY_2020-08-0'!$G$2:$G$870))</f>
        <v>Shell Gulf of Mexico- Hidalgo Co., TX</v>
      </c>
      <c r="F392" t="str">
        <f>INDEX('Pipe Table'!$H$2:$H$8,MATCH('TE_OA_20200805_INTRDY_2020-08-0'!I373,'Pipe Table'!$G$2:$G$8,0))</f>
        <v>TETCO-STX</v>
      </c>
      <c r="G392" t="str">
        <f>INDEX(TeAllPoints!$D$2:$D$957,MATCH(Filter!B392,TeAllPoints!$B$2:$B$957,0))</f>
        <v>TX</v>
      </c>
      <c r="H392" t="str">
        <f>INDEX(TeAllPoints!$E$2:$E$957,MATCH(Filter!B392,TeAllPoints!$B$2:$B$957,0))</f>
        <v>HIDALGO</v>
      </c>
      <c r="I392">
        <f>INDEX('TE_OA_20200805_INTRDY_2020-08-0'!$Q$2:$Q$870,MATCH(Filter!B392,'TE_OA_20200805_INTRDY_2020-08-0'!$G$2:$G$870))</f>
        <v>107326</v>
      </c>
      <c r="J392">
        <f>INDEX('TE_OA_20200805_INTRDY_2020-08-0'!$R$2:$R$870,MATCH(Filter!B392,'TE_OA_20200805_INTRDY_2020-08-0'!$G$2:$G$870))</f>
        <v>0</v>
      </c>
    </row>
    <row r="393" spans="1:10" x14ac:dyDescent="0.25">
      <c r="A393" t="str">
        <f>INDEX('Pipe Table'!$E$2:$E$10,MATCH(INDEX('TE_OA_20200805_INTRDY_2020-08-0'!$T$2:$T$870,MATCH(Filter!B393,'TE_OA_20200805_INTRDY_2020-08-0'!$G$2:$G$870,0)),'Pipe Table'!$D$2:$D$10,0))</f>
        <v>TETCO</v>
      </c>
      <c r="B393">
        <v>73127</v>
      </c>
      <c r="C393" t="str">
        <f>INDEX('TE_OA_20200805_INTRDY_2020-08-0'!$J$2:$J$870,MATCH(Filter!B393,'TE_OA_20200805_INTRDY_2020-08-0'!$G$2:$G$870))</f>
        <v>Delivery</v>
      </c>
      <c r="D393" t="str">
        <f>INDEX('Pipe Table'!$B$2:$B$14,MATCH(INDEX(TeAllPoints!$I$2:$I$957,MATCH(Filter!B393,TeAllPoints!$B$2:$B$957,0)),'Pipe Table'!$A$2:$A$14,0))</f>
        <v>EndUsr</v>
      </c>
      <c r="E393" t="str">
        <f>INDEX('TE_OA_20200805_INTRDY_2020-08-0'!$H$2:$H$870,MATCH(Filter!B393,'TE_OA_20200805_INTRDY_2020-08-0'!$G$2:$G$870))</f>
        <v>Paulsboro Refinery</v>
      </c>
      <c r="F393" t="str">
        <f>INDEX('Pipe Table'!$H$2:$H$8,MATCH('TE_OA_20200805_INTRDY_2020-08-0'!I374,'Pipe Table'!$G$2:$G$8,0))</f>
        <v>TETCO-M3</v>
      </c>
      <c r="G393" t="str">
        <f>INDEX(TeAllPoints!$D$2:$D$957,MATCH(Filter!B393,TeAllPoints!$B$2:$B$957,0))</f>
        <v>PA</v>
      </c>
      <c r="H393" t="str">
        <f>INDEX(TeAllPoints!$E$2:$E$957,MATCH(Filter!B393,TeAllPoints!$B$2:$B$957,0))</f>
        <v>PHILADELPHIA</v>
      </c>
      <c r="I393">
        <f>INDEX('TE_OA_20200805_INTRDY_2020-08-0'!$Q$2:$Q$870,MATCH(Filter!B393,'TE_OA_20200805_INTRDY_2020-08-0'!$G$2:$G$870))</f>
        <v>73268</v>
      </c>
      <c r="J393">
        <f>INDEX('TE_OA_20200805_INTRDY_2020-08-0'!$R$2:$R$870,MATCH(Filter!B393,'TE_OA_20200805_INTRDY_2020-08-0'!$G$2:$G$870))</f>
        <v>36000</v>
      </c>
    </row>
    <row r="394" spans="1:10" x14ac:dyDescent="0.25">
      <c r="A394" t="str">
        <f>INDEX('Pipe Table'!$E$2:$E$10,MATCH(INDEX('TE_OA_20200805_INTRDY_2020-08-0'!$T$2:$T$870,MATCH(Filter!B394,'TE_OA_20200805_INTRDY_2020-08-0'!$G$2:$G$870,0)),'Pipe Table'!$D$2:$D$10,0))</f>
        <v>TETCO</v>
      </c>
      <c r="B394">
        <v>73131</v>
      </c>
      <c r="C394" t="str">
        <f>INDEX('TE_OA_20200805_INTRDY_2020-08-0'!$J$2:$J$870,MATCH(Filter!B394,'TE_OA_20200805_INTRDY_2020-08-0'!$G$2:$G$870))</f>
        <v>Delivery</v>
      </c>
      <c r="D394" t="str">
        <f>INDEX('Pipe Table'!$B$2:$B$14,MATCH(INDEX(TeAllPoints!$I$2:$I$957,MATCH(Filter!B394,TeAllPoints!$B$2:$B$957,0)),'Pipe Table'!$A$2:$A$14,0))</f>
        <v>EndUsr</v>
      </c>
      <c r="E394" t="str">
        <f>INDEX('TE_OA_20200805_INTRDY_2020-08-0'!$H$2:$H$870,MATCH(Filter!B394,'TE_OA_20200805_INTRDY_2020-08-0'!$G$2:$G$870))</f>
        <v>Delta Nat Gas - Madison Co, KY</v>
      </c>
      <c r="F394" t="str">
        <f>INDEX('Pipe Table'!$H$2:$H$8,MATCH('TE_OA_20200805_INTRDY_2020-08-0'!I375,'Pipe Table'!$G$2:$G$8,0))</f>
        <v>TETCO-M2</v>
      </c>
      <c r="G394" t="str">
        <f>INDEX(TeAllPoints!$D$2:$D$957,MATCH(Filter!B394,TeAllPoints!$B$2:$B$957,0))</f>
        <v>KY</v>
      </c>
      <c r="H394" t="str">
        <f>INDEX(TeAllPoints!$E$2:$E$957,MATCH(Filter!B394,TeAllPoints!$B$2:$B$957,0))</f>
        <v>MADISON</v>
      </c>
      <c r="I394">
        <f>INDEX('TE_OA_20200805_INTRDY_2020-08-0'!$Q$2:$Q$870,MATCH(Filter!B394,'TE_OA_20200805_INTRDY_2020-08-0'!$G$2:$G$870))</f>
        <v>234854</v>
      </c>
      <c r="J394">
        <f>INDEX('TE_OA_20200805_INTRDY_2020-08-0'!$R$2:$R$870,MATCH(Filter!B394,'TE_OA_20200805_INTRDY_2020-08-0'!$G$2:$G$870))</f>
        <v>102</v>
      </c>
    </row>
    <row r="395" spans="1:10" x14ac:dyDescent="0.25">
      <c r="A395" t="str">
        <f>INDEX('Pipe Table'!$E$2:$E$10,MATCH(INDEX('TE_OA_20200805_INTRDY_2020-08-0'!$T$2:$T$870,MATCH(Filter!B395,'TE_OA_20200805_INTRDY_2020-08-0'!$G$2:$G$870,0)),'Pipe Table'!$D$2:$D$10,0))</f>
        <v>TETCO</v>
      </c>
      <c r="B395">
        <v>73133</v>
      </c>
      <c r="C395" t="str">
        <f>INDEX('TE_OA_20200805_INTRDY_2020-08-0'!$J$2:$J$870,MATCH(Filter!B395,'TE_OA_20200805_INTRDY_2020-08-0'!$G$2:$G$870))</f>
        <v>Receipt</v>
      </c>
      <c r="D395" t="e">
        <f>INDEX('Pipe Table'!$B$2:$B$14,MATCH(INDEX(TeAllPoints!$I$2:$I$957,MATCH(Filter!B395,TeAllPoints!$B$2:$B$957,0)),'Pipe Table'!$A$2:$A$14,0))</f>
        <v>#N/A</v>
      </c>
      <c r="E395" t="str">
        <f>INDEX('TE_OA_20200805_INTRDY_2020-08-0'!$H$2:$H$870,MATCH(Filter!B395,'TE_OA_20200805_INTRDY_2020-08-0'!$G$2:$G$870))</f>
        <v>Atlas Pipeline Pa. LLC - Fayette Co., PA</v>
      </c>
      <c r="F395" t="str">
        <f>INDEX('Pipe Table'!$H$2:$H$8,MATCH('TE_OA_20200805_INTRDY_2020-08-0'!I376,'Pipe Table'!$G$2:$G$8,0))</f>
        <v>TETCO-M2</v>
      </c>
      <c r="G395" t="e">
        <f>INDEX(TeAllPoints!$D$2:$D$957,MATCH(Filter!B395,TeAllPoints!$B$2:$B$957,0))</f>
        <v>#N/A</v>
      </c>
      <c r="H395" t="e">
        <f>INDEX(TeAllPoints!$E$2:$E$957,MATCH(Filter!B395,TeAllPoints!$B$2:$B$957,0))</f>
        <v>#N/A</v>
      </c>
      <c r="I395">
        <f>INDEX('TE_OA_20200805_INTRDY_2020-08-0'!$Q$2:$Q$870,MATCH(Filter!B395,'TE_OA_20200805_INTRDY_2020-08-0'!$G$2:$G$870))</f>
        <v>15677</v>
      </c>
      <c r="J395">
        <f>INDEX('TE_OA_20200805_INTRDY_2020-08-0'!$R$2:$R$870,MATCH(Filter!B395,'TE_OA_20200805_INTRDY_2020-08-0'!$G$2:$G$870))</f>
        <v>0</v>
      </c>
    </row>
    <row r="396" spans="1:10" x14ac:dyDescent="0.25">
      <c r="A396" t="str">
        <f>INDEX('Pipe Table'!$E$2:$E$10,MATCH(INDEX('TE_OA_20200805_INTRDY_2020-08-0'!$T$2:$T$870,MATCH(Filter!B396,'TE_OA_20200805_INTRDY_2020-08-0'!$G$2:$G$870,0)),'Pipe Table'!$D$2:$D$10,0))</f>
        <v>TETCO</v>
      </c>
      <c r="B396">
        <v>73134</v>
      </c>
      <c r="C396" t="str">
        <f>INDEX('TE_OA_20200805_INTRDY_2020-08-0'!$J$2:$J$870,MATCH(Filter!B396,'TE_OA_20200805_INTRDY_2020-08-0'!$G$2:$G$870))</f>
        <v>Delivery</v>
      </c>
      <c r="D396" t="str">
        <f>INDEX('Pipe Table'!$B$2:$B$14,MATCH(INDEX(TeAllPoints!$I$2:$I$957,MATCH(Filter!B396,TeAllPoints!$B$2:$B$957,0)),'Pipe Table'!$A$2:$A$14,0))</f>
        <v>Intrcnnct</v>
      </c>
      <c r="E396" t="str">
        <f>INDEX('TE_OA_20200805_INTRDY_2020-08-0'!$H$2:$H$870,MATCH(Filter!B396,'TE_OA_20200805_INTRDY_2020-08-0'!$G$2:$G$870))</f>
        <v>PanEnergy Field Services - Lincoln Parish, LA</v>
      </c>
      <c r="F396" t="str">
        <f>INDEX('Pipe Table'!$H$2:$H$8,MATCH('TE_OA_20200805_INTRDY_2020-08-0'!I377,'Pipe Table'!$G$2:$G$8,0))</f>
        <v>TETCO-ETX</v>
      </c>
      <c r="G396" t="str">
        <f>INDEX(TeAllPoints!$D$2:$D$957,MATCH(Filter!B396,TeAllPoints!$B$2:$B$957,0))</f>
        <v>LA</v>
      </c>
      <c r="H396" t="str">
        <f>INDEX(TeAllPoints!$E$2:$E$957,MATCH(Filter!B396,TeAllPoints!$B$2:$B$957,0))</f>
        <v>LINCOLN</v>
      </c>
      <c r="I396">
        <f>INDEX('TE_OA_20200805_INTRDY_2020-08-0'!$Q$2:$Q$870,MATCH(Filter!B396,'TE_OA_20200805_INTRDY_2020-08-0'!$G$2:$G$870))</f>
        <v>183023</v>
      </c>
      <c r="J396">
        <f>INDEX('TE_OA_20200805_INTRDY_2020-08-0'!$R$2:$R$870,MATCH(Filter!B396,'TE_OA_20200805_INTRDY_2020-08-0'!$G$2:$G$870))</f>
        <v>0</v>
      </c>
    </row>
    <row r="397" spans="1:10" x14ac:dyDescent="0.25">
      <c r="A397" t="str">
        <f>INDEX('Pipe Table'!$E$2:$E$10,MATCH(INDEX('TE_OA_20200805_INTRDY_2020-08-0'!$T$2:$T$870,MATCH(Filter!B397,'TE_OA_20200805_INTRDY_2020-08-0'!$G$2:$G$870,0)),'Pipe Table'!$D$2:$D$10,0))</f>
        <v>TETCO</v>
      </c>
      <c r="B397">
        <v>73136</v>
      </c>
      <c r="C397" t="str">
        <f>INDEX('TE_OA_20200805_INTRDY_2020-08-0'!$J$2:$J$870,MATCH(Filter!B397,'TE_OA_20200805_INTRDY_2020-08-0'!$G$2:$G$870))</f>
        <v>Delivery</v>
      </c>
      <c r="D397" t="str">
        <f>INDEX('Pipe Table'!$B$2:$B$14,MATCH(INDEX(TeAllPoints!$I$2:$I$957,MATCH(Filter!B397,TeAllPoints!$B$2:$B$957,0)),'Pipe Table'!$A$2:$A$14,0))</f>
        <v>LDC</v>
      </c>
      <c r="E397" t="str">
        <f>INDEX('TE_OA_20200805_INTRDY_2020-08-0'!$H$2:$H$870,MATCH(Filter!B397,'TE_OA_20200805_INTRDY_2020-08-0'!$G$2:$G$870))</f>
        <v>PECO Energy - MONTGOMERY CO., PA (Center Point)</v>
      </c>
      <c r="F397" t="str">
        <f>INDEX('Pipe Table'!$H$2:$H$8,MATCH('TE_OA_20200805_INTRDY_2020-08-0'!I378,'Pipe Table'!$G$2:$G$8,0))</f>
        <v>TETCO-M3</v>
      </c>
      <c r="G397" t="str">
        <f>INDEX(TeAllPoints!$D$2:$D$957,MATCH(Filter!B397,TeAllPoints!$B$2:$B$957,0))</f>
        <v>PA</v>
      </c>
      <c r="H397" t="str">
        <f>INDEX(TeAllPoints!$E$2:$E$957,MATCH(Filter!B397,TeAllPoints!$B$2:$B$957,0))</f>
        <v>MONTGOMERY</v>
      </c>
      <c r="I397">
        <f>INDEX('TE_OA_20200805_INTRDY_2020-08-0'!$Q$2:$Q$870,MATCH(Filter!B397,'TE_OA_20200805_INTRDY_2020-08-0'!$G$2:$G$870))</f>
        <v>28791</v>
      </c>
      <c r="J397">
        <f>INDEX('TE_OA_20200805_INTRDY_2020-08-0'!$R$2:$R$870,MATCH(Filter!B397,'TE_OA_20200805_INTRDY_2020-08-0'!$G$2:$G$870))</f>
        <v>0</v>
      </c>
    </row>
    <row r="398" spans="1:10" x14ac:dyDescent="0.25">
      <c r="A398" t="str">
        <f>INDEX('Pipe Table'!$E$2:$E$10,MATCH(INDEX('TE_OA_20200805_INTRDY_2020-08-0'!$T$2:$T$870,MATCH(Filter!B398,'TE_OA_20200805_INTRDY_2020-08-0'!$G$2:$G$870,0)),'Pipe Table'!$D$2:$D$10,0))</f>
        <v>TETCO</v>
      </c>
      <c r="B398">
        <v>73139</v>
      </c>
      <c r="C398" t="str">
        <f>INDEX('TE_OA_20200805_INTRDY_2020-08-0'!$J$2:$J$870,MATCH(Filter!B398,'TE_OA_20200805_INTRDY_2020-08-0'!$G$2:$G$870))</f>
        <v>Receipt</v>
      </c>
      <c r="D398" t="str">
        <f>INDEX('Pipe Table'!$B$2:$B$14,MATCH(INDEX(TeAllPoints!$I$2:$I$957,MATCH(Filter!B398,TeAllPoints!$B$2:$B$957,0)),'Pipe Table'!$A$2:$A$14,0))</f>
        <v>Wellhead</v>
      </c>
      <c r="E398" t="str">
        <f>INDEX('TE_OA_20200805_INTRDY_2020-08-0'!$H$2:$H$870,MATCH(Filter!B398,'TE_OA_20200805_INTRDY_2020-08-0'!$G$2:$G$870))</f>
        <v>DCP Midstream, LP- #1 Diebel, Goliad CO., TX</v>
      </c>
      <c r="F398" t="str">
        <f>INDEX('Pipe Table'!$H$2:$H$8,MATCH('TE_OA_20200805_INTRDY_2020-08-0'!I379,'Pipe Table'!$G$2:$G$8,0))</f>
        <v>TETCO-STX</v>
      </c>
      <c r="G398" t="str">
        <f>INDEX(TeAllPoints!$D$2:$D$957,MATCH(Filter!B398,TeAllPoints!$B$2:$B$957,0))</f>
        <v>TX</v>
      </c>
      <c r="H398" t="str">
        <f>INDEX(TeAllPoints!$E$2:$E$957,MATCH(Filter!B398,TeAllPoints!$B$2:$B$957,0))</f>
        <v>GOLIAD</v>
      </c>
      <c r="I398">
        <f>INDEX('TE_OA_20200805_INTRDY_2020-08-0'!$Q$2:$Q$870,MATCH(Filter!B398,'TE_OA_20200805_INTRDY_2020-08-0'!$G$2:$G$870))</f>
        <v>8985</v>
      </c>
      <c r="J398">
        <f>INDEX('TE_OA_20200805_INTRDY_2020-08-0'!$R$2:$R$870,MATCH(Filter!B398,'TE_OA_20200805_INTRDY_2020-08-0'!$G$2:$G$870))</f>
        <v>140</v>
      </c>
    </row>
    <row r="399" spans="1:10" x14ac:dyDescent="0.25">
      <c r="A399" t="str">
        <f>INDEX('Pipe Table'!$E$2:$E$10,MATCH(INDEX('TE_OA_20200805_INTRDY_2020-08-0'!$T$2:$T$870,MATCH(Filter!B399,'TE_OA_20200805_INTRDY_2020-08-0'!$G$2:$G$870,0)),'Pipe Table'!$D$2:$D$10,0))</f>
        <v>TETCO</v>
      </c>
      <c r="B399">
        <v>73141</v>
      </c>
      <c r="C399" t="str">
        <f>INDEX('TE_OA_20200805_INTRDY_2020-08-0'!$J$2:$J$870,MATCH(Filter!B399,'TE_OA_20200805_INTRDY_2020-08-0'!$G$2:$G$870))</f>
        <v>Delivery</v>
      </c>
      <c r="D399" t="str">
        <f>INDEX('Pipe Table'!$B$2:$B$14,MATCH(INDEX(TeAllPoints!$I$2:$I$957,MATCH(Filter!B399,TeAllPoints!$B$2:$B$957,0)),'Pipe Table'!$A$2:$A$14,0))</f>
        <v>EndUsr</v>
      </c>
      <c r="E399" t="str">
        <f>INDEX('TE_OA_20200805_INTRDY_2020-08-0'!$H$2:$H$870,MATCH(Filter!B399,'TE_OA_20200805_INTRDY_2020-08-0'!$G$2:$G$870))</f>
        <v>MISSISSIPPI CHEMICAL - Yazoo City, MS</v>
      </c>
      <c r="F399" t="str">
        <f>INDEX('Pipe Table'!$H$2:$H$8,MATCH('TE_OA_20200805_INTRDY_2020-08-0'!I380,'Pipe Table'!$G$2:$G$8,0))</f>
        <v>TETCO-ELA</v>
      </c>
      <c r="G399" t="str">
        <f>INDEX(TeAllPoints!$D$2:$D$957,MATCH(Filter!B399,TeAllPoints!$B$2:$B$957,0))</f>
        <v>MS</v>
      </c>
      <c r="H399" t="str">
        <f>INDEX(TeAllPoints!$E$2:$E$957,MATCH(Filter!B399,TeAllPoints!$B$2:$B$957,0))</f>
        <v>YAZOO</v>
      </c>
      <c r="I399">
        <f>INDEX('TE_OA_20200805_INTRDY_2020-08-0'!$Q$2:$Q$870,MATCH(Filter!B399,'TE_OA_20200805_INTRDY_2020-08-0'!$G$2:$G$870))</f>
        <v>58061</v>
      </c>
      <c r="J399">
        <f>INDEX('TE_OA_20200805_INTRDY_2020-08-0'!$R$2:$R$870,MATCH(Filter!B399,'TE_OA_20200805_INTRDY_2020-08-0'!$G$2:$G$870))</f>
        <v>38000</v>
      </c>
    </row>
    <row r="400" spans="1:10" x14ac:dyDescent="0.25">
      <c r="A400" t="str">
        <f>INDEX('Pipe Table'!$E$2:$E$10,MATCH(INDEX('TE_OA_20200805_INTRDY_2020-08-0'!$T$2:$T$870,MATCH(Filter!B400,'TE_OA_20200805_INTRDY_2020-08-0'!$G$2:$G$870,0)),'Pipe Table'!$D$2:$D$10,0))</f>
        <v>TETCO</v>
      </c>
      <c r="B400">
        <v>73147</v>
      </c>
      <c r="C400" t="str">
        <f>INDEX('TE_OA_20200805_INTRDY_2020-08-0'!$J$2:$J$870,MATCH(Filter!B400,'TE_OA_20200805_INTRDY_2020-08-0'!$G$2:$G$870))</f>
        <v>Receipt</v>
      </c>
      <c r="D400" t="str">
        <f>INDEX('Pipe Table'!$B$2:$B$14,MATCH(INDEX(TeAllPoints!$I$2:$I$957,MATCH(Filter!B400,TeAllPoints!$B$2:$B$957,0)),'Pipe Table'!$A$2:$A$14,0))</f>
        <v>Intrcnnct</v>
      </c>
      <c r="E400" t="str">
        <f>INDEX('TE_OA_20200805_INTRDY_2020-08-0'!$H$2:$H$870,MATCH(Filter!B400,'TE_OA_20200805_INTRDY_2020-08-0'!$G$2:$G$870))</f>
        <v>Centana Intrastate Pipeline Co. - Orange Co., TX</v>
      </c>
      <c r="F400" t="str">
        <f>INDEX('Pipe Table'!$H$2:$H$8,MATCH('TE_OA_20200805_INTRDY_2020-08-0'!I381,'Pipe Table'!$G$2:$G$8,0))</f>
        <v>TETCO-WLA</v>
      </c>
      <c r="G400" t="str">
        <f>INDEX(TeAllPoints!$D$2:$D$957,MATCH(Filter!B400,TeAllPoints!$B$2:$B$957,0))</f>
        <v>TX</v>
      </c>
      <c r="H400" t="str">
        <f>INDEX(TeAllPoints!$E$2:$E$957,MATCH(Filter!B400,TeAllPoints!$B$2:$B$957,0))</f>
        <v>ORANGE</v>
      </c>
      <c r="I400">
        <f>INDEX('TE_OA_20200805_INTRDY_2020-08-0'!$Q$2:$Q$870,MATCH(Filter!B400,'TE_OA_20200805_INTRDY_2020-08-0'!$G$2:$G$870))</f>
        <v>223806</v>
      </c>
      <c r="J400">
        <f>INDEX('TE_OA_20200805_INTRDY_2020-08-0'!$R$2:$R$870,MATCH(Filter!B400,'TE_OA_20200805_INTRDY_2020-08-0'!$G$2:$G$870))</f>
        <v>0</v>
      </c>
    </row>
    <row r="401" spans="1:10" x14ac:dyDescent="0.25">
      <c r="A401" t="str">
        <f>INDEX('Pipe Table'!$E$2:$E$10,MATCH(INDEX('TE_OA_20200805_INTRDY_2020-08-0'!$T$2:$T$870,MATCH(Filter!B401,'TE_OA_20200805_INTRDY_2020-08-0'!$G$2:$G$870,0)),'Pipe Table'!$D$2:$D$10,0))</f>
        <v>TETCO</v>
      </c>
      <c r="B401">
        <v>73148</v>
      </c>
      <c r="C401" t="str">
        <f>INDEX('TE_OA_20200805_INTRDY_2020-08-0'!$J$2:$J$870,MATCH(Filter!B401,'TE_OA_20200805_INTRDY_2020-08-0'!$G$2:$G$870))</f>
        <v>Receipt</v>
      </c>
      <c r="D401" t="str">
        <f>INDEX('Pipe Table'!$B$2:$B$14,MATCH(INDEX(TeAllPoints!$I$2:$I$957,MATCH(Filter!B401,TeAllPoints!$B$2:$B$957,0)),'Pipe Table'!$A$2:$A$14,0))</f>
        <v>Wellhead</v>
      </c>
      <c r="E401" t="str">
        <f>INDEX('TE_OA_20200805_INTRDY_2020-08-0'!$H$2:$H$870,MATCH(Filter!B401,'TE_OA_20200805_INTRDY_2020-08-0'!$G$2:$G$870))</f>
        <v>Deep Rock Resources - Flowers / Matagorda Co., TX - RUN 01</v>
      </c>
      <c r="F401" t="str">
        <f>INDEX('Pipe Table'!$H$2:$H$8,MATCH('TE_OA_20200805_INTRDY_2020-08-0'!I382,'Pipe Table'!$G$2:$G$8,0))</f>
        <v>TETCO-STX</v>
      </c>
      <c r="G401" t="str">
        <f>INDEX(TeAllPoints!$D$2:$D$957,MATCH(Filter!B401,TeAllPoints!$B$2:$B$957,0))</f>
        <v>TX</v>
      </c>
      <c r="H401" t="str">
        <f>INDEX(TeAllPoints!$E$2:$E$957,MATCH(Filter!B401,TeAllPoints!$B$2:$B$957,0))</f>
        <v>MATAGORDA</v>
      </c>
      <c r="I401">
        <f>INDEX('TE_OA_20200805_INTRDY_2020-08-0'!$Q$2:$Q$870,MATCH(Filter!B401,'TE_OA_20200805_INTRDY_2020-08-0'!$G$2:$G$870))</f>
        <v>4589</v>
      </c>
      <c r="J401">
        <f>INDEX('TE_OA_20200805_INTRDY_2020-08-0'!$R$2:$R$870,MATCH(Filter!B401,'TE_OA_20200805_INTRDY_2020-08-0'!$G$2:$G$870))</f>
        <v>0</v>
      </c>
    </row>
    <row r="402" spans="1:10" x14ac:dyDescent="0.25">
      <c r="A402" t="str">
        <f>INDEX('Pipe Table'!$E$2:$E$10,MATCH(INDEX('TE_OA_20200805_INTRDY_2020-08-0'!$T$2:$T$870,MATCH(Filter!B402,'TE_OA_20200805_INTRDY_2020-08-0'!$G$2:$G$870,0)),'Pipe Table'!$D$2:$D$10,0))</f>
        <v>TETCO</v>
      </c>
      <c r="B402">
        <v>73149</v>
      </c>
      <c r="C402" t="str">
        <f>INDEX('TE_OA_20200805_INTRDY_2020-08-0'!$J$2:$J$870,MATCH(Filter!B402,'TE_OA_20200805_INTRDY_2020-08-0'!$G$2:$G$870))</f>
        <v>Receipt</v>
      </c>
      <c r="D402" t="e">
        <f>INDEX('Pipe Table'!$B$2:$B$14,MATCH(INDEX(TeAllPoints!$I$2:$I$957,MATCH(Filter!B402,TeAllPoints!$B$2:$B$957,0)),'Pipe Table'!$A$2:$A$14,0))</f>
        <v>#N/A</v>
      </c>
      <c r="E402" t="str">
        <f>INDEX('TE_OA_20200805_INTRDY_2020-08-0'!$H$2:$H$870,MATCH(Filter!B402,'TE_OA_20200805_INTRDY_2020-08-0'!$G$2:$G$870))</f>
        <v>Wynn-Crosby Energy, Inc. - Willacy Co., TX</v>
      </c>
      <c r="F402" t="str">
        <f>INDEX('Pipe Table'!$H$2:$H$8,MATCH('TE_OA_20200805_INTRDY_2020-08-0'!I383,'Pipe Table'!$G$2:$G$8,0))</f>
        <v>TETCO-STX</v>
      </c>
      <c r="G402" t="e">
        <f>INDEX(TeAllPoints!$D$2:$D$957,MATCH(Filter!B402,TeAllPoints!$B$2:$B$957,0))</f>
        <v>#N/A</v>
      </c>
      <c r="H402" t="e">
        <f>INDEX(TeAllPoints!$E$2:$E$957,MATCH(Filter!B402,TeAllPoints!$B$2:$B$957,0))</f>
        <v>#N/A</v>
      </c>
      <c r="I402">
        <f>INDEX('TE_OA_20200805_INTRDY_2020-08-0'!$Q$2:$Q$870,MATCH(Filter!B402,'TE_OA_20200805_INTRDY_2020-08-0'!$G$2:$G$870))</f>
        <v>4589</v>
      </c>
      <c r="J402">
        <f>INDEX('TE_OA_20200805_INTRDY_2020-08-0'!$R$2:$R$870,MATCH(Filter!B402,'TE_OA_20200805_INTRDY_2020-08-0'!$G$2:$G$870))</f>
        <v>0</v>
      </c>
    </row>
    <row r="403" spans="1:10" x14ac:dyDescent="0.25">
      <c r="A403" t="str">
        <f>INDEX('Pipe Table'!$E$2:$E$10,MATCH(INDEX('TE_OA_20200805_INTRDY_2020-08-0'!$T$2:$T$870,MATCH(Filter!B403,'TE_OA_20200805_INTRDY_2020-08-0'!$G$2:$G$870,0)),'Pipe Table'!$D$2:$D$10,0))</f>
        <v>TETCO</v>
      </c>
      <c r="B403">
        <v>73150</v>
      </c>
      <c r="C403" t="str">
        <f>INDEX('TE_OA_20200805_INTRDY_2020-08-0'!$J$2:$J$870,MATCH(Filter!B403,'TE_OA_20200805_INTRDY_2020-08-0'!$G$2:$G$870))</f>
        <v>Delivery</v>
      </c>
      <c r="D403" t="str">
        <f>INDEX('Pipe Table'!$B$2:$B$14,MATCH(INDEX(TeAllPoints!$I$2:$I$957,MATCH(Filter!B403,TeAllPoints!$B$2:$B$957,0)),'Pipe Table'!$A$2:$A$14,0))</f>
        <v>LDC</v>
      </c>
      <c r="E403" t="str">
        <f>INDEX('TE_OA_20200805_INTRDY_2020-08-0'!$H$2:$H$870,MATCH(Filter!B403,'TE_OA_20200805_INTRDY_2020-08-0'!$G$2:$G$870))</f>
        <v>Arkla - Pulaski Co. AR.</v>
      </c>
      <c r="F403" t="str">
        <f>INDEX('Pipe Table'!$H$2:$H$8,MATCH('TE_OA_20200805_INTRDY_2020-08-0'!I384,'Pipe Table'!$G$2:$G$8,0))</f>
        <v>TETCO-ETX</v>
      </c>
      <c r="G403" t="str">
        <f>INDEX(TeAllPoints!$D$2:$D$957,MATCH(Filter!B403,TeAllPoints!$B$2:$B$957,0))</f>
        <v>AR</v>
      </c>
      <c r="H403" t="str">
        <f>INDEX(TeAllPoints!$E$2:$E$957,MATCH(Filter!B403,TeAllPoints!$B$2:$B$957,0))</f>
        <v>PULASKI</v>
      </c>
      <c r="I403">
        <f>INDEX('TE_OA_20200805_INTRDY_2020-08-0'!$Q$2:$Q$870,MATCH(Filter!B403,'TE_OA_20200805_INTRDY_2020-08-0'!$G$2:$G$870))</f>
        <v>12260</v>
      </c>
      <c r="J403">
        <f>INDEX('TE_OA_20200805_INTRDY_2020-08-0'!$R$2:$R$870,MATCH(Filter!B403,'TE_OA_20200805_INTRDY_2020-08-0'!$G$2:$G$870))</f>
        <v>98</v>
      </c>
    </row>
    <row r="404" spans="1:10" x14ac:dyDescent="0.25">
      <c r="A404" t="str">
        <f>INDEX('Pipe Table'!$E$2:$E$10,MATCH(INDEX('TE_OA_20200805_INTRDY_2020-08-0'!$T$2:$T$870,MATCH(Filter!B404,'TE_OA_20200805_INTRDY_2020-08-0'!$G$2:$G$870,0)),'Pipe Table'!$D$2:$D$10,0))</f>
        <v>TETCO</v>
      </c>
      <c r="B404">
        <v>73152</v>
      </c>
      <c r="C404" t="str">
        <f>INDEX('TE_OA_20200805_INTRDY_2020-08-0'!$J$2:$J$870,MATCH(Filter!B404,'TE_OA_20200805_INTRDY_2020-08-0'!$G$2:$G$870))</f>
        <v>Receipt</v>
      </c>
      <c r="D404" t="str">
        <f>INDEX('Pipe Table'!$B$2:$B$14,MATCH(INDEX(TeAllPoints!$I$2:$I$957,MATCH(Filter!B404,TeAllPoints!$B$2:$B$957,0)),'Pipe Table'!$A$2:$A$14,0))</f>
        <v>Intrcnnct</v>
      </c>
      <c r="E404" t="str">
        <f>INDEX('TE_OA_20200805_INTRDY_2020-08-0'!$H$2:$H$870,MATCH(Filter!B404,'TE_OA_20200805_INTRDY_2020-08-0'!$G$2:$G$870))</f>
        <v>COL GAS-WAYNESBURG - (73152)</v>
      </c>
      <c r="F404" t="str">
        <f>INDEX('Pipe Table'!$H$2:$H$8,MATCH('TE_OA_20200805_INTRDY_2020-08-0'!I385,'Pipe Table'!$G$2:$G$8,0))</f>
        <v>TETCO-M2</v>
      </c>
      <c r="G404" t="str">
        <f>INDEX(TeAllPoints!$D$2:$D$957,MATCH(Filter!B404,TeAllPoints!$B$2:$B$957,0))</f>
        <v>PA</v>
      </c>
      <c r="H404" t="str">
        <f>INDEX(TeAllPoints!$E$2:$E$957,MATCH(Filter!B404,TeAllPoints!$B$2:$B$957,0))</f>
        <v>GREENE</v>
      </c>
      <c r="I404">
        <f>INDEX('TE_OA_20200805_INTRDY_2020-08-0'!$Q$2:$Q$870,MATCH(Filter!B404,'TE_OA_20200805_INTRDY_2020-08-0'!$G$2:$G$870))</f>
        <v>262758</v>
      </c>
      <c r="J404">
        <f>INDEX('TE_OA_20200805_INTRDY_2020-08-0'!$R$2:$R$870,MATCH(Filter!B404,'TE_OA_20200805_INTRDY_2020-08-0'!$G$2:$G$870))</f>
        <v>133454</v>
      </c>
    </row>
    <row r="405" spans="1:10" x14ac:dyDescent="0.25">
      <c r="A405" t="str">
        <f>INDEX('Pipe Table'!$E$2:$E$10,MATCH(INDEX('TE_OA_20200805_INTRDY_2020-08-0'!$T$2:$T$870,MATCH(Filter!B405,'TE_OA_20200805_INTRDY_2020-08-0'!$G$2:$G$870,0)),'Pipe Table'!$D$2:$D$10,0))</f>
        <v>TETCO</v>
      </c>
      <c r="B405">
        <v>73153</v>
      </c>
      <c r="C405" t="str">
        <f>INDEX('TE_OA_20200805_INTRDY_2020-08-0'!$J$2:$J$870,MATCH(Filter!B405,'TE_OA_20200805_INTRDY_2020-08-0'!$G$2:$G$870))</f>
        <v>Delivery</v>
      </c>
      <c r="D405" t="str">
        <f>INDEX('Pipe Table'!$B$2:$B$14,MATCH(INDEX(TeAllPoints!$I$2:$I$957,MATCH(Filter!B405,TeAllPoints!$B$2:$B$957,0)),'Pipe Table'!$A$2:$A$14,0))</f>
        <v>LDC</v>
      </c>
      <c r="E405" t="str">
        <f>INDEX('TE_OA_20200805_INTRDY_2020-08-0'!$H$2:$H$870,MATCH(Filter!B405,'TE_OA_20200805_INTRDY_2020-08-0'!$G$2:$G$870))</f>
        <v>PECO -- Brookhaven, PA</v>
      </c>
      <c r="F405" t="str">
        <f>INDEX('Pipe Table'!$H$2:$H$8,MATCH('TE_OA_20200805_INTRDY_2020-08-0'!I386,'Pipe Table'!$G$2:$G$8,0))</f>
        <v>TETCO-M3</v>
      </c>
      <c r="G405" t="str">
        <f>INDEX(TeAllPoints!$D$2:$D$957,MATCH(Filter!B405,TeAllPoints!$B$2:$B$957,0))</f>
        <v>PA</v>
      </c>
      <c r="H405" t="str">
        <f>INDEX(TeAllPoints!$E$2:$E$957,MATCH(Filter!B405,TeAllPoints!$B$2:$B$957,0))</f>
        <v>DELAWARE</v>
      </c>
      <c r="I405">
        <f>INDEX('TE_OA_20200805_INTRDY_2020-08-0'!$Q$2:$Q$870,MATCH(Filter!B405,'TE_OA_20200805_INTRDY_2020-08-0'!$G$2:$G$870))</f>
        <v>234779</v>
      </c>
      <c r="J405">
        <f>INDEX('TE_OA_20200805_INTRDY_2020-08-0'!$R$2:$R$870,MATCH(Filter!B405,'TE_OA_20200805_INTRDY_2020-08-0'!$G$2:$G$870))</f>
        <v>0</v>
      </c>
    </row>
    <row r="406" spans="1:10" x14ac:dyDescent="0.25">
      <c r="A406" t="str">
        <f>INDEX('Pipe Table'!$E$2:$E$10,MATCH(INDEX('TE_OA_20200805_INTRDY_2020-08-0'!$T$2:$T$870,MATCH(Filter!B406,'TE_OA_20200805_INTRDY_2020-08-0'!$G$2:$G$870,0)),'Pipe Table'!$D$2:$D$10,0))</f>
        <v>TETCO</v>
      </c>
      <c r="B406">
        <v>73154</v>
      </c>
      <c r="C406" t="str">
        <f>INDEX('TE_OA_20200805_INTRDY_2020-08-0'!$J$2:$J$870,MATCH(Filter!B406,'TE_OA_20200805_INTRDY_2020-08-0'!$G$2:$G$870))</f>
        <v>Delivery</v>
      </c>
      <c r="D406" t="str">
        <f>INDEX('Pipe Table'!$B$2:$B$14,MATCH(INDEX(TeAllPoints!$I$2:$I$957,MATCH(Filter!B406,TeAllPoints!$B$2:$B$957,0)),'Pipe Table'!$A$2:$A$14,0))</f>
        <v>LDC</v>
      </c>
      <c r="E406" t="str">
        <f>INDEX('TE_OA_20200805_INTRDY_2020-08-0'!$H$2:$H$870,MATCH(Filter!B406,'TE_OA_20200805_INTRDY_2020-08-0'!$G$2:$G$870))</f>
        <v>Peco Energy Company - Hershey Mills, Chester Co., PA</v>
      </c>
      <c r="F406" t="str">
        <f>INDEX('Pipe Table'!$H$2:$H$8,MATCH('TE_OA_20200805_INTRDY_2020-08-0'!I387,'Pipe Table'!$G$2:$G$8,0))</f>
        <v>TETCO-M3</v>
      </c>
      <c r="G406" t="str">
        <f>INDEX(TeAllPoints!$D$2:$D$957,MATCH(Filter!B406,TeAllPoints!$B$2:$B$957,0))</f>
        <v>PA</v>
      </c>
      <c r="H406" t="str">
        <f>INDEX(TeAllPoints!$E$2:$E$957,MATCH(Filter!B406,TeAllPoints!$B$2:$B$957,0))</f>
        <v>CHESTER</v>
      </c>
      <c r="I406">
        <f>INDEX('TE_OA_20200805_INTRDY_2020-08-0'!$Q$2:$Q$870,MATCH(Filter!B406,'TE_OA_20200805_INTRDY_2020-08-0'!$G$2:$G$870))</f>
        <v>135110</v>
      </c>
      <c r="J406">
        <f>INDEX('TE_OA_20200805_INTRDY_2020-08-0'!$R$2:$R$870,MATCH(Filter!B406,'TE_OA_20200805_INTRDY_2020-08-0'!$G$2:$G$870))</f>
        <v>0</v>
      </c>
    </row>
    <row r="407" spans="1:10" x14ac:dyDescent="0.25">
      <c r="A407" t="str">
        <f>INDEX('Pipe Table'!$E$2:$E$10,MATCH(INDEX('TE_OA_20200805_INTRDY_2020-08-0'!$T$2:$T$870,MATCH(Filter!B407,'TE_OA_20200805_INTRDY_2020-08-0'!$G$2:$G$870,0)),'Pipe Table'!$D$2:$D$10,0))</f>
        <v>TETCO</v>
      </c>
      <c r="B407">
        <v>73157</v>
      </c>
      <c r="C407" t="str">
        <f>INDEX('TE_OA_20200805_INTRDY_2020-08-0'!$J$2:$J$870,MATCH(Filter!B407,'TE_OA_20200805_INTRDY_2020-08-0'!$G$2:$G$870))</f>
        <v>Delivery</v>
      </c>
      <c r="D407" t="str">
        <f>INDEX('Pipe Table'!$B$2:$B$14,MATCH(INDEX(TeAllPoints!$I$2:$I$957,MATCH(Filter!B407,TeAllPoints!$B$2:$B$957,0)),'Pipe Table'!$A$2:$A$14,0))</f>
        <v>LDC</v>
      </c>
      <c r="E407" t="str">
        <f>INDEX('TE_OA_20200805_INTRDY_2020-08-0'!$H$2:$H$870,MATCH(Filter!B407,'TE_OA_20200805_INTRDY_2020-08-0'!$G$2:$G$870))</f>
        <v>UGI CENTRAL - Penn Fuel - McConnellsburg, Fulton Co., PA</v>
      </c>
      <c r="F407" t="str">
        <f>INDEX('Pipe Table'!$H$2:$H$8,MATCH('TE_OA_20200805_INTRDY_2020-08-0'!I388,'Pipe Table'!$G$2:$G$8,0))</f>
        <v>TETCO-M3</v>
      </c>
      <c r="G407" t="str">
        <f>INDEX(TeAllPoints!$D$2:$D$957,MATCH(Filter!B407,TeAllPoints!$B$2:$B$957,0))</f>
        <v>PA</v>
      </c>
      <c r="H407" t="str">
        <f>INDEX(TeAllPoints!$E$2:$E$957,MATCH(Filter!B407,TeAllPoints!$B$2:$B$957,0))</f>
        <v>FULTON</v>
      </c>
      <c r="I407">
        <f>INDEX('TE_OA_20200805_INTRDY_2020-08-0'!$Q$2:$Q$870,MATCH(Filter!B407,'TE_OA_20200805_INTRDY_2020-08-0'!$G$2:$G$870))</f>
        <v>21563</v>
      </c>
      <c r="J407">
        <f>INDEX('TE_OA_20200805_INTRDY_2020-08-0'!$R$2:$R$870,MATCH(Filter!B407,'TE_OA_20200805_INTRDY_2020-08-0'!$G$2:$G$870))</f>
        <v>7436</v>
      </c>
    </row>
    <row r="408" spans="1:10" x14ac:dyDescent="0.25">
      <c r="A408" t="str">
        <f>INDEX('Pipe Table'!$E$2:$E$10,MATCH(INDEX('TE_OA_20200805_INTRDY_2020-08-0'!$T$2:$T$870,MATCH(Filter!B408,'TE_OA_20200805_INTRDY_2020-08-0'!$G$2:$G$870,0)),'Pipe Table'!$D$2:$D$10,0))</f>
        <v>TETCO</v>
      </c>
      <c r="B408">
        <v>73159</v>
      </c>
      <c r="C408" t="str">
        <f>INDEX('TE_OA_20200805_INTRDY_2020-08-0'!$J$2:$J$870,MATCH(Filter!B408,'TE_OA_20200805_INTRDY_2020-08-0'!$G$2:$G$870))</f>
        <v>Delivery</v>
      </c>
      <c r="D408" t="str">
        <f>INDEX('Pipe Table'!$B$2:$B$14,MATCH(INDEX(TeAllPoints!$I$2:$I$957,MATCH(Filter!B408,TeAllPoints!$B$2:$B$957,0)),'Pipe Table'!$A$2:$A$14,0))</f>
        <v>LDC</v>
      </c>
      <c r="E408" t="str">
        <f>INDEX('TE_OA_20200805_INTRDY_2020-08-0'!$H$2:$H$870,MATCH(Filter!B408,'TE_OA_20200805_INTRDY_2020-08-0'!$G$2:$G$870))</f>
        <v>Lafayette #2 - Macon Co., TN</v>
      </c>
      <c r="F408" t="str">
        <f>INDEX('Pipe Table'!$H$2:$H$8,MATCH('TE_OA_20200805_INTRDY_2020-08-0'!I389,'Pipe Table'!$G$2:$G$8,0))</f>
        <v>TETCO-M1</v>
      </c>
      <c r="G408" t="str">
        <f>INDEX(TeAllPoints!$D$2:$D$957,MATCH(Filter!B408,TeAllPoints!$B$2:$B$957,0))</f>
        <v>TN</v>
      </c>
      <c r="H408" t="str">
        <f>INDEX(TeAllPoints!$E$2:$E$957,MATCH(Filter!B408,TeAllPoints!$B$2:$B$957,0))</f>
        <v>MACON</v>
      </c>
      <c r="I408">
        <f>INDEX('TE_OA_20200805_INTRDY_2020-08-0'!$Q$2:$Q$870,MATCH(Filter!B408,'TE_OA_20200805_INTRDY_2020-08-0'!$G$2:$G$870))</f>
        <v>10155</v>
      </c>
      <c r="J408">
        <f>INDEX('TE_OA_20200805_INTRDY_2020-08-0'!$R$2:$R$870,MATCH(Filter!B408,'TE_OA_20200805_INTRDY_2020-08-0'!$G$2:$G$870))</f>
        <v>30</v>
      </c>
    </row>
    <row r="409" spans="1:10" x14ac:dyDescent="0.25">
      <c r="A409" t="str">
        <f>INDEX('Pipe Table'!$E$2:$E$10,MATCH(INDEX('TE_OA_20200805_INTRDY_2020-08-0'!$T$2:$T$870,MATCH(Filter!B409,'TE_OA_20200805_INTRDY_2020-08-0'!$G$2:$G$870,0)),'Pipe Table'!$D$2:$D$10,0))</f>
        <v>TETCO</v>
      </c>
      <c r="B409">
        <v>73161</v>
      </c>
      <c r="C409" t="str">
        <f>INDEX('TE_OA_20200805_INTRDY_2020-08-0'!$J$2:$J$870,MATCH(Filter!B409,'TE_OA_20200805_INTRDY_2020-08-0'!$G$2:$G$870))</f>
        <v>Delivery</v>
      </c>
      <c r="D409" t="str">
        <f>INDEX('Pipe Table'!$B$2:$B$14,MATCH(INDEX(TeAllPoints!$I$2:$I$957,MATCH(Filter!B409,TeAllPoints!$B$2:$B$957,0)),'Pipe Table'!$A$2:$A$14,0))</f>
        <v>LDC</v>
      </c>
      <c r="E409" t="str">
        <f>INDEX('TE_OA_20200805_INTRDY_2020-08-0'!$H$2:$H$870,MATCH(Filter!B409,'TE_OA_20200805_INTRDY_2020-08-0'!$G$2:$G$870))</f>
        <v>Clay Gas Util. - Monroe Co, KY</v>
      </c>
      <c r="F409" t="str">
        <f>INDEX('Pipe Table'!$H$2:$H$8,MATCH('TE_OA_20200805_INTRDY_2020-08-0'!I390,'Pipe Table'!$G$2:$G$8,0))</f>
        <v>TETCO-M2</v>
      </c>
      <c r="G409" t="str">
        <f>INDEX(TeAllPoints!$D$2:$D$957,MATCH(Filter!B409,TeAllPoints!$B$2:$B$957,0))</f>
        <v>KY</v>
      </c>
      <c r="H409" t="str">
        <f>INDEX(TeAllPoints!$E$2:$E$957,MATCH(Filter!B409,TeAllPoints!$B$2:$B$957,0))</f>
        <v>MONROE</v>
      </c>
      <c r="I409">
        <f>INDEX('TE_OA_20200805_INTRDY_2020-08-0'!$Q$2:$Q$870,MATCH(Filter!B409,'TE_OA_20200805_INTRDY_2020-08-0'!$G$2:$G$870))</f>
        <v>33658</v>
      </c>
      <c r="J409">
        <f>INDEX('TE_OA_20200805_INTRDY_2020-08-0'!$R$2:$R$870,MATCH(Filter!B409,'TE_OA_20200805_INTRDY_2020-08-0'!$G$2:$G$870))</f>
        <v>37</v>
      </c>
    </row>
    <row r="410" spans="1:10" x14ac:dyDescent="0.25">
      <c r="A410" t="str">
        <f>INDEX('Pipe Table'!$E$2:$E$10,MATCH(INDEX('TE_OA_20200805_INTRDY_2020-08-0'!$T$2:$T$870,MATCH(Filter!B410,'TE_OA_20200805_INTRDY_2020-08-0'!$G$2:$G$870,0)),'Pipe Table'!$D$2:$D$10,0))</f>
        <v>TETCO</v>
      </c>
      <c r="B410">
        <v>73164</v>
      </c>
      <c r="C410" t="str">
        <f>INDEX('TE_OA_20200805_INTRDY_2020-08-0'!$J$2:$J$870,MATCH(Filter!B410,'TE_OA_20200805_INTRDY_2020-08-0'!$G$2:$G$870))</f>
        <v>Receipt</v>
      </c>
      <c r="D410" t="str">
        <f>INDEX('Pipe Table'!$B$2:$B$14,MATCH(INDEX(TeAllPoints!$I$2:$I$957,MATCH(Filter!B410,TeAllPoints!$B$2:$B$957,0)),'Pipe Table'!$A$2:$A$14,0))</f>
        <v>Wellhead</v>
      </c>
      <c r="E410" t="str">
        <f>INDEX('TE_OA_20200805_INTRDY_2020-08-0'!$H$2:$H$870,MATCH(Filter!B410,'TE_OA_20200805_INTRDY_2020-08-0'!$G$2:$G$870))</f>
        <v>DCP Midstream, LP - Goliad Co., TX</v>
      </c>
      <c r="F410" t="str">
        <f>INDEX('Pipe Table'!$H$2:$H$8,MATCH('TE_OA_20200805_INTRDY_2020-08-0'!I391,'Pipe Table'!$G$2:$G$8,0))</f>
        <v>TETCO-STX</v>
      </c>
      <c r="G410" t="str">
        <f>INDEX(TeAllPoints!$D$2:$D$957,MATCH(Filter!B410,TeAllPoints!$B$2:$B$957,0))</f>
        <v>TX</v>
      </c>
      <c r="H410" t="str">
        <f>INDEX(TeAllPoints!$E$2:$E$957,MATCH(Filter!B410,TeAllPoints!$B$2:$B$957,0))</f>
        <v>GOLIAD</v>
      </c>
      <c r="I410">
        <f>INDEX('TE_OA_20200805_INTRDY_2020-08-0'!$Q$2:$Q$870,MATCH(Filter!B410,'TE_OA_20200805_INTRDY_2020-08-0'!$G$2:$G$870))</f>
        <v>110350</v>
      </c>
      <c r="J410">
        <f>INDEX('TE_OA_20200805_INTRDY_2020-08-0'!$R$2:$R$870,MATCH(Filter!B410,'TE_OA_20200805_INTRDY_2020-08-0'!$G$2:$G$870))</f>
        <v>74318</v>
      </c>
    </row>
    <row r="411" spans="1:10" x14ac:dyDescent="0.25">
      <c r="A411" t="str">
        <f>INDEX('Pipe Table'!$E$2:$E$10,MATCH(INDEX('TE_OA_20200805_INTRDY_2020-08-0'!$T$2:$T$870,MATCH(Filter!B411,'TE_OA_20200805_INTRDY_2020-08-0'!$G$2:$G$870,0)),'Pipe Table'!$D$2:$D$10,0))</f>
        <v>TETCO</v>
      </c>
      <c r="B411">
        <v>73165</v>
      </c>
      <c r="C411" t="str">
        <f>INDEX('TE_OA_20200805_INTRDY_2020-08-0'!$J$2:$J$870,MATCH(Filter!B411,'TE_OA_20200805_INTRDY_2020-08-0'!$G$2:$G$870))</f>
        <v>Receipt</v>
      </c>
      <c r="D411" t="str">
        <f>INDEX('Pipe Table'!$B$2:$B$14,MATCH(INDEX(TeAllPoints!$I$2:$I$957,MATCH(Filter!B411,TeAllPoints!$B$2:$B$957,0)),'Pipe Table'!$A$2:$A$14,0))</f>
        <v>Wellhead</v>
      </c>
      <c r="E411" t="str">
        <f>INDEX('TE_OA_20200805_INTRDY_2020-08-0'!$H$2:$H$870,MATCH(Filter!B411,'TE_OA_20200805_INTRDY_2020-08-0'!$G$2:$G$870))</f>
        <v>SANCHEZ O'BRIEN-BODDEN FROST, LIVE OAK CO., TX</v>
      </c>
      <c r="F411" t="str">
        <f>INDEX('Pipe Table'!$H$2:$H$8,MATCH('TE_OA_20200805_INTRDY_2020-08-0'!I392,'Pipe Table'!$G$2:$G$8,0))</f>
        <v>TETCO-STX</v>
      </c>
      <c r="G411" t="str">
        <f>INDEX(TeAllPoints!$D$2:$D$957,MATCH(Filter!B411,TeAllPoints!$B$2:$B$957,0))</f>
        <v>TX</v>
      </c>
      <c r="H411" t="str">
        <f>INDEX(TeAllPoints!$E$2:$E$957,MATCH(Filter!B411,TeAllPoints!$B$2:$B$957,0))</f>
        <v>LIVE OAK</v>
      </c>
      <c r="I411">
        <f>INDEX('TE_OA_20200805_INTRDY_2020-08-0'!$Q$2:$Q$870,MATCH(Filter!B411,'TE_OA_20200805_INTRDY_2020-08-0'!$G$2:$G$870))</f>
        <v>8985</v>
      </c>
      <c r="J411">
        <f>INDEX('TE_OA_20200805_INTRDY_2020-08-0'!$R$2:$R$870,MATCH(Filter!B411,'TE_OA_20200805_INTRDY_2020-08-0'!$G$2:$G$870))</f>
        <v>565</v>
      </c>
    </row>
    <row r="412" spans="1:10" x14ac:dyDescent="0.25">
      <c r="A412" t="str">
        <f>INDEX('Pipe Table'!$E$2:$E$10,MATCH(INDEX('TE_OA_20200805_INTRDY_2020-08-0'!$T$2:$T$870,MATCH(Filter!B412,'TE_OA_20200805_INTRDY_2020-08-0'!$G$2:$G$870,0)),'Pipe Table'!$D$2:$D$10,0))</f>
        <v>TETCO</v>
      </c>
      <c r="B412">
        <v>73168</v>
      </c>
      <c r="C412" t="str">
        <f>INDEX('TE_OA_20200805_INTRDY_2020-08-0'!$J$2:$J$870,MATCH(Filter!B412,'TE_OA_20200805_INTRDY_2020-08-0'!$G$2:$G$870))</f>
        <v>Delivery</v>
      </c>
      <c r="D412" t="str">
        <f>INDEX('Pipe Table'!$B$2:$B$14,MATCH(INDEX(TeAllPoints!$I$2:$I$957,MATCH(Filter!B412,TeAllPoints!$B$2:$B$957,0)),'Pipe Table'!$A$2:$A$14,0))</f>
        <v>EndUsr</v>
      </c>
      <c r="E412" t="str">
        <f>INDEX('TE_OA_20200805_INTRDY_2020-08-0'!$H$2:$H$870,MATCH(Filter!B412,'TE_OA_20200805_INTRDY_2020-08-0'!$G$2:$G$870))</f>
        <v>Willamette Industries -  Bienville Parish, LA</v>
      </c>
      <c r="F412" t="str">
        <f>INDEX('Pipe Table'!$H$2:$H$8,MATCH('TE_OA_20200805_INTRDY_2020-08-0'!I393,'Pipe Table'!$G$2:$G$8,0))</f>
        <v>TETCO-ETX</v>
      </c>
      <c r="G412" t="str">
        <f>INDEX(TeAllPoints!$D$2:$D$957,MATCH(Filter!B412,TeAllPoints!$B$2:$B$957,0))</f>
        <v>LA</v>
      </c>
      <c r="H412" t="str">
        <f>INDEX(TeAllPoints!$E$2:$E$957,MATCH(Filter!B412,TeAllPoints!$B$2:$B$957,0))</f>
        <v>BIENVILLE</v>
      </c>
      <c r="I412">
        <f>INDEX('TE_OA_20200805_INTRDY_2020-08-0'!$Q$2:$Q$870,MATCH(Filter!B412,'TE_OA_20200805_INTRDY_2020-08-0'!$G$2:$G$870))</f>
        <v>34749</v>
      </c>
      <c r="J412">
        <f>INDEX('TE_OA_20200805_INTRDY_2020-08-0'!$R$2:$R$870,MATCH(Filter!B412,'TE_OA_20200805_INTRDY_2020-08-0'!$G$2:$G$870))</f>
        <v>700</v>
      </c>
    </row>
    <row r="413" spans="1:10" x14ac:dyDescent="0.25">
      <c r="A413" t="str">
        <f>INDEX('Pipe Table'!$E$2:$E$10,MATCH(INDEX('TE_OA_20200805_INTRDY_2020-08-0'!$T$2:$T$870,MATCH(Filter!B413,'TE_OA_20200805_INTRDY_2020-08-0'!$G$2:$G$870,0)),'Pipe Table'!$D$2:$D$10,0))</f>
        <v>TETCO</v>
      </c>
      <c r="B413">
        <v>73170</v>
      </c>
      <c r="C413" t="str">
        <f>INDEX('TE_OA_20200805_INTRDY_2020-08-0'!$J$2:$J$870,MATCH(Filter!B413,'TE_OA_20200805_INTRDY_2020-08-0'!$G$2:$G$870))</f>
        <v>Delivery</v>
      </c>
      <c r="D413" t="str">
        <f>INDEX('Pipe Table'!$B$2:$B$14,MATCH(INDEX(TeAllPoints!$I$2:$I$957,MATCH(Filter!B413,TeAllPoints!$B$2:$B$957,0)),'Pipe Table'!$A$2:$A$14,0))</f>
        <v>EndUsr</v>
      </c>
      <c r="E413" t="str">
        <f>INDEX('TE_OA_20200805_INTRDY_2020-08-0'!$H$2:$H$870,MATCH(Filter!B413,'TE_OA_20200805_INTRDY_2020-08-0'!$G$2:$G$870))</f>
        <v>AK Steel - Warren Co., OH</v>
      </c>
      <c r="F413" t="str">
        <f>INDEX('Pipe Table'!$H$2:$H$8,MATCH('TE_OA_20200805_INTRDY_2020-08-0'!I394,'Pipe Table'!$G$2:$G$8,0))</f>
        <v>TETCO-M2</v>
      </c>
      <c r="G413" t="str">
        <f>INDEX(TeAllPoints!$D$2:$D$957,MATCH(Filter!B413,TeAllPoints!$B$2:$B$957,0))</f>
        <v>OH</v>
      </c>
      <c r="H413" t="str">
        <f>INDEX(TeAllPoints!$E$2:$E$957,MATCH(Filter!B413,TeAllPoints!$B$2:$B$957,0))</f>
        <v>WARREN</v>
      </c>
      <c r="I413">
        <f>INDEX('TE_OA_20200805_INTRDY_2020-08-0'!$Q$2:$Q$870,MATCH(Filter!B413,'TE_OA_20200805_INTRDY_2020-08-0'!$G$2:$G$870))</f>
        <v>173124</v>
      </c>
      <c r="J413">
        <f>INDEX('TE_OA_20200805_INTRDY_2020-08-0'!$R$2:$R$870,MATCH(Filter!B413,'TE_OA_20200805_INTRDY_2020-08-0'!$G$2:$G$870))</f>
        <v>37258</v>
      </c>
    </row>
    <row r="414" spans="1:10" x14ac:dyDescent="0.25">
      <c r="A414" t="str">
        <f>INDEX('Pipe Table'!$E$2:$E$10,MATCH(INDEX('TE_OA_20200805_INTRDY_2020-08-0'!$T$2:$T$870,MATCH(Filter!B414,'TE_OA_20200805_INTRDY_2020-08-0'!$G$2:$G$870,0)),'Pipe Table'!$D$2:$D$10,0))</f>
        <v>TETCO</v>
      </c>
      <c r="B414">
        <v>73171</v>
      </c>
      <c r="C414" t="str">
        <f>INDEX('TE_OA_20200805_INTRDY_2020-08-0'!$J$2:$J$870,MATCH(Filter!B414,'TE_OA_20200805_INTRDY_2020-08-0'!$G$2:$G$870))</f>
        <v>Delivery</v>
      </c>
      <c r="D414" t="str">
        <f>INDEX('Pipe Table'!$B$2:$B$14,MATCH(INDEX(TeAllPoints!$I$2:$I$957,MATCH(Filter!B414,TeAllPoints!$B$2:$B$957,0)),'Pipe Table'!$A$2:$A$14,0))</f>
        <v>LDC</v>
      </c>
      <c r="E414" t="str">
        <f>INDEX('TE_OA_20200805_INTRDY_2020-08-0'!$H$2:$H$870,MATCH(Filter!B414,'TE_OA_20200805_INTRDY_2020-08-0'!$G$2:$G$870))</f>
        <v>East Cape Girardeau, IL</v>
      </c>
      <c r="F414" t="str">
        <f>INDEX('Pipe Table'!$H$2:$H$8,MATCH('TE_OA_20200805_INTRDY_2020-08-0'!I395,'Pipe Table'!$G$2:$G$8,0))</f>
        <v>TETCO-M1</v>
      </c>
      <c r="G414" t="str">
        <f>INDEX(TeAllPoints!$D$2:$D$957,MATCH(Filter!B414,TeAllPoints!$B$2:$B$957,0))</f>
        <v>IL</v>
      </c>
      <c r="H414" t="str">
        <f>INDEX(TeAllPoints!$E$2:$E$957,MATCH(Filter!B414,TeAllPoints!$B$2:$B$957,0))</f>
        <v>ALEXANDER</v>
      </c>
      <c r="I414">
        <f>INDEX('TE_OA_20200805_INTRDY_2020-08-0'!$Q$2:$Q$870,MATCH(Filter!B414,'TE_OA_20200805_INTRDY_2020-08-0'!$G$2:$G$870))</f>
        <v>13403</v>
      </c>
      <c r="J414">
        <f>INDEX('TE_OA_20200805_INTRDY_2020-08-0'!$R$2:$R$870,MATCH(Filter!B414,'TE_OA_20200805_INTRDY_2020-08-0'!$G$2:$G$870))</f>
        <v>3</v>
      </c>
    </row>
    <row r="415" spans="1:10" x14ac:dyDescent="0.25">
      <c r="A415" t="str">
        <f>INDEX('Pipe Table'!$E$2:$E$10,MATCH(INDEX('TE_OA_20200805_INTRDY_2020-08-0'!$T$2:$T$870,MATCH(Filter!B415,'TE_OA_20200805_INTRDY_2020-08-0'!$G$2:$G$870,0)),'Pipe Table'!$D$2:$D$10,0))</f>
        <v>TETCO</v>
      </c>
      <c r="B415">
        <v>73180</v>
      </c>
      <c r="C415" t="str">
        <f>INDEX('TE_OA_20200805_INTRDY_2020-08-0'!$J$2:$J$870,MATCH(Filter!B415,'TE_OA_20200805_INTRDY_2020-08-0'!$G$2:$G$870))</f>
        <v>Receipt</v>
      </c>
      <c r="D415" t="str">
        <f>INDEX('Pipe Table'!$B$2:$B$14,MATCH(INDEX(TeAllPoints!$I$2:$I$957,MATCH(Filter!B415,TeAllPoints!$B$2:$B$957,0)),'Pipe Table'!$A$2:$A$14,0))</f>
        <v>Wellhead</v>
      </c>
      <c r="E415" t="str">
        <f>INDEX('TE_OA_20200805_INTRDY_2020-08-0'!$H$2:$H$870,MATCH(Filter!B415,'TE_OA_20200805_INTRDY_2020-08-0'!$G$2:$G$870))</f>
        <v>Bluestone - Hidalgo Co., TX</v>
      </c>
      <c r="F415" t="str">
        <f>INDEX('Pipe Table'!$H$2:$H$8,MATCH('TE_OA_20200805_INTRDY_2020-08-0'!I396,'Pipe Table'!$G$2:$G$8,0))</f>
        <v>TETCO-STX</v>
      </c>
      <c r="G415" t="str">
        <f>INDEX(TeAllPoints!$D$2:$D$957,MATCH(Filter!B415,TeAllPoints!$B$2:$B$957,0))</f>
        <v>TX</v>
      </c>
      <c r="H415" t="str">
        <f>INDEX(TeAllPoints!$E$2:$E$957,MATCH(Filter!B415,TeAllPoints!$B$2:$B$957,0))</f>
        <v>HIDALGO</v>
      </c>
      <c r="I415">
        <f>INDEX('TE_OA_20200805_INTRDY_2020-08-0'!$Q$2:$Q$870,MATCH(Filter!B415,'TE_OA_20200805_INTRDY_2020-08-0'!$G$2:$G$870))</f>
        <v>10769</v>
      </c>
      <c r="J415">
        <f>INDEX('TE_OA_20200805_INTRDY_2020-08-0'!$R$2:$R$870,MATCH(Filter!B415,'TE_OA_20200805_INTRDY_2020-08-0'!$G$2:$G$870))</f>
        <v>1</v>
      </c>
    </row>
    <row r="416" spans="1:10" x14ac:dyDescent="0.25">
      <c r="A416" t="str">
        <f>INDEX('Pipe Table'!$E$2:$E$10,MATCH(INDEX('TE_OA_20200805_INTRDY_2020-08-0'!$T$2:$T$870,MATCH(Filter!B416,'TE_OA_20200805_INTRDY_2020-08-0'!$G$2:$G$870,0)),'Pipe Table'!$D$2:$D$10,0))</f>
        <v>TETCO</v>
      </c>
      <c r="B416">
        <v>73186</v>
      </c>
      <c r="C416" t="str">
        <f>INDEX('TE_OA_20200805_INTRDY_2020-08-0'!$J$2:$J$870,MATCH(Filter!B416,'TE_OA_20200805_INTRDY_2020-08-0'!$G$2:$G$870))</f>
        <v>Receipt</v>
      </c>
      <c r="D416" t="e">
        <f>INDEX('Pipe Table'!$B$2:$B$14,MATCH(INDEX(TeAllPoints!$I$2:$I$957,MATCH(Filter!B416,TeAllPoints!$B$2:$B$957,0)),'Pipe Table'!$A$2:$A$14,0))</f>
        <v>#N/A</v>
      </c>
      <c r="E416" t="str">
        <f>INDEX('TE_OA_20200805_INTRDY_2020-08-0'!$H$2:$H$870,MATCH(Filter!B416,'TE_OA_20200805_INTRDY_2020-08-0'!$G$2:$G$870))</f>
        <v>DCP Midstream, LP -- Lavaca Co., TX</v>
      </c>
      <c r="F416" t="str">
        <f>INDEX('Pipe Table'!$H$2:$H$8,MATCH('TE_OA_20200805_INTRDY_2020-08-0'!I397,'Pipe Table'!$G$2:$G$8,0))</f>
        <v>TETCO-STX</v>
      </c>
      <c r="G416" t="e">
        <f>INDEX(TeAllPoints!$D$2:$D$957,MATCH(Filter!B416,TeAllPoints!$B$2:$B$957,0))</f>
        <v>#N/A</v>
      </c>
      <c r="H416" t="e">
        <f>INDEX(TeAllPoints!$E$2:$E$957,MATCH(Filter!B416,TeAllPoints!$B$2:$B$957,0))</f>
        <v>#N/A</v>
      </c>
      <c r="I416">
        <f>INDEX('TE_OA_20200805_INTRDY_2020-08-0'!$Q$2:$Q$870,MATCH(Filter!B416,'TE_OA_20200805_INTRDY_2020-08-0'!$G$2:$G$870))</f>
        <v>68021</v>
      </c>
      <c r="J416">
        <f>INDEX('TE_OA_20200805_INTRDY_2020-08-0'!$R$2:$R$870,MATCH(Filter!B416,'TE_OA_20200805_INTRDY_2020-08-0'!$G$2:$G$870))</f>
        <v>0</v>
      </c>
    </row>
    <row r="417" spans="1:10" x14ac:dyDescent="0.25">
      <c r="A417" t="str">
        <f>INDEX('Pipe Table'!$E$2:$E$10,MATCH(INDEX('TE_OA_20200805_INTRDY_2020-08-0'!$T$2:$T$870,MATCH(Filter!B417,'TE_OA_20200805_INTRDY_2020-08-0'!$G$2:$G$870,0)),'Pipe Table'!$D$2:$D$10,0))</f>
        <v>TETCO</v>
      </c>
      <c r="B417">
        <v>73187</v>
      </c>
      <c r="C417" t="str">
        <f>INDEX('TE_OA_20200805_INTRDY_2020-08-0'!$J$2:$J$870,MATCH(Filter!B417,'TE_OA_20200805_INTRDY_2020-08-0'!$G$2:$G$870))</f>
        <v>Delivery</v>
      </c>
      <c r="D417" t="str">
        <f>INDEX('Pipe Table'!$B$2:$B$14,MATCH(INDEX(TeAllPoints!$I$2:$I$957,MATCH(Filter!B417,TeAllPoints!$B$2:$B$957,0)),'Pipe Table'!$A$2:$A$14,0))</f>
        <v>LDC</v>
      </c>
      <c r="E417" t="str">
        <f>INDEX('TE_OA_20200805_INTRDY_2020-08-0'!$H$2:$H$870,MATCH(Filter!B417,'TE_OA_20200805_INTRDY_2020-08-0'!$G$2:$G$870))</f>
        <v>Elizabethtown Gas Company - Linden, NJ</v>
      </c>
      <c r="F417" t="str">
        <f>INDEX('Pipe Table'!$H$2:$H$8,MATCH('TE_OA_20200805_INTRDY_2020-08-0'!I398,'Pipe Table'!$G$2:$G$8,0))</f>
        <v>TETCO-M3</v>
      </c>
      <c r="G417" t="str">
        <f>INDEX(TeAllPoints!$D$2:$D$957,MATCH(Filter!B417,TeAllPoints!$B$2:$B$957,0))</f>
        <v>NJ</v>
      </c>
      <c r="H417" t="str">
        <f>INDEX(TeAllPoints!$E$2:$E$957,MATCH(Filter!B417,TeAllPoints!$B$2:$B$957,0))</f>
        <v>UNION</v>
      </c>
      <c r="I417">
        <f>INDEX('TE_OA_20200805_INTRDY_2020-08-0'!$Q$2:$Q$870,MATCH(Filter!B417,'TE_OA_20200805_INTRDY_2020-08-0'!$G$2:$G$870))</f>
        <v>66922</v>
      </c>
      <c r="J417">
        <f>INDEX('TE_OA_20200805_INTRDY_2020-08-0'!$R$2:$R$870,MATCH(Filter!B417,'TE_OA_20200805_INTRDY_2020-08-0'!$G$2:$G$870))</f>
        <v>0</v>
      </c>
    </row>
    <row r="418" spans="1:10" x14ac:dyDescent="0.25">
      <c r="A418" t="str">
        <f>INDEX('Pipe Table'!$E$2:$E$10,MATCH(INDEX('TE_OA_20200805_INTRDY_2020-08-0'!$T$2:$T$870,MATCH(Filter!B418,'TE_OA_20200805_INTRDY_2020-08-0'!$G$2:$G$870,0)),'Pipe Table'!$D$2:$D$10,0))</f>
        <v>TETCO</v>
      </c>
      <c r="B418">
        <v>73191</v>
      </c>
      <c r="C418" t="str">
        <f>INDEX('TE_OA_20200805_INTRDY_2020-08-0'!$J$2:$J$870,MATCH(Filter!B418,'TE_OA_20200805_INTRDY_2020-08-0'!$G$2:$G$870))</f>
        <v>Delivery</v>
      </c>
      <c r="D418" t="str">
        <f>INDEX('Pipe Table'!$B$2:$B$14,MATCH(INDEX(TeAllPoints!$I$2:$I$957,MATCH(Filter!B418,TeAllPoints!$B$2:$B$957,0)),'Pipe Table'!$A$2:$A$14,0))</f>
        <v>EndUsr</v>
      </c>
      <c r="E418" t="str">
        <f>INDEX('TE_OA_20200805_INTRDY_2020-08-0'!$H$2:$H$870,MATCH(Filter!B418,'TE_OA_20200805_INTRDY_2020-08-0'!$G$2:$G$870))</f>
        <v>St Francis Pwr Plt -Dunkin, MO</v>
      </c>
      <c r="F418" t="str">
        <f>INDEX('Pipe Table'!$H$2:$H$8,MATCH('TE_OA_20200805_INTRDY_2020-08-0'!I399,'Pipe Table'!$G$2:$G$8,0))</f>
        <v>TETCO-M1</v>
      </c>
      <c r="G418" t="str">
        <f>INDEX(TeAllPoints!$D$2:$D$957,MATCH(Filter!B418,TeAllPoints!$B$2:$B$957,0))</f>
        <v>MO</v>
      </c>
      <c r="H418" t="str">
        <f>INDEX(TeAllPoints!$E$2:$E$957,MATCH(Filter!B418,TeAllPoints!$B$2:$B$957,0))</f>
        <v>DUNKLIN</v>
      </c>
      <c r="I418">
        <f>INDEX('TE_OA_20200805_INTRDY_2020-08-0'!$Q$2:$Q$870,MATCH(Filter!B418,'TE_OA_20200805_INTRDY_2020-08-0'!$G$2:$G$870))</f>
        <v>99081</v>
      </c>
      <c r="J418">
        <f>INDEX('TE_OA_20200805_INTRDY_2020-08-0'!$R$2:$R$870,MATCH(Filter!B418,'TE_OA_20200805_INTRDY_2020-08-0'!$G$2:$G$870))</f>
        <v>17300</v>
      </c>
    </row>
    <row r="419" spans="1:10" x14ac:dyDescent="0.25">
      <c r="A419" t="str">
        <f>INDEX('Pipe Table'!$E$2:$E$10,MATCH(INDEX('TE_OA_20200805_INTRDY_2020-08-0'!$T$2:$T$870,MATCH(Filter!B419,'TE_OA_20200805_INTRDY_2020-08-0'!$G$2:$G$870,0)),'Pipe Table'!$D$2:$D$10,0))</f>
        <v>TETCO</v>
      </c>
      <c r="B419">
        <v>73193</v>
      </c>
      <c r="C419" t="str">
        <f>INDEX('TE_OA_20200805_INTRDY_2020-08-0'!$J$2:$J$870,MATCH(Filter!B419,'TE_OA_20200805_INTRDY_2020-08-0'!$G$2:$G$870))</f>
        <v>Delivery</v>
      </c>
      <c r="D419" t="str">
        <f>INDEX('Pipe Table'!$B$2:$B$14,MATCH(INDEX(TeAllPoints!$I$2:$I$957,MATCH(Filter!B419,TeAllPoints!$B$2:$B$957,0)),'Pipe Table'!$A$2:$A$14,0))</f>
        <v>Intrcnnct</v>
      </c>
      <c r="E419" t="str">
        <f>INDEX('TE_OA_20200805_INTRDY_2020-08-0'!$H$2:$H$870,MATCH(Filter!B419,'TE_OA_20200805_INTRDY_2020-08-0'!$G$2:$G$870))</f>
        <v>Miss Riv Trans - Stoddard, MO</v>
      </c>
      <c r="F419" t="str">
        <f>INDEX('Pipe Table'!$H$2:$H$8,MATCH('TE_OA_20200805_INTRDY_2020-08-0'!I400,'Pipe Table'!$G$2:$G$8,0))</f>
        <v>TETCO-M1</v>
      </c>
      <c r="G419" t="str">
        <f>INDEX(TeAllPoints!$D$2:$D$957,MATCH(Filter!B419,TeAllPoints!$B$2:$B$957,0))</f>
        <v>MO</v>
      </c>
      <c r="H419" t="str">
        <f>INDEX(TeAllPoints!$E$2:$E$957,MATCH(Filter!B419,TeAllPoints!$B$2:$B$957,0))</f>
        <v>STODDARD</v>
      </c>
      <c r="I419">
        <f>INDEX('TE_OA_20200805_INTRDY_2020-08-0'!$Q$2:$Q$870,MATCH(Filter!B419,'TE_OA_20200805_INTRDY_2020-08-0'!$G$2:$G$870))</f>
        <v>10705</v>
      </c>
      <c r="J419">
        <f>INDEX('TE_OA_20200805_INTRDY_2020-08-0'!$R$2:$R$870,MATCH(Filter!B419,'TE_OA_20200805_INTRDY_2020-08-0'!$G$2:$G$870))</f>
        <v>3087</v>
      </c>
    </row>
    <row r="420" spans="1:10" x14ac:dyDescent="0.25">
      <c r="A420" t="str">
        <f>INDEX('Pipe Table'!$E$2:$E$10,MATCH(INDEX('TE_OA_20200805_INTRDY_2020-08-0'!$T$2:$T$870,MATCH(Filter!B420,'TE_OA_20200805_INTRDY_2020-08-0'!$G$2:$G$870,0)),'Pipe Table'!$D$2:$D$10,0))</f>
        <v>TETCO</v>
      </c>
      <c r="B420">
        <v>73195</v>
      </c>
      <c r="C420" t="str">
        <f>INDEX('TE_OA_20200805_INTRDY_2020-08-0'!$J$2:$J$870,MATCH(Filter!B420,'TE_OA_20200805_INTRDY_2020-08-0'!$G$2:$G$870))</f>
        <v>Receipt</v>
      </c>
      <c r="D420" t="str">
        <f>INDEX('Pipe Table'!$B$2:$B$14,MATCH(INDEX(TeAllPoints!$I$2:$I$957,MATCH(Filter!B420,TeAllPoints!$B$2:$B$957,0)),'Pipe Table'!$A$2:$A$14,0))</f>
        <v>Intrcnnct</v>
      </c>
      <c r="E420" t="str">
        <f>INDEX('TE_OA_20200805_INTRDY_2020-08-0'!$H$2:$H$870,MATCH(Filter!B420,'TE_OA_20200805_INTRDY_2020-08-0'!$G$2:$G$870))</f>
        <v>Col. Gas - Montgomery Co., KY</v>
      </c>
      <c r="F420" t="str">
        <f>INDEX('Pipe Table'!$H$2:$H$8,MATCH('TE_OA_20200805_INTRDY_2020-08-0'!I401,'Pipe Table'!$G$2:$G$8,0))</f>
        <v>TETCO-M2</v>
      </c>
      <c r="G420" t="str">
        <f>INDEX(TeAllPoints!$D$2:$D$957,MATCH(Filter!B420,TeAllPoints!$B$2:$B$957,0))</f>
        <v>KY</v>
      </c>
      <c r="H420" t="str">
        <f>INDEX(TeAllPoints!$E$2:$E$957,MATCH(Filter!B420,TeAllPoints!$B$2:$B$957,0))</f>
        <v>MONTGOMERY</v>
      </c>
      <c r="I420">
        <f>INDEX('TE_OA_20200805_INTRDY_2020-08-0'!$Q$2:$Q$870,MATCH(Filter!B420,'TE_OA_20200805_INTRDY_2020-08-0'!$G$2:$G$870))</f>
        <v>214278</v>
      </c>
      <c r="J420">
        <f>INDEX('TE_OA_20200805_INTRDY_2020-08-0'!$R$2:$R$870,MATCH(Filter!B420,'TE_OA_20200805_INTRDY_2020-08-0'!$G$2:$G$870))</f>
        <v>16245</v>
      </c>
    </row>
    <row r="421" spans="1:10" x14ac:dyDescent="0.25">
      <c r="A421" t="str">
        <f>INDEX('Pipe Table'!$E$2:$E$10,MATCH(INDEX('TE_OA_20200805_INTRDY_2020-08-0'!$T$2:$T$870,MATCH(Filter!B421,'TE_OA_20200805_INTRDY_2020-08-0'!$G$2:$G$870,0)),'Pipe Table'!$D$2:$D$10,0))</f>
        <v>TETCO</v>
      </c>
      <c r="B421">
        <v>73196</v>
      </c>
      <c r="C421" t="str">
        <f>INDEX('TE_OA_20200805_INTRDY_2020-08-0'!$J$2:$J$870,MATCH(Filter!B421,'TE_OA_20200805_INTRDY_2020-08-0'!$G$2:$G$870))</f>
        <v>Delivery</v>
      </c>
      <c r="D421" t="str">
        <f>INDEX('Pipe Table'!$B$2:$B$14,MATCH(INDEX(TeAllPoints!$I$2:$I$957,MATCH(Filter!B421,TeAllPoints!$B$2:$B$957,0)),'Pipe Table'!$A$2:$A$14,0))</f>
        <v>LDC</v>
      </c>
      <c r="E421" t="str">
        <f>INDEX('TE_OA_20200805_INTRDY_2020-08-0'!$H$2:$H$870,MATCH(Filter!B421,'TE_OA_20200805_INTRDY_2020-08-0'!$G$2:$G$870))</f>
        <v>Delta Nat Gas -Madison Co., KY</v>
      </c>
      <c r="F421" t="str">
        <f>INDEX('Pipe Table'!$H$2:$H$8,MATCH('TE_OA_20200805_INTRDY_2020-08-0'!I402,'Pipe Table'!$G$2:$G$8,0))</f>
        <v>TETCO-M2</v>
      </c>
      <c r="G421" t="str">
        <f>INDEX(TeAllPoints!$D$2:$D$957,MATCH(Filter!B421,TeAllPoints!$B$2:$B$957,0))</f>
        <v>KY</v>
      </c>
      <c r="H421" t="str">
        <f>INDEX(TeAllPoints!$E$2:$E$957,MATCH(Filter!B421,TeAllPoints!$B$2:$B$957,0))</f>
        <v>MADISON</v>
      </c>
      <c r="I421">
        <f>INDEX('TE_OA_20200805_INTRDY_2020-08-0'!$Q$2:$Q$870,MATCH(Filter!B421,'TE_OA_20200805_INTRDY_2020-08-0'!$G$2:$G$870))</f>
        <v>4310</v>
      </c>
      <c r="J421">
        <f>INDEX('TE_OA_20200805_INTRDY_2020-08-0'!$R$2:$R$870,MATCH(Filter!B421,'TE_OA_20200805_INTRDY_2020-08-0'!$G$2:$G$870))</f>
        <v>5</v>
      </c>
    </row>
    <row r="422" spans="1:10" x14ac:dyDescent="0.25">
      <c r="A422" t="str">
        <f>INDEX('Pipe Table'!$E$2:$E$10,MATCH(INDEX('TE_OA_20200805_INTRDY_2020-08-0'!$T$2:$T$870,MATCH(Filter!B422,'TE_OA_20200805_INTRDY_2020-08-0'!$G$2:$G$870,0)),'Pipe Table'!$D$2:$D$10,0))</f>
        <v>TETCO</v>
      </c>
      <c r="B422">
        <v>73198</v>
      </c>
      <c r="C422" t="str">
        <f>INDEX('TE_OA_20200805_INTRDY_2020-08-0'!$J$2:$J$870,MATCH(Filter!B422,'TE_OA_20200805_INTRDY_2020-08-0'!$G$2:$G$870))</f>
        <v>Receipt</v>
      </c>
      <c r="D422" t="str">
        <f>INDEX('Pipe Table'!$B$2:$B$14,MATCH(INDEX(TeAllPoints!$I$2:$I$957,MATCH(Filter!B422,TeAllPoints!$B$2:$B$957,0)),'Pipe Table'!$A$2:$A$14,0))</f>
        <v>Intrcnnct</v>
      </c>
      <c r="E422" t="str">
        <f>INDEX('TE_OA_20200805_INTRDY_2020-08-0'!$H$2:$H$870,MATCH(Filter!B422,'TE_OA_20200805_INTRDY_2020-08-0'!$G$2:$G$870))</f>
        <v>Tenn. Gas P/L - Casey Co., KY</v>
      </c>
      <c r="F422" t="str">
        <f>INDEX('Pipe Table'!$H$2:$H$8,MATCH('TE_OA_20200805_INTRDY_2020-08-0'!I403,'Pipe Table'!$G$2:$G$8,0))</f>
        <v>TETCO-M2</v>
      </c>
      <c r="G422" t="str">
        <f>INDEX(TeAllPoints!$D$2:$D$957,MATCH(Filter!B422,TeAllPoints!$B$2:$B$957,0))</f>
        <v>KY</v>
      </c>
      <c r="H422" t="str">
        <f>INDEX(TeAllPoints!$E$2:$E$957,MATCH(Filter!B422,TeAllPoints!$B$2:$B$957,0))</f>
        <v>CASEY</v>
      </c>
      <c r="I422">
        <f>INDEX('TE_OA_20200805_INTRDY_2020-08-0'!$Q$2:$Q$870,MATCH(Filter!B422,'TE_OA_20200805_INTRDY_2020-08-0'!$G$2:$G$870))</f>
        <v>273666</v>
      </c>
      <c r="J422">
        <f>INDEX('TE_OA_20200805_INTRDY_2020-08-0'!$R$2:$R$870,MATCH(Filter!B422,'TE_OA_20200805_INTRDY_2020-08-0'!$G$2:$G$870))</f>
        <v>50807</v>
      </c>
    </row>
    <row r="423" spans="1:10" x14ac:dyDescent="0.25">
      <c r="A423" t="str">
        <f>INDEX('Pipe Table'!$E$2:$E$10,MATCH(INDEX('TE_OA_20200805_INTRDY_2020-08-0'!$T$2:$T$870,MATCH(Filter!B423,'TE_OA_20200805_INTRDY_2020-08-0'!$G$2:$G$870,0)),'Pipe Table'!$D$2:$D$10,0))</f>
        <v>TETCO</v>
      </c>
      <c r="B423">
        <v>73199</v>
      </c>
      <c r="C423" t="str">
        <f>INDEX('TE_OA_20200805_INTRDY_2020-08-0'!$J$2:$J$870,MATCH(Filter!B423,'TE_OA_20200805_INTRDY_2020-08-0'!$G$2:$G$870))</f>
        <v>Receipt</v>
      </c>
      <c r="D423" t="str">
        <f>INDEX('Pipe Table'!$B$2:$B$14,MATCH(INDEX(TeAllPoints!$I$2:$I$957,MATCH(Filter!B423,TeAllPoints!$B$2:$B$957,0)),'Pipe Table'!$A$2:$A$14,0))</f>
        <v>Wellhead</v>
      </c>
      <c r="E423" t="str">
        <f>INDEX('TE_OA_20200805_INTRDY_2020-08-0'!$H$2:$H$870,MATCH(Filter!B423,'TE_OA_20200805_INTRDY_2020-08-0'!$G$2:$G$870))</f>
        <v>DCP Midstream, LP - Bee Co., TX</v>
      </c>
      <c r="F423" t="str">
        <f>INDEX('Pipe Table'!$H$2:$H$8,MATCH('TE_OA_20200805_INTRDY_2020-08-0'!I404,'Pipe Table'!$G$2:$G$8,0))</f>
        <v>TETCO-STX</v>
      </c>
      <c r="G423" t="str">
        <f>INDEX(TeAllPoints!$D$2:$D$957,MATCH(Filter!B423,TeAllPoints!$B$2:$B$957,0))</f>
        <v>TX</v>
      </c>
      <c r="H423" t="str">
        <f>INDEX(TeAllPoints!$E$2:$E$957,MATCH(Filter!B423,TeAllPoints!$B$2:$B$957,0))</f>
        <v>BEE</v>
      </c>
      <c r="I423">
        <f>INDEX('TE_OA_20200805_INTRDY_2020-08-0'!$Q$2:$Q$870,MATCH(Filter!B423,'TE_OA_20200805_INTRDY_2020-08-0'!$G$2:$G$870))</f>
        <v>3763</v>
      </c>
      <c r="J423">
        <f>INDEX('TE_OA_20200805_INTRDY_2020-08-0'!$R$2:$R$870,MATCH(Filter!B423,'TE_OA_20200805_INTRDY_2020-08-0'!$G$2:$G$870))</f>
        <v>1</v>
      </c>
    </row>
    <row r="424" spans="1:10" x14ac:dyDescent="0.25">
      <c r="A424" t="str">
        <f>INDEX('Pipe Table'!$E$2:$E$10,MATCH(INDEX('TE_OA_20200805_INTRDY_2020-08-0'!$T$2:$T$870,MATCH(Filter!B424,'TE_OA_20200805_INTRDY_2020-08-0'!$G$2:$G$870,0)),'Pipe Table'!$D$2:$D$10,0))</f>
        <v>TETCO</v>
      </c>
      <c r="B424">
        <v>73200</v>
      </c>
      <c r="C424" t="str">
        <f>INDEX('TE_OA_20200805_INTRDY_2020-08-0'!$J$2:$J$870,MATCH(Filter!B424,'TE_OA_20200805_INTRDY_2020-08-0'!$G$2:$G$870))</f>
        <v>Delivery</v>
      </c>
      <c r="D424" t="str">
        <f>INDEX('Pipe Table'!$B$2:$B$14,MATCH(INDEX(TeAllPoints!$I$2:$I$957,MATCH(Filter!B424,TeAllPoints!$B$2:$B$957,0)),'Pipe Table'!$A$2:$A$14,0))</f>
        <v>Intrcnnct</v>
      </c>
      <c r="E424" t="str">
        <f>INDEX('TE_OA_20200805_INTRDY_2020-08-0'!$H$2:$H$870,MATCH(Filter!B424,'TE_OA_20200805_INTRDY_2020-08-0'!$G$2:$G$870))</f>
        <v>Columbia Gas - Franklin Co. PA (Delivery)</v>
      </c>
      <c r="F424" t="str">
        <f>INDEX('Pipe Table'!$H$2:$H$8,MATCH('TE_OA_20200805_INTRDY_2020-08-0'!I405,'Pipe Table'!$G$2:$G$8,0))</f>
        <v>TETCO-M3</v>
      </c>
      <c r="G424" t="str">
        <f>INDEX(TeAllPoints!$D$2:$D$957,MATCH(Filter!B424,TeAllPoints!$B$2:$B$957,0))</f>
        <v>PA</v>
      </c>
      <c r="H424" t="str">
        <f>INDEX(TeAllPoints!$E$2:$E$957,MATCH(Filter!B424,TeAllPoints!$B$2:$B$957,0))</f>
        <v>FRANKLIN</v>
      </c>
      <c r="I424">
        <f>INDEX('TE_OA_20200805_INTRDY_2020-08-0'!$Q$2:$Q$870,MATCH(Filter!B424,'TE_OA_20200805_INTRDY_2020-08-0'!$G$2:$G$870))</f>
        <v>8272</v>
      </c>
      <c r="J424">
        <f>INDEX('TE_OA_20200805_INTRDY_2020-08-0'!$R$2:$R$870,MATCH(Filter!B424,'TE_OA_20200805_INTRDY_2020-08-0'!$G$2:$G$870))</f>
        <v>2550</v>
      </c>
    </row>
    <row r="425" spans="1:10" x14ac:dyDescent="0.25">
      <c r="A425" t="str">
        <f>INDEX('Pipe Table'!$E$2:$E$10,MATCH(INDEX('TE_OA_20200805_INTRDY_2020-08-0'!$T$2:$T$870,MATCH(Filter!B425,'TE_OA_20200805_INTRDY_2020-08-0'!$G$2:$G$870,0)),'Pipe Table'!$D$2:$D$10,0))</f>
        <v>TETCO</v>
      </c>
      <c r="B425">
        <v>73205</v>
      </c>
      <c r="C425" t="str">
        <f>INDEX('TE_OA_20200805_INTRDY_2020-08-0'!$J$2:$J$870,MATCH(Filter!B425,'TE_OA_20200805_INTRDY_2020-08-0'!$G$2:$G$870))</f>
        <v>Delivery</v>
      </c>
      <c r="D425" t="str">
        <f>INDEX('Pipe Table'!$B$2:$B$14,MATCH(INDEX(TeAllPoints!$I$2:$I$957,MATCH(Filter!B425,TeAllPoints!$B$2:$B$957,0)),'Pipe Table'!$A$2:$A$14,0))</f>
        <v>Intrcnnct</v>
      </c>
      <c r="E425" t="str">
        <f>INDEX('TE_OA_20200805_INTRDY_2020-08-0'!$H$2:$H$870,MATCH(Filter!B425,'TE_OA_20200805_INTRDY_2020-08-0'!$G$2:$G$870))</f>
        <v>Middle Tn Nat Gas -Wilson, TN</v>
      </c>
      <c r="F425" t="str">
        <f>INDEX('Pipe Table'!$H$2:$H$8,MATCH('TE_OA_20200805_INTRDY_2020-08-0'!I406,'Pipe Table'!$G$2:$G$8,0))</f>
        <v>TETCO-M1</v>
      </c>
      <c r="G425" t="str">
        <f>INDEX(TeAllPoints!$D$2:$D$957,MATCH(Filter!B425,TeAllPoints!$B$2:$B$957,0))</f>
        <v>TN</v>
      </c>
      <c r="H425" t="str">
        <f>INDEX(TeAllPoints!$E$2:$E$957,MATCH(Filter!B425,TeAllPoints!$B$2:$B$957,0))</f>
        <v>WILSON</v>
      </c>
      <c r="I425">
        <f>INDEX('TE_OA_20200805_INTRDY_2020-08-0'!$Q$2:$Q$870,MATCH(Filter!B425,'TE_OA_20200805_INTRDY_2020-08-0'!$G$2:$G$870))</f>
        <v>108100</v>
      </c>
      <c r="J425">
        <f>INDEX('TE_OA_20200805_INTRDY_2020-08-0'!$R$2:$R$870,MATCH(Filter!B425,'TE_OA_20200805_INTRDY_2020-08-0'!$G$2:$G$870))</f>
        <v>5927</v>
      </c>
    </row>
    <row r="426" spans="1:10" x14ac:dyDescent="0.25">
      <c r="A426" t="str">
        <f>INDEX('Pipe Table'!$E$2:$E$10,MATCH(INDEX('TE_OA_20200805_INTRDY_2020-08-0'!$T$2:$T$870,MATCH(Filter!B426,'TE_OA_20200805_INTRDY_2020-08-0'!$G$2:$G$870,0)),'Pipe Table'!$D$2:$D$10,0))</f>
        <v>TETCO</v>
      </c>
      <c r="B426">
        <v>73207</v>
      </c>
      <c r="C426" t="str">
        <f>INDEX('TE_OA_20200805_INTRDY_2020-08-0'!$J$2:$J$870,MATCH(Filter!B426,'TE_OA_20200805_INTRDY_2020-08-0'!$G$2:$G$870))</f>
        <v>Delivery</v>
      </c>
      <c r="D426" t="str">
        <f>INDEX('Pipe Table'!$B$2:$B$14,MATCH(INDEX(TeAllPoints!$I$2:$I$957,MATCH(Filter!B426,TeAllPoints!$B$2:$B$957,0)),'Pipe Table'!$A$2:$A$14,0))</f>
        <v>EndUsr</v>
      </c>
      <c r="E426" t="str">
        <f>INDEX('TE_OA_20200805_INTRDY_2020-08-0'!$H$2:$H$870,MATCH(Filter!B426,'TE_OA_20200805_INTRDY_2020-08-0'!$G$2:$G$870))</f>
        <v>AECI Plant Sto - Essex Pwr Plt -Stoddard Co, MO</v>
      </c>
      <c r="F426" t="str">
        <f>INDEX('Pipe Table'!$H$2:$H$8,MATCH('TE_OA_20200805_INTRDY_2020-08-0'!I407,'Pipe Table'!$G$2:$G$8,0))</f>
        <v>TETCO-M1</v>
      </c>
      <c r="G426" t="str">
        <f>INDEX(TeAllPoints!$D$2:$D$957,MATCH(Filter!B426,TeAllPoints!$B$2:$B$957,0))</f>
        <v>MO</v>
      </c>
      <c r="H426" t="str">
        <f>INDEX(TeAllPoints!$E$2:$E$957,MATCH(Filter!B426,TeAllPoints!$B$2:$B$957,0))</f>
        <v>STODDARD</v>
      </c>
      <c r="I426">
        <f>INDEX('TE_OA_20200805_INTRDY_2020-08-0'!$Q$2:$Q$870,MATCH(Filter!B426,'TE_OA_20200805_INTRDY_2020-08-0'!$G$2:$G$870))</f>
        <v>84739</v>
      </c>
      <c r="J426">
        <f>INDEX('TE_OA_20200805_INTRDY_2020-08-0'!$R$2:$R$870,MATCH(Filter!B426,'TE_OA_20200805_INTRDY_2020-08-0'!$G$2:$G$870))</f>
        <v>0</v>
      </c>
    </row>
    <row r="427" spans="1:10" x14ac:dyDescent="0.25">
      <c r="A427" t="str">
        <f>INDEX('Pipe Table'!$E$2:$E$10,MATCH(INDEX('TE_OA_20200805_INTRDY_2020-08-0'!$T$2:$T$870,MATCH(Filter!B427,'TE_OA_20200805_INTRDY_2020-08-0'!$G$2:$G$870,0)),'Pipe Table'!$D$2:$D$10,0))</f>
        <v>TETCO</v>
      </c>
      <c r="B427">
        <v>73209</v>
      </c>
      <c r="C427" t="str">
        <f>INDEX('TE_OA_20200805_INTRDY_2020-08-0'!$J$2:$J$870,MATCH(Filter!B427,'TE_OA_20200805_INTRDY_2020-08-0'!$G$2:$G$870))</f>
        <v>Receipt</v>
      </c>
      <c r="D427" t="str">
        <f>INDEX('Pipe Table'!$B$2:$B$14,MATCH(INDEX(TeAllPoints!$I$2:$I$957,MATCH(Filter!B427,TeAllPoints!$B$2:$B$957,0)),'Pipe Table'!$A$2:$A$14,0))</f>
        <v>Intrcnnct</v>
      </c>
      <c r="E427" t="str">
        <f>INDEX('TE_OA_20200805_INTRDY_2020-08-0'!$H$2:$H$870,MATCH(Filter!B427,'TE_OA_20200805_INTRDY_2020-08-0'!$G$2:$G$870))</f>
        <v>NorAm Field Services - Shelby Co., TX (REC)</v>
      </c>
      <c r="F427" t="str">
        <f>INDEX('Pipe Table'!$H$2:$H$8,MATCH('TE_OA_20200805_INTRDY_2020-08-0'!I408,'Pipe Table'!$G$2:$G$8,0))</f>
        <v>TETCO-ETX</v>
      </c>
      <c r="G427" t="str">
        <f>INDEX(TeAllPoints!$D$2:$D$957,MATCH(Filter!B427,TeAllPoints!$B$2:$B$957,0))</f>
        <v>TX</v>
      </c>
      <c r="H427" t="str">
        <f>INDEX(TeAllPoints!$E$2:$E$957,MATCH(Filter!B427,TeAllPoints!$B$2:$B$957,0))</f>
        <v>SHELBY</v>
      </c>
      <c r="I427">
        <f>INDEX('TE_OA_20200805_INTRDY_2020-08-0'!$Q$2:$Q$870,MATCH(Filter!B427,'TE_OA_20200805_INTRDY_2020-08-0'!$G$2:$G$870))</f>
        <v>16740</v>
      </c>
      <c r="J427">
        <f>INDEX('TE_OA_20200805_INTRDY_2020-08-0'!$R$2:$R$870,MATCH(Filter!B427,'TE_OA_20200805_INTRDY_2020-08-0'!$G$2:$G$870))</f>
        <v>50</v>
      </c>
    </row>
    <row r="428" spans="1:10" x14ac:dyDescent="0.25">
      <c r="A428" t="str">
        <f>INDEX('Pipe Table'!$E$2:$E$10,MATCH(INDEX('TE_OA_20200805_INTRDY_2020-08-0'!$T$2:$T$870,MATCH(Filter!B428,'TE_OA_20200805_INTRDY_2020-08-0'!$G$2:$G$870,0)),'Pipe Table'!$D$2:$D$10,0))</f>
        <v>TETCO</v>
      </c>
      <c r="B428">
        <v>73210</v>
      </c>
      <c r="C428" t="str">
        <f>INDEX('TE_OA_20200805_INTRDY_2020-08-0'!$J$2:$J$870,MATCH(Filter!B428,'TE_OA_20200805_INTRDY_2020-08-0'!$G$2:$G$870))</f>
        <v>Receipt</v>
      </c>
      <c r="D428" t="str">
        <f>INDEX('Pipe Table'!$B$2:$B$14,MATCH(INDEX(TeAllPoints!$I$2:$I$957,MATCH(Filter!B428,TeAllPoints!$B$2:$B$957,0)),'Pipe Table'!$A$2:$A$14,0))</f>
        <v>Wellhead</v>
      </c>
      <c r="E428" t="str">
        <f>INDEX('TE_OA_20200805_INTRDY_2020-08-0'!$H$2:$H$870,MATCH(Filter!B428,'TE_OA_20200805_INTRDY_2020-08-0'!$G$2:$G$870))</f>
        <v>Gas Chromatograph @ 73210 Great Lake Energy - Fayette Co., PA. - (</v>
      </c>
      <c r="F428" t="str">
        <f>INDEX('Pipe Table'!$H$2:$H$8,MATCH('TE_OA_20200805_INTRDY_2020-08-0'!I409,'Pipe Table'!$G$2:$G$8,0))</f>
        <v>TETCO-M2</v>
      </c>
      <c r="G428" t="str">
        <f>INDEX(TeAllPoints!$D$2:$D$957,MATCH(Filter!B428,TeAllPoints!$B$2:$B$957,0))</f>
        <v>PA</v>
      </c>
      <c r="H428" t="str">
        <f>INDEX(TeAllPoints!$E$2:$E$957,MATCH(Filter!B428,TeAllPoints!$B$2:$B$957,0))</f>
        <v>FAYETTE</v>
      </c>
      <c r="I428">
        <f>INDEX('TE_OA_20200805_INTRDY_2020-08-0'!$Q$2:$Q$870,MATCH(Filter!B428,'TE_OA_20200805_INTRDY_2020-08-0'!$G$2:$G$870))</f>
        <v>4046</v>
      </c>
      <c r="J428">
        <f>INDEX('TE_OA_20200805_INTRDY_2020-08-0'!$R$2:$R$870,MATCH(Filter!B428,'TE_OA_20200805_INTRDY_2020-08-0'!$G$2:$G$870))</f>
        <v>65</v>
      </c>
    </row>
    <row r="429" spans="1:10" x14ac:dyDescent="0.25">
      <c r="A429" t="str">
        <f>INDEX('Pipe Table'!$E$2:$E$10,MATCH(INDEX('TE_OA_20200805_INTRDY_2020-08-0'!$T$2:$T$870,MATCH(Filter!B429,'TE_OA_20200805_INTRDY_2020-08-0'!$G$2:$G$870,0)),'Pipe Table'!$D$2:$D$10,0))</f>
        <v>TETCO</v>
      </c>
      <c r="B429">
        <v>73211</v>
      </c>
      <c r="C429" t="str">
        <f>INDEX('TE_OA_20200805_INTRDY_2020-08-0'!$J$2:$J$870,MATCH(Filter!B429,'TE_OA_20200805_INTRDY_2020-08-0'!$G$2:$G$870))</f>
        <v>Delivery</v>
      </c>
      <c r="D429" t="str">
        <f>INDEX('Pipe Table'!$B$2:$B$14,MATCH(INDEX(TeAllPoints!$I$2:$I$957,MATCH(Filter!B429,TeAllPoints!$B$2:$B$957,0)),'Pipe Table'!$A$2:$A$14,0))</f>
        <v>EndUsr</v>
      </c>
      <c r="E429" t="str">
        <f>INDEX('TE_OA_20200805_INTRDY_2020-08-0'!$H$2:$H$870,MATCH(Filter!B429,'TE_OA_20200805_INTRDY_2020-08-0'!$G$2:$G$870))</f>
        <v>WEIR (NEEL-SCHAFFER) - CHOCTAW CO., MS.</v>
      </c>
      <c r="F429" t="str">
        <f>INDEX('Pipe Table'!$H$2:$H$8,MATCH('TE_OA_20200805_INTRDY_2020-08-0'!I410,'Pipe Table'!$G$2:$G$8,0))</f>
        <v>TETCO-M1</v>
      </c>
      <c r="G429" t="str">
        <f>INDEX(TeAllPoints!$D$2:$D$957,MATCH(Filter!B429,TeAllPoints!$B$2:$B$957,0))</f>
        <v>MS</v>
      </c>
      <c r="H429" t="str">
        <f>INDEX(TeAllPoints!$E$2:$E$957,MATCH(Filter!B429,TeAllPoints!$B$2:$B$957,0))</f>
        <v>CHOCTAW</v>
      </c>
      <c r="I429">
        <f>INDEX('TE_OA_20200805_INTRDY_2020-08-0'!$Q$2:$Q$870,MATCH(Filter!B429,'TE_OA_20200805_INTRDY_2020-08-0'!$G$2:$G$870))</f>
        <v>280338</v>
      </c>
      <c r="J429">
        <f>INDEX('TE_OA_20200805_INTRDY_2020-08-0'!$R$2:$R$870,MATCH(Filter!B429,'TE_OA_20200805_INTRDY_2020-08-0'!$G$2:$G$870))</f>
        <v>83098</v>
      </c>
    </row>
    <row r="430" spans="1:10" x14ac:dyDescent="0.25">
      <c r="A430" t="str">
        <f>INDEX('Pipe Table'!$E$2:$E$10,MATCH(INDEX('TE_OA_20200805_INTRDY_2020-08-0'!$T$2:$T$870,MATCH(Filter!B430,'TE_OA_20200805_INTRDY_2020-08-0'!$G$2:$G$870,0)),'Pipe Table'!$D$2:$D$10,0))</f>
        <v>TETCO</v>
      </c>
      <c r="B430">
        <v>73212</v>
      </c>
      <c r="C430" t="str">
        <f>INDEX('TE_OA_20200805_INTRDY_2020-08-0'!$J$2:$J$870,MATCH(Filter!B430,'TE_OA_20200805_INTRDY_2020-08-0'!$G$2:$G$870))</f>
        <v>Delivery</v>
      </c>
      <c r="D430" t="str">
        <f>INDEX('Pipe Table'!$B$2:$B$14,MATCH(INDEX(TeAllPoints!$I$2:$I$957,MATCH(Filter!B430,TeAllPoints!$B$2:$B$957,0)),'Pipe Table'!$A$2:$A$14,0))</f>
        <v>LDC</v>
      </c>
      <c r="E430" t="str">
        <f>INDEX('TE_OA_20200805_INTRDY_2020-08-0'!$H$2:$H$870,MATCH(Filter!B430,'TE_OA_20200805_INTRDY_2020-08-0'!$G$2:$G$870))</f>
        <v>PECO - EAGLE, CHESTER CO., PA. (del)</v>
      </c>
      <c r="F430" t="str">
        <f>INDEX('Pipe Table'!$H$2:$H$8,MATCH('TE_OA_20200805_INTRDY_2020-08-0'!I411,'Pipe Table'!$G$2:$G$8,0))</f>
        <v>TETCO-M3</v>
      </c>
      <c r="G430" t="str">
        <f>INDEX(TeAllPoints!$D$2:$D$957,MATCH(Filter!B430,TeAllPoints!$B$2:$B$957,0))</f>
        <v>PA</v>
      </c>
      <c r="H430" t="str">
        <f>INDEX(TeAllPoints!$E$2:$E$957,MATCH(Filter!B430,TeAllPoints!$B$2:$B$957,0))</f>
        <v>CHESTER</v>
      </c>
      <c r="I430">
        <f>INDEX('TE_OA_20200805_INTRDY_2020-08-0'!$Q$2:$Q$870,MATCH(Filter!B430,'TE_OA_20200805_INTRDY_2020-08-0'!$G$2:$G$870))</f>
        <v>72489</v>
      </c>
      <c r="J430">
        <f>INDEX('TE_OA_20200805_INTRDY_2020-08-0'!$R$2:$R$870,MATCH(Filter!B430,'TE_OA_20200805_INTRDY_2020-08-0'!$G$2:$G$870))</f>
        <v>0</v>
      </c>
    </row>
    <row r="431" spans="1:10" x14ac:dyDescent="0.25">
      <c r="A431" t="str">
        <f>INDEX('Pipe Table'!$E$2:$E$10,MATCH(INDEX('TE_OA_20200805_INTRDY_2020-08-0'!$T$2:$T$870,MATCH(Filter!B431,'TE_OA_20200805_INTRDY_2020-08-0'!$G$2:$G$870,0)),'Pipe Table'!$D$2:$D$10,0))</f>
        <v>TETCO</v>
      </c>
      <c r="B431">
        <v>73214</v>
      </c>
      <c r="C431" t="str">
        <f>INDEX('TE_OA_20200805_INTRDY_2020-08-0'!$J$2:$J$870,MATCH(Filter!B431,'TE_OA_20200805_INTRDY_2020-08-0'!$G$2:$G$870))</f>
        <v>Receipt</v>
      </c>
      <c r="D431" t="str">
        <f>INDEX('Pipe Table'!$B$2:$B$14,MATCH(INDEX(TeAllPoints!$I$2:$I$957,MATCH(Filter!B431,TeAllPoints!$B$2:$B$957,0)),'Pipe Table'!$A$2:$A$14,0))</f>
        <v>Wellhead</v>
      </c>
      <c r="E431" t="str">
        <f>INDEX('TE_OA_20200805_INTRDY_2020-08-0'!$H$2:$H$870,MATCH(Filter!B431,'TE_OA_20200805_INTRDY_2020-08-0'!$G$2:$G$870))</f>
        <v>DEFS - Pettus, Bee Co., TX</v>
      </c>
      <c r="F431" t="str">
        <f>INDEX('Pipe Table'!$H$2:$H$8,MATCH('TE_OA_20200805_INTRDY_2020-08-0'!I412,'Pipe Table'!$G$2:$G$8,0))</f>
        <v>TETCO-STX</v>
      </c>
      <c r="G431" t="str">
        <f>INDEX(TeAllPoints!$D$2:$D$957,MATCH(Filter!B431,TeAllPoints!$B$2:$B$957,0))</f>
        <v>TX</v>
      </c>
      <c r="H431" t="str">
        <f>INDEX(TeAllPoints!$E$2:$E$957,MATCH(Filter!B431,TeAllPoints!$B$2:$B$957,0))</f>
        <v>BEE</v>
      </c>
      <c r="I431">
        <f>INDEX('TE_OA_20200805_INTRDY_2020-08-0'!$Q$2:$Q$870,MATCH(Filter!B431,'TE_OA_20200805_INTRDY_2020-08-0'!$G$2:$G$870))</f>
        <v>48561</v>
      </c>
      <c r="J431">
        <f>INDEX('TE_OA_20200805_INTRDY_2020-08-0'!$R$2:$R$870,MATCH(Filter!B431,'TE_OA_20200805_INTRDY_2020-08-0'!$G$2:$G$870))</f>
        <v>38077</v>
      </c>
    </row>
    <row r="432" spans="1:10" x14ac:dyDescent="0.25">
      <c r="A432" t="str">
        <f>INDEX('Pipe Table'!$E$2:$E$10,MATCH(INDEX('TE_OA_20200805_INTRDY_2020-08-0'!$T$2:$T$870,MATCH(Filter!B432,'TE_OA_20200805_INTRDY_2020-08-0'!$G$2:$G$870,0)),'Pipe Table'!$D$2:$D$10,0))</f>
        <v>TETCO</v>
      </c>
      <c r="B432">
        <v>73216</v>
      </c>
      <c r="C432" t="str">
        <f>INDEX('TE_OA_20200805_INTRDY_2020-08-0'!$J$2:$J$870,MATCH(Filter!B432,'TE_OA_20200805_INTRDY_2020-08-0'!$G$2:$G$870))</f>
        <v>Delivery</v>
      </c>
      <c r="D432" t="str">
        <f>INDEX('Pipe Table'!$B$2:$B$14,MATCH(INDEX(TeAllPoints!$I$2:$I$957,MATCH(Filter!B432,TeAllPoints!$B$2:$B$957,0)),'Pipe Table'!$A$2:$A$14,0))</f>
        <v>LDC</v>
      </c>
      <c r="E432" t="str">
        <f>INDEX('TE_OA_20200805_INTRDY_2020-08-0'!$H$2:$H$870,MATCH(Filter!B432,'TE_OA_20200805_INTRDY_2020-08-0'!$G$2:$G$870))</f>
        <v>Town of Shannon - Monroe Co., MS</v>
      </c>
      <c r="F432" t="str">
        <f>INDEX('Pipe Table'!$H$2:$H$8,MATCH('TE_OA_20200805_INTRDY_2020-08-0'!I413,'Pipe Table'!$G$2:$G$8,0))</f>
        <v>TETCO-M1</v>
      </c>
      <c r="G432" t="str">
        <f>INDEX(TeAllPoints!$D$2:$D$957,MATCH(Filter!B432,TeAllPoints!$B$2:$B$957,0))</f>
        <v>MS</v>
      </c>
      <c r="H432" t="str">
        <f>INDEX(TeAllPoints!$E$2:$E$957,MATCH(Filter!B432,TeAllPoints!$B$2:$B$957,0))</f>
        <v>MONROE</v>
      </c>
      <c r="I432">
        <f>INDEX('TE_OA_20200805_INTRDY_2020-08-0'!$Q$2:$Q$870,MATCH(Filter!B432,'TE_OA_20200805_INTRDY_2020-08-0'!$G$2:$G$870))</f>
        <v>10778</v>
      </c>
      <c r="J432">
        <f>INDEX('TE_OA_20200805_INTRDY_2020-08-0'!$R$2:$R$870,MATCH(Filter!B432,'TE_OA_20200805_INTRDY_2020-08-0'!$G$2:$G$870))</f>
        <v>6</v>
      </c>
    </row>
    <row r="433" spans="1:10" x14ac:dyDescent="0.25">
      <c r="A433" t="str">
        <f>INDEX('Pipe Table'!$E$2:$E$10,MATCH(INDEX('TE_OA_20200805_INTRDY_2020-08-0'!$T$2:$T$870,MATCH(Filter!B433,'TE_OA_20200805_INTRDY_2020-08-0'!$G$2:$G$870,0)),'Pipe Table'!$D$2:$D$10,0))</f>
        <v>TETCO</v>
      </c>
      <c r="B433">
        <v>73219</v>
      </c>
      <c r="C433" t="str">
        <f>INDEX('TE_OA_20200805_INTRDY_2020-08-0'!$J$2:$J$870,MATCH(Filter!B433,'TE_OA_20200805_INTRDY_2020-08-0'!$G$2:$G$870))</f>
        <v>Receipt</v>
      </c>
      <c r="D433" t="str">
        <f>INDEX('Pipe Table'!$B$2:$B$14,MATCH(INDEX(TeAllPoints!$I$2:$I$957,MATCH(Filter!B433,TeAllPoints!$B$2:$B$957,0)),'Pipe Table'!$A$2:$A$14,0))</f>
        <v>Wellhead</v>
      </c>
      <c r="E433" t="str">
        <f>INDEX('TE_OA_20200805_INTRDY_2020-08-0'!$H$2:$H$870,MATCH(Filter!B433,'TE_OA_20200805_INTRDY_2020-08-0'!$G$2:$G$870))</f>
        <v>FINA - Georgia Pacific #1, Oktibbeha Co., MS</v>
      </c>
      <c r="F433" t="str">
        <f>INDEX('Pipe Table'!$H$2:$H$8,MATCH('TE_OA_20200805_INTRDY_2020-08-0'!I414,'Pipe Table'!$G$2:$G$8,0))</f>
        <v>TETCO-M1</v>
      </c>
      <c r="G433" t="str">
        <f>INDEX(TeAllPoints!$D$2:$D$957,MATCH(Filter!B433,TeAllPoints!$B$2:$B$957,0))</f>
        <v>MS</v>
      </c>
      <c r="H433" t="str">
        <f>INDEX(TeAllPoints!$E$2:$E$957,MATCH(Filter!B433,TeAllPoints!$B$2:$B$957,0))</f>
        <v>OKTIBBEHA</v>
      </c>
      <c r="I433">
        <f>INDEX('TE_OA_20200805_INTRDY_2020-08-0'!$Q$2:$Q$870,MATCH(Filter!B433,'TE_OA_20200805_INTRDY_2020-08-0'!$G$2:$G$870))</f>
        <v>4448</v>
      </c>
      <c r="J433">
        <f>INDEX('TE_OA_20200805_INTRDY_2020-08-0'!$R$2:$R$870,MATCH(Filter!B433,'TE_OA_20200805_INTRDY_2020-08-0'!$G$2:$G$870))</f>
        <v>0</v>
      </c>
    </row>
    <row r="434" spans="1:10" x14ac:dyDescent="0.25">
      <c r="A434" t="str">
        <f>INDEX('Pipe Table'!$E$2:$E$10,MATCH(INDEX('TE_OA_20200805_INTRDY_2020-08-0'!$T$2:$T$870,MATCH(Filter!B434,'TE_OA_20200805_INTRDY_2020-08-0'!$G$2:$G$870,0)),'Pipe Table'!$D$2:$D$10,0))</f>
        <v>TETCO</v>
      </c>
      <c r="B434">
        <v>73223</v>
      </c>
      <c r="C434" t="str">
        <f>INDEX('TE_OA_20200805_INTRDY_2020-08-0'!$J$2:$J$870,MATCH(Filter!B434,'TE_OA_20200805_INTRDY_2020-08-0'!$G$2:$G$870))</f>
        <v>Delivery</v>
      </c>
      <c r="D434" t="str">
        <f>INDEX('Pipe Table'!$B$2:$B$14,MATCH(INDEX(TeAllPoints!$I$2:$I$957,MATCH(Filter!B434,TeAllPoints!$B$2:$B$957,0)),'Pipe Table'!$A$2:$A$14,0))</f>
        <v>EndUsr</v>
      </c>
      <c r="E434" t="str">
        <f>INDEX('TE_OA_20200805_INTRDY_2020-08-0'!$H$2:$H$870,MATCH(Filter!B434,'TE_OA_20200805_INTRDY_2020-08-0'!$G$2:$G$870))</f>
        <v>DEFS - EDINBURG POWER PLANT - Hidalgo Co., TX</v>
      </c>
      <c r="F434" t="str">
        <f>INDEX('Pipe Table'!$H$2:$H$8,MATCH('TE_OA_20200805_INTRDY_2020-08-0'!I415,'Pipe Table'!$G$2:$G$8,0))</f>
        <v>TETCO-STX</v>
      </c>
      <c r="G434" t="str">
        <f>INDEX(TeAllPoints!$D$2:$D$957,MATCH(Filter!B434,TeAllPoints!$B$2:$B$957,0))</f>
        <v>TX</v>
      </c>
      <c r="H434" t="str">
        <f>INDEX(TeAllPoints!$E$2:$E$957,MATCH(Filter!B434,TeAllPoints!$B$2:$B$957,0))</f>
        <v>HIDALGO</v>
      </c>
      <c r="I434">
        <f>INDEX('TE_OA_20200805_INTRDY_2020-08-0'!$Q$2:$Q$870,MATCH(Filter!B434,'TE_OA_20200805_INTRDY_2020-08-0'!$G$2:$G$870))</f>
        <v>140169</v>
      </c>
      <c r="J434">
        <f>INDEX('TE_OA_20200805_INTRDY_2020-08-0'!$R$2:$R$870,MATCH(Filter!B434,'TE_OA_20200805_INTRDY_2020-08-0'!$G$2:$G$870))</f>
        <v>0</v>
      </c>
    </row>
    <row r="435" spans="1:10" x14ac:dyDescent="0.25">
      <c r="A435" t="str">
        <f>INDEX('Pipe Table'!$E$2:$E$10,MATCH(INDEX('TE_OA_20200805_INTRDY_2020-08-0'!$T$2:$T$870,MATCH(Filter!B435,'TE_OA_20200805_INTRDY_2020-08-0'!$G$2:$G$870,0)),'Pipe Table'!$D$2:$D$10,0))</f>
        <v>TETCO</v>
      </c>
      <c r="B435">
        <v>73225</v>
      </c>
      <c r="C435" t="str">
        <f>INDEX('TE_OA_20200805_INTRDY_2020-08-0'!$J$2:$J$870,MATCH(Filter!B435,'TE_OA_20200805_INTRDY_2020-08-0'!$G$2:$G$870))</f>
        <v>Delivery</v>
      </c>
      <c r="D435" t="str">
        <f>INDEX('Pipe Table'!$B$2:$B$14,MATCH(INDEX(TeAllPoints!$I$2:$I$957,MATCH(Filter!B435,TeAllPoints!$B$2:$B$957,0)),'Pipe Table'!$A$2:$A$14,0))</f>
        <v>LDC</v>
      </c>
      <c r="E435" t="str">
        <f>INDEX('TE_OA_20200805_INTRDY_2020-08-0'!$H$2:$H$870,MATCH(Filter!B435,'TE_OA_20200805_INTRDY_2020-08-0'!$G$2:$G$870))</f>
        <v>Nat'l Gas  -Perry Co., OH</v>
      </c>
      <c r="F435" t="str">
        <f>INDEX('Pipe Table'!$H$2:$H$8,MATCH('TE_OA_20200805_INTRDY_2020-08-0'!I416,'Pipe Table'!$G$2:$G$8,0))</f>
        <v>TETCO-M2</v>
      </c>
      <c r="G435" t="str">
        <f>INDEX(TeAllPoints!$D$2:$D$957,MATCH(Filter!B435,TeAllPoints!$B$2:$B$957,0))</f>
        <v>OH</v>
      </c>
      <c r="H435" t="str">
        <f>INDEX(TeAllPoints!$E$2:$E$957,MATCH(Filter!B435,TeAllPoints!$B$2:$B$957,0))</f>
        <v>PERRY</v>
      </c>
      <c r="I435">
        <f>INDEX('TE_OA_20200805_INTRDY_2020-08-0'!$Q$2:$Q$870,MATCH(Filter!B435,'TE_OA_20200805_INTRDY_2020-08-0'!$G$2:$G$870))</f>
        <v>25974</v>
      </c>
      <c r="J435">
        <f>INDEX('TE_OA_20200805_INTRDY_2020-08-0'!$R$2:$R$870,MATCH(Filter!B435,'TE_OA_20200805_INTRDY_2020-08-0'!$G$2:$G$870))</f>
        <v>0</v>
      </c>
    </row>
    <row r="436" spans="1:10" x14ac:dyDescent="0.25">
      <c r="A436" t="str">
        <f>INDEX('Pipe Table'!$E$2:$E$10,MATCH(INDEX('TE_OA_20200805_INTRDY_2020-08-0'!$T$2:$T$870,MATCH(Filter!B436,'TE_OA_20200805_INTRDY_2020-08-0'!$G$2:$G$870,0)),'Pipe Table'!$D$2:$D$10,0))</f>
        <v>TETCO</v>
      </c>
      <c r="B436">
        <v>73226</v>
      </c>
      <c r="C436" t="str">
        <f>INDEX('TE_OA_20200805_INTRDY_2020-08-0'!$J$2:$J$870,MATCH(Filter!B436,'TE_OA_20200805_INTRDY_2020-08-0'!$G$2:$G$870))</f>
        <v>Delivery</v>
      </c>
      <c r="D436" t="str">
        <f>INDEX('Pipe Table'!$B$2:$B$14,MATCH(INDEX(TeAllPoints!$I$2:$I$957,MATCH(Filter!B436,TeAllPoints!$B$2:$B$957,0)),'Pipe Table'!$A$2:$A$14,0))</f>
        <v>EndUsr</v>
      </c>
      <c r="E436" t="str">
        <f>INDEX('TE_OA_20200805_INTRDY_2020-08-0'!$H$2:$H$870,MATCH(Filter!B436,'TE_OA_20200805_INTRDY_2020-08-0'!$G$2:$G$870))</f>
        <v>Jonesboro City, Water &amp; Light - Greene, AR</v>
      </c>
      <c r="F436" t="str">
        <f>INDEX('Pipe Table'!$H$2:$H$8,MATCH('TE_OA_20200805_INTRDY_2020-08-0'!I417,'Pipe Table'!$G$2:$G$8,0))</f>
        <v>TETCO-M1</v>
      </c>
      <c r="G436" t="str">
        <f>INDEX(TeAllPoints!$D$2:$D$957,MATCH(Filter!B436,TeAllPoints!$B$2:$B$957,0))</f>
        <v>AR</v>
      </c>
      <c r="H436" t="str">
        <f>INDEX(TeAllPoints!$E$2:$E$957,MATCH(Filter!B436,TeAllPoints!$B$2:$B$957,0))</f>
        <v>GREENE</v>
      </c>
      <c r="I436">
        <f>INDEX('TE_OA_20200805_INTRDY_2020-08-0'!$Q$2:$Q$870,MATCH(Filter!B436,'TE_OA_20200805_INTRDY_2020-08-0'!$G$2:$G$870))</f>
        <v>147446</v>
      </c>
      <c r="J436">
        <f>INDEX('TE_OA_20200805_INTRDY_2020-08-0'!$R$2:$R$870,MATCH(Filter!B436,'TE_OA_20200805_INTRDY_2020-08-0'!$G$2:$G$870))</f>
        <v>0</v>
      </c>
    </row>
    <row r="437" spans="1:10" x14ac:dyDescent="0.25">
      <c r="A437" t="str">
        <f>INDEX('Pipe Table'!$E$2:$E$10,MATCH(INDEX('TE_OA_20200805_INTRDY_2020-08-0'!$T$2:$T$870,MATCH(Filter!B437,'TE_OA_20200805_INTRDY_2020-08-0'!$G$2:$G$870,0)),'Pipe Table'!$D$2:$D$10,0))</f>
        <v>TETCO</v>
      </c>
      <c r="B437">
        <v>73232</v>
      </c>
      <c r="C437" t="str">
        <f>INDEX('TE_OA_20200805_INTRDY_2020-08-0'!$J$2:$J$870,MATCH(Filter!B437,'TE_OA_20200805_INTRDY_2020-08-0'!$G$2:$G$870))</f>
        <v>Receipt</v>
      </c>
      <c r="D437" t="str">
        <f>INDEX('Pipe Table'!$B$2:$B$14,MATCH(INDEX(TeAllPoints!$I$2:$I$957,MATCH(Filter!B437,TeAllPoints!$B$2:$B$957,0)),'Pipe Table'!$A$2:$A$14,0))</f>
        <v>Wellhead</v>
      </c>
      <c r="E437" t="str">
        <f>INDEX('TE_OA_20200805_INTRDY_2020-08-0'!$H$2:$H$870,MATCH(Filter!B437,'TE_OA_20200805_INTRDY_2020-08-0'!$G$2:$G$870))</f>
        <v>DEFS - Goliad County, TX</v>
      </c>
      <c r="F437" t="str">
        <f>INDEX('Pipe Table'!$H$2:$H$8,MATCH('TE_OA_20200805_INTRDY_2020-08-0'!I418,'Pipe Table'!$G$2:$G$8,0))</f>
        <v>TETCO-STX</v>
      </c>
      <c r="G437" t="str">
        <f>INDEX(TeAllPoints!$D$2:$D$957,MATCH(Filter!B437,TeAllPoints!$B$2:$B$957,0))</f>
        <v>TX</v>
      </c>
      <c r="H437" t="str">
        <f>INDEX(TeAllPoints!$E$2:$E$957,MATCH(Filter!B437,TeAllPoints!$B$2:$B$957,0))</f>
        <v>GOLIAD</v>
      </c>
      <c r="I437">
        <f>INDEX('TE_OA_20200805_INTRDY_2020-08-0'!$Q$2:$Q$870,MATCH(Filter!B437,'TE_OA_20200805_INTRDY_2020-08-0'!$G$2:$G$870))</f>
        <v>64259</v>
      </c>
      <c r="J437">
        <f>INDEX('TE_OA_20200805_INTRDY_2020-08-0'!$R$2:$R$870,MATCH(Filter!B437,'TE_OA_20200805_INTRDY_2020-08-0'!$G$2:$G$870))</f>
        <v>0</v>
      </c>
    </row>
    <row r="438" spans="1:10" x14ac:dyDescent="0.25">
      <c r="A438" t="str">
        <f>INDEX('Pipe Table'!$E$2:$E$10,MATCH(INDEX('TE_OA_20200805_INTRDY_2020-08-0'!$T$2:$T$870,MATCH(Filter!B438,'TE_OA_20200805_INTRDY_2020-08-0'!$G$2:$G$870,0)),'Pipe Table'!$D$2:$D$10,0))</f>
        <v>TETCO</v>
      </c>
      <c r="B438">
        <v>73233</v>
      </c>
      <c r="C438" t="str">
        <f>INDEX('TE_OA_20200805_INTRDY_2020-08-0'!$J$2:$J$870,MATCH(Filter!B438,'TE_OA_20200805_INTRDY_2020-08-0'!$G$2:$G$870))</f>
        <v>Delivery</v>
      </c>
      <c r="D438" t="str">
        <f>INDEX('Pipe Table'!$B$2:$B$14,MATCH(INDEX(TeAllPoints!$I$2:$I$957,MATCH(Filter!B438,TeAllPoints!$B$2:$B$957,0)),'Pipe Table'!$A$2:$A$14,0))</f>
        <v>EndUsr</v>
      </c>
      <c r="E438" t="str">
        <f>INDEX('TE_OA_20200805_INTRDY_2020-08-0'!$H$2:$H$870,MATCH(Filter!B438,'TE_OA_20200805_INTRDY_2020-08-0'!$G$2:$G$870))</f>
        <v>Duke Energy Indiana</v>
      </c>
      <c r="F438" t="str">
        <f>INDEX('Pipe Table'!$H$2:$H$8,MATCH('TE_OA_20200805_INTRDY_2020-08-0'!I419,'Pipe Table'!$G$2:$G$8,0))</f>
        <v>TETCO-M2</v>
      </c>
      <c r="G438" t="str">
        <f>INDEX(TeAllPoints!$D$2:$D$957,MATCH(Filter!B438,TeAllPoints!$B$2:$B$957,0))</f>
        <v>OH</v>
      </c>
      <c r="H438" t="str">
        <f>INDEX(TeAllPoints!$E$2:$E$957,MATCH(Filter!B438,TeAllPoints!$B$2:$B$957,0))</f>
        <v>BUTLER</v>
      </c>
      <c r="I438">
        <f>INDEX('TE_OA_20200805_INTRDY_2020-08-0'!$Q$2:$Q$870,MATCH(Filter!B438,'TE_OA_20200805_INTRDY_2020-08-0'!$G$2:$G$870))</f>
        <v>397201</v>
      </c>
      <c r="J438">
        <f>INDEX('TE_OA_20200805_INTRDY_2020-08-0'!$R$2:$R$870,MATCH(Filter!B438,'TE_OA_20200805_INTRDY_2020-08-0'!$G$2:$G$870))</f>
        <v>0</v>
      </c>
    </row>
    <row r="439" spans="1:10" x14ac:dyDescent="0.25">
      <c r="A439" t="str">
        <f>INDEX('Pipe Table'!$E$2:$E$10,MATCH(INDEX('TE_OA_20200805_INTRDY_2020-08-0'!$T$2:$T$870,MATCH(Filter!B439,'TE_OA_20200805_INTRDY_2020-08-0'!$G$2:$G$870,0)),'Pipe Table'!$D$2:$D$10,0))</f>
        <v>TETCO</v>
      </c>
      <c r="B439">
        <v>73235</v>
      </c>
      <c r="C439" t="str">
        <f>INDEX('TE_OA_20200805_INTRDY_2020-08-0'!$J$2:$J$870,MATCH(Filter!B439,'TE_OA_20200805_INTRDY_2020-08-0'!$G$2:$G$870))</f>
        <v>Delivery</v>
      </c>
      <c r="D439" t="str">
        <f>INDEX('Pipe Table'!$B$2:$B$14,MATCH(INDEX(TeAllPoints!$I$2:$I$957,MATCH(Filter!B439,TeAllPoints!$B$2:$B$957,0)),'Pipe Table'!$A$2:$A$14,0))</f>
        <v>LDC</v>
      </c>
      <c r="E439" t="str">
        <f>INDEX('TE_OA_20200805_INTRDY_2020-08-0'!$H$2:$H$870,MATCH(Filter!B439,'TE_OA_20200805_INTRDY_2020-08-0'!$G$2:$G$870))</f>
        <v>National Energy &amp; Trad. - W. Feliciana Psh, LA.</v>
      </c>
      <c r="F439" t="str">
        <f>INDEX('Pipe Table'!$H$2:$H$8,MATCH('TE_OA_20200805_INTRDY_2020-08-0'!I420,'Pipe Table'!$G$2:$G$8,0))</f>
        <v>TETCO-ELA</v>
      </c>
      <c r="G439" t="str">
        <f>INDEX(TeAllPoints!$D$2:$D$957,MATCH(Filter!B439,TeAllPoints!$B$2:$B$957,0))</f>
        <v>LA</v>
      </c>
      <c r="H439" t="str">
        <f>INDEX(TeAllPoints!$E$2:$E$957,MATCH(Filter!B439,TeAllPoints!$B$2:$B$957,0))</f>
        <v>WEST FELICIANA</v>
      </c>
      <c r="I439">
        <f>INDEX('TE_OA_20200805_INTRDY_2020-08-0'!$Q$2:$Q$870,MATCH(Filter!B439,'TE_OA_20200805_INTRDY_2020-08-0'!$G$2:$G$870))</f>
        <v>3909</v>
      </c>
      <c r="J439">
        <f>INDEX('TE_OA_20200805_INTRDY_2020-08-0'!$R$2:$R$870,MATCH(Filter!B439,'TE_OA_20200805_INTRDY_2020-08-0'!$G$2:$G$870))</f>
        <v>0</v>
      </c>
    </row>
    <row r="440" spans="1:10" x14ac:dyDescent="0.25">
      <c r="A440" t="str">
        <f>INDEX('Pipe Table'!$E$2:$E$10,MATCH(INDEX('TE_OA_20200805_INTRDY_2020-08-0'!$T$2:$T$870,MATCH(Filter!B440,'TE_OA_20200805_INTRDY_2020-08-0'!$G$2:$G$870,0)),'Pipe Table'!$D$2:$D$10,0))</f>
        <v>TETCO</v>
      </c>
      <c r="B440">
        <v>73238</v>
      </c>
      <c r="C440" t="str">
        <f>INDEX('TE_OA_20200805_INTRDY_2020-08-0'!$J$2:$J$870,MATCH(Filter!B440,'TE_OA_20200805_INTRDY_2020-08-0'!$G$2:$G$870))</f>
        <v>Delivery</v>
      </c>
      <c r="D440" t="str">
        <f>INDEX('Pipe Table'!$B$2:$B$14,MATCH(INDEX(TeAllPoints!$I$2:$I$957,MATCH(Filter!B440,TeAllPoints!$B$2:$B$957,0)),'Pipe Table'!$A$2:$A$14,0))</f>
        <v>Intrcnnct</v>
      </c>
      <c r="E440" t="str">
        <f>INDEX('TE_OA_20200805_INTRDY_2020-08-0'!$H$2:$H$870,MATCH(Filter!B440,'TE_OA_20200805_INTRDY_2020-08-0'!$G$2:$G$870))</f>
        <v>MISS VALLEY GAS #2 - HINDS CO., MS.</v>
      </c>
      <c r="F440" t="str">
        <f>INDEX('Pipe Table'!$H$2:$H$8,MATCH('TE_OA_20200805_INTRDY_2020-08-0'!I421,'Pipe Table'!$G$2:$G$8,0))</f>
        <v>TETCO-ELA</v>
      </c>
      <c r="G440" t="str">
        <f>INDEX(TeAllPoints!$D$2:$D$957,MATCH(Filter!B440,TeAllPoints!$B$2:$B$957,0))</f>
        <v>MS</v>
      </c>
      <c r="H440" t="str">
        <f>INDEX(TeAllPoints!$E$2:$E$957,MATCH(Filter!B440,TeAllPoints!$B$2:$B$957,0))</f>
        <v>HINDS</v>
      </c>
      <c r="I440">
        <f>INDEX('TE_OA_20200805_INTRDY_2020-08-0'!$Q$2:$Q$870,MATCH(Filter!B440,'TE_OA_20200805_INTRDY_2020-08-0'!$G$2:$G$870))</f>
        <v>9122</v>
      </c>
      <c r="J440">
        <f>INDEX('TE_OA_20200805_INTRDY_2020-08-0'!$R$2:$R$870,MATCH(Filter!B440,'TE_OA_20200805_INTRDY_2020-08-0'!$G$2:$G$870))</f>
        <v>0</v>
      </c>
    </row>
    <row r="441" spans="1:10" x14ac:dyDescent="0.25">
      <c r="A441" t="str">
        <f>INDEX('Pipe Table'!$E$2:$E$10,MATCH(INDEX('TE_OA_20200805_INTRDY_2020-08-0'!$T$2:$T$870,MATCH(Filter!B441,'TE_OA_20200805_INTRDY_2020-08-0'!$G$2:$G$870,0)),'Pipe Table'!$D$2:$D$10,0))</f>
        <v>TETCO</v>
      </c>
      <c r="B441">
        <v>73239</v>
      </c>
      <c r="C441" t="str">
        <f>INDEX('TE_OA_20200805_INTRDY_2020-08-0'!$J$2:$J$870,MATCH(Filter!B441,'TE_OA_20200805_INTRDY_2020-08-0'!$G$2:$G$870))</f>
        <v>Delivery</v>
      </c>
      <c r="D441" t="str">
        <f>INDEX('Pipe Table'!$B$2:$B$14,MATCH(INDEX(TeAllPoints!$I$2:$I$957,MATCH(Filter!B441,TeAllPoints!$B$2:$B$957,0)),'Pipe Table'!$A$2:$A$14,0))</f>
        <v>EndUsr</v>
      </c>
      <c r="E441" t="str">
        <f>INDEX('TE_OA_20200805_INTRDY_2020-08-0'!$H$2:$H$870,MATCH(Filter!B441,'TE_OA_20200805_INTRDY_2020-08-0'!$G$2:$G$870))</f>
        <v>Talen Energy Marketing, LLC - (Ironwood) Lebanon Co., PA.</v>
      </c>
      <c r="F441" t="str">
        <f>INDEX('Pipe Table'!$H$2:$H$8,MATCH('TE_OA_20200805_INTRDY_2020-08-0'!I422,'Pipe Table'!$G$2:$G$8,0))</f>
        <v>TETCO-M3</v>
      </c>
      <c r="G441" t="str">
        <f>INDEX(TeAllPoints!$D$2:$D$957,MATCH(Filter!B441,TeAllPoints!$B$2:$B$957,0))</f>
        <v>PA</v>
      </c>
      <c r="H441" t="str">
        <f>INDEX(TeAllPoints!$E$2:$E$957,MATCH(Filter!B441,TeAllPoints!$B$2:$B$957,0))</f>
        <v>LEBANON</v>
      </c>
      <c r="I441">
        <f>INDEX('TE_OA_20200805_INTRDY_2020-08-0'!$Q$2:$Q$870,MATCH(Filter!B441,'TE_OA_20200805_INTRDY_2020-08-0'!$G$2:$G$870))</f>
        <v>467699</v>
      </c>
      <c r="J441">
        <f>INDEX('TE_OA_20200805_INTRDY_2020-08-0'!$R$2:$R$870,MATCH(Filter!B441,'TE_OA_20200805_INTRDY_2020-08-0'!$G$2:$G$870))</f>
        <v>122508</v>
      </c>
    </row>
    <row r="442" spans="1:10" x14ac:dyDescent="0.25">
      <c r="A442" t="str">
        <f>INDEX('Pipe Table'!$E$2:$E$10,MATCH(INDEX('TE_OA_20200805_INTRDY_2020-08-0'!$T$2:$T$870,MATCH(Filter!B442,'TE_OA_20200805_INTRDY_2020-08-0'!$G$2:$G$870,0)),'Pipe Table'!$D$2:$D$10,0))</f>
        <v>TETCO</v>
      </c>
      <c r="B442">
        <v>73241</v>
      </c>
      <c r="C442" t="str">
        <f>INDEX('TE_OA_20200805_INTRDY_2020-08-0'!$J$2:$J$870,MATCH(Filter!B442,'TE_OA_20200805_INTRDY_2020-08-0'!$G$2:$G$870))</f>
        <v>Receipt</v>
      </c>
      <c r="D442" t="str">
        <f>INDEX('Pipe Table'!$B$2:$B$14,MATCH(INDEX(TeAllPoints!$I$2:$I$957,MATCH(Filter!B442,TeAllPoints!$B$2:$B$957,0)),'Pipe Table'!$A$2:$A$14,0))</f>
        <v>Wellhead</v>
      </c>
      <c r="E442" t="str">
        <f>INDEX('TE_OA_20200805_INTRDY_2020-08-0'!$H$2:$H$870,MATCH(Filter!B442,'TE_OA_20200805_INTRDY_2020-08-0'!$G$2:$G$870))</f>
        <v>TransCoastal Corp. - Dillard #1 /  Shelby Co., TX</v>
      </c>
      <c r="F442" t="str">
        <f>INDEX('Pipe Table'!$H$2:$H$8,MATCH('TE_OA_20200805_INTRDY_2020-08-0'!I423,'Pipe Table'!$G$2:$G$8,0))</f>
        <v>TETCO-ETX</v>
      </c>
      <c r="G442" t="str">
        <f>INDEX(TeAllPoints!$D$2:$D$957,MATCH(Filter!B442,TeAllPoints!$B$2:$B$957,0))</f>
        <v>TX</v>
      </c>
      <c r="H442" t="str">
        <f>INDEX(TeAllPoints!$E$2:$E$957,MATCH(Filter!B442,TeAllPoints!$B$2:$B$957,0))</f>
        <v>SHELBY</v>
      </c>
      <c r="I442">
        <f>INDEX('TE_OA_20200805_INTRDY_2020-08-0'!$Q$2:$Q$870,MATCH(Filter!B442,'TE_OA_20200805_INTRDY_2020-08-0'!$G$2:$G$870))</f>
        <v>16114</v>
      </c>
      <c r="J442">
        <f>INDEX('TE_OA_20200805_INTRDY_2020-08-0'!$R$2:$R$870,MATCH(Filter!B442,'TE_OA_20200805_INTRDY_2020-08-0'!$G$2:$G$870))</f>
        <v>1</v>
      </c>
    </row>
    <row r="443" spans="1:10" x14ac:dyDescent="0.25">
      <c r="A443" t="str">
        <f>INDEX('Pipe Table'!$E$2:$E$10,MATCH(INDEX('TE_OA_20200805_INTRDY_2020-08-0'!$T$2:$T$870,MATCH(Filter!B443,'TE_OA_20200805_INTRDY_2020-08-0'!$G$2:$G$870,0)),'Pipe Table'!$D$2:$D$10,0))</f>
        <v>TETCO</v>
      </c>
      <c r="B443">
        <v>73242</v>
      </c>
      <c r="C443" t="str">
        <f>INDEX('TE_OA_20200805_INTRDY_2020-08-0'!$J$2:$J$870,MATCH(Filter!B443,'TE_OA_20200805_INTRDY_2020-08-0'!$G$2:$G$870))</f>
        <v>Receipt</v>
      </c>
      <c r="D443" t="str">
        <f>INDEX('Pipe Table'!$B$2:$B$14,MATCH(INDEX(TeAllPoints!$I$2:$I$957,MATCH(Filter!B443,TeAllPoints!$B$2:$B$957,0)),'Pipe Table'!$A$2:$A$14,0))</f>
        <v>Wellhead</v>
      </c>
      <c r="E443" t="str">
        <f>INDEX('TE_OA_20200805_INTRDY_2020-08-0'!$H$2:$H$870,MATCH(Filter!B443,'TE_OA_20200805_INTRDY_2020-08-0'!$G$2:$G$870))</f>
        <v>Coastal Oil &amp; Gas - Pawlik #1, Live Oak Co., Tx</v>
      </c>
      <c r="F443" t="str">
        <f>INDEX('Pipe Table'!$H$2:$H$8,MATCH('TE_OA_20200805_INTRDY_2020-08-0'!I424,'Pipe Table'!$G$2:$G$8,0))</f>
        <v>TETCO-STX</v>
      </c>
      <c r="G443" t="str">
        <f>INDEX(TeAllPoints!$D$2:$D$957,MATCH(Filter!B443,TeAllPoints!$B$2:$B$957,0))</f>
        <v>TX</v>
      </c>
      <c r="H443" t="str">
        <f>INDEX(TeAllPoints!$E$2:$E$957,MATCH(Filter!B443,TeAllPoints!$B$2:$B$957,0))</f>
        <v>LIVE OAK</v>
      </c>
      <c r="I443">
        <f>INDEX('TE_OA_20200805_INTRDY_2020-08-0'!$Q$2:$Q$870,MATCH(Filter!B443,'TE_OA_20200805_INTRDY_2020-08-0'!$G$2:$G$870))</f>
        <v>16112</v>
      </c>
      <c r="J443">
        <f>INDEX('TE_OA_20200805_INTRDY_2020-08-0'!$R$2:$R$870,MATCH(Filter!B443,'TE_OA_20200805_INTRDY_2020-08-0'!$G$2:$G$870))</f>
        <v>12</v>
      </c>
    </row>
    <row r="444" spans="1:10" x14ac:dyDescent="0.25">
      <c r="A444" t="str">
        <f>INDEX('Pipe Table'!$E$2:$E$10,MATCH(INDEX('TE_OA_20200805_INTRDY_2020-08-0'!$T$2:$T$870,MATCH(Filter!B444,'TE_OA_20200805_INTRDY_2020-08-0'!$G$2:$G$870,0)),'Pipe Table'!$D$2:$D$10,0))</f>
        <v>TETCO</v>
      </c>
      <c r="B444">
        <v>73244</v>
      </c>
      <c r="C444" t="str">
        <f>INDEX('TE_OA_20200805_INTRDY_2020-08-0'!$J$2:$J$870,MATCH(Filter!B444,'TE_OA_20200805_INTRDY_2020-08-0'!$G$2:$G$870))</f>
        <v>Receipt</v>
      </c>
      <c r="D444" t="str">
        <f>INDEX('Pipe Table'!$B$2:$B$14,MATCH(INDEX(TeAllPoints!$I$2:$I$957,MATCH(Filter!B444,TeAllPoints!$B$2:$B$957,0)),'Pipe Table'!$A$2:$A$14,0))</f>
        <v>Wellhead</v>
      </c>
      <c r="E444" t="str">
        <f>INDEX('TE_OA_20200805_INTRDY_2020-08-0'!$H$2:$H$870,MATCH(Filter!B444,'TE_OA_20200805_INTRDY_2020-08-0'!$G$2:$G$870))</f>
        <v>Winn Exploration/Kerlick #1 - Dewitt County, TX (REC)</v>
      </c>
      <c r="F444" t="str">
        <f>INDEX('Pipe Table'!$H$2:$H$8,MATCH('TE_OA_20200805_INTRDY_2020-08-0'!I425,'Pipe Table'!$G$2:$G$8,0))</f>
        <v>TETCO-STX</v>
      </c>
      <c r="G444" t="str">
        <f>INDEX(TeAllPoints!$D$2:$D$957,MATCH(Filter!B444,TeAllPoints!$B$2:$B$957,0))</f>
        <v>TX</v>
      </c>
      <c r="H444" t="str">
        <f>INDEX(TeAllPoints!$E$2:$E$957,MATCH(Filter!B444,TeAllPoints!$B$2:$B$957,0))</f>
        <v>DE WITT</v>
      </c>
      <c r="I444">
        <f>INDEX('TE_OA_20200805_INTRDY_2020-08-0'!$Q$2:$Q$870,MATCH(Filter!B444,'TE_OA_20200805_INTRDY_2020-08-0'!$G$2:$G$870))</f>
        <v>9003</v>
      </c>
      <c r="J444">
        <f>INDEX('TE_OA_20200805_INTRDY_2020-08-0'!$R$2:$R$870,MATCH(Filter!B444,'TE_OA_20200805_INTRDY_2020-08-0'!$G$2:$G$870))</f>
        <v>0</v>
      </c>
    </row>
    <row r="445" spans="1:10" x14ac:dyDescent="0.25">
      <c r="A445" t="str">
        <f>INDEX('Pipe Table'!$E$2:$E$10,MATCH(INDEX('TE_OA_20200805_INTRDY_2020-08-0'!$T$2:$T$870,MATCH(Filter!B445,'TE_OA_20200805_INTRDY_2020-08-0'!$G$2:$G$870,0)),'Pipe Table'!$D$2:$D$10,0))</f>
        <v>TETCO</v>
      </c>
      <c r="B445">
        <v>73247</v>
      </c>
      <c r="C445" t="str">
        <f>INDEX('TE_OA_20200805_INTRDY_2020-08-0'!$J$2:$J$870,MATCH(Filter!B445,'TE_OA_20200805_INTRDY_2020-08-0'!$G$2:$G$870))</f>
        <v>Delivery</v>
      </c>
      <c r="D445" t="str">
        <f>INDEX('Pipe Table'!$B$2:$B$14,MATCH(INDEX(TeAllPoints!$I$2:$I$957,MATCH(Filter!B445,TeAllPoints!$B$2:$B$957,0)),'Pipe Table'!$A$2:$A$14,0))</f>
        <v>LDC</v>
      </c>
      <c r="E445" t="str">
        <f>INDEX('TE_OA_20200805_INTRDY_2020-08-0'!$H$2:$H$870,MATCH(Filter!B445,'TE_OA_20200805_INTRDY_2020-08-0'!$G$2:$G$870))</f>
        <v>COLUMBIA UTILITIES - ADAIR CO., KY</v>
      </c>
      <c r="F445" t="str">
        <f>INDEX('Pipe Table'!$H$2:$H$8,MATCH('TE_OA_20200805_INTRDY_2020-08-0'!I426,'Pipe Table'!$G$2:$G$8,0))</f>
        <v>TETCO-M2</v>
      </c>
      <c r="G445" t="str">
        <f>INDEX(TeAllPoints!$D$2:$D$957,MATCH(Filter!B445,TeAllPoints!$B$2:$B$957,0))</f>
        <v>KY</v>
      </c>
      <c r="H445" t="str">
        <f>INDEX(TeAllPoints!$E$2:$E$957,MATCH(Filter!B445,TeAllPoints!$B$2:$B$957,0))</f>
        <v>ADAIR</v>
      </c>
      <c r="I445">
        <f>INDEX('TE_OA_20200805_INTRDY_2020-08-0'!$Q$2:$Q$870,MATCH(Filter!B445,'TE_OA_20200805_INTRDY_2020-08-0'!$G$2:$G$870))</f>
        <v>2280</v>
      </c>
      <c r="J445">
        <f>INDEX('TE_OA_20200805_INTRDY_2020-08-0'!$R$2:$R$870,MATCH(Filter!B445,'TE_OA_20200805_INTRDY_2020-08-0'!$G$2:$G$870))</f>
        <v>1</v>
      </c>
    </row>
    <row r="446" spans="1:10" x14ac:dyDescent="0.25">
      <c r="A446" t="str">
        <f>INDEX('Pipe Table'!$E$2:$E$10,MATCH(INDEX('TE_OA_20200805_INTRDY_2020-08-0'!$T$2:$T$870,MATCH(Filter!B446,'TE_OA_20200805_INTRDY_2020-08-0'!$G$2:$G$870,0)),'Pipe Table'!$D$2:$D$10,0))</f>
        <v>TETCO</v>
      </c>
      <c r="B446">
        <v>73249</v>
      </c>
      <c r="C446" t="str">
        <f>INDEX('TE_OA_20200805_INTRDY_2020-08-0'!$J$2:$J$870,MATCH(Filter!B446,'TE_OA_20200805_INTRDY_2020-08-0'!$G$2:$G$870))</f>
        <v>Delivery</v>
      </c>
      <c r="D446" t="str">
        <f>INDEX('Pipe Table'!$B$2:$B$14,MATCH(INDEX(TeAllPoints!$I$2:$I$957,MATCH(Filter!B446,TeAllPoints!$B$2:$B$957,0)),'Pipe Table'!$A$2:$A$14,0))</f>
        <v>EndUsr</v>
      </c>
      <c r="E446" t="str">
        <f>INDEX('TE_OA_20200805_INTRDY_2020-08-0'!$H$2:$H$870,MATCH(Filter!B446,'TE_OA_20200805_INTRDY_2020-08-0'!$G$2:$G$870))</f>
        <v>Entergy - Lewis Creek / Montgomery County, TX</v>
      </c>
      <c r="F446" t="str">
        <f>INDEX('Pipe Table'!$H$2:$H$8,MATCH('TE_OA_20200805_INTRDY_2020-08-0'!I427,'Pipe Table'!$G$2:$G$8,0))</f>
        <v>TETCO-STX</v>
      </c>
      <c r="G446" t="str">
        <f>INDEX(TeAllPoints!$D$2:$D$957,MATCH(Filter!B446,TeAllPoints!$B$2:$B$957,0))</f>
        <v>TX</v>
      </c>
      <c r="H446" t="str">
        <f>INDEX(TeAllPoints!$E$2:$E$957,MATCH(Filter!B446,TeAllPoints!$B$2:$B$957,0))</f>
        <v>MONTGOMERY</v>
      </c>
      <c r="I446">
        <f>INDEX('TE_OA_20200805_INTRDY_2020-08-0'!$Q$2:$Q$870,MATCH(Filter!B446,'TE_OA_20200805_INTRDY_2020-08-0'!$G$2:$G$870))</f>
        <v>310401</v>
      </c>
      <c r="J446">
        <f>INDEX('TE_OA_20200805_INTRDY_2020-08-0'!$R$2:$R$870,MATCH(Filter!B446,'TE_OA_20200805_INTRDY_2020-08-0'!$G$2:$G$870))</f>
        <v>80000</v>
      </c>
    </row>
    <row r="447" spans="1:10" x14ac:dyDescent="0.25">
      <c r="A447" t="str">
        <f>INDEX('Pipe Table'!$E$2:$E$10,MATCH(INDEX('TE_OA_20200805_INTRDY_2020-08-0'!$T$2:$T$870,MATCH(Filter!B447,'TE_OA_20200805_INTRDY_2020-08-0'!$G$2:$G$870,0)),'Pipe Table'!$D$2:$D$10,0))</f>
        <v>TETCO</v>
      </c>
      <c r="B447">
        <v>73251</v>
      </c>
      <c r="C447" t="str">
        <f>INDEX('TE_OA_20200805_INTRDY_2020-08-0'!$J$2:$J$870,MATCH(Filter!B447,'TE_OA_20200805_INTRDY_2020-08-0'!$G$2:$G$870))</f>
        <v>Delivery</v>
      </c>
      <c r="D447" t="str">
        <f>INDEX('Pipe Table'!$B$2:$B$14,MATCH(INDEX(TeAllPoints!$I$2:$I$957,MATCH(Filter!B447,TeAllPoints!$B$2:$B$957,0)),'Pipe Table'!$A$2:$A$14,0))</f>
        <v>EndUsr</v>
      </c>
      <c r="E447" t="str">
        <f>INDEX('TE_OA_20200805_INTRDY_2020-08-0'!$H$2:$H$870,MATCH(Filter!B447,'TE_OA_20200805_INTRDY_2020-08-0'!$G$2:$G$870))</f>
        <v>Attala Generating Company  LLC (DEL)</v>
      </c>
      <c r="F447" t="str">
        <f>INDEX('Pipe Table'!$H$2:$H$8,MATCH('TE_OA_20200805_INTRDY_2020-08-0'!I428,'Pipe Table'!$G$2:$G$8,0))</f>
        <v>TETCO-ELA</v>
      </c>
      <c r="G447" t="str">
        <f>INDEX(TeAllPoints!$D$2:$D$957,MATCH(Filter!B447,TeAllPoints!$B$2:$B$957,0))</f>
        <v>MS</v>
      </c>
      <c r="H447" t="str">
        <f>INDEX(TeAllPoints!$E$2:$E$957,MATCH(Filter!B447,TeAllPoints!$B$2:$B$957,0))</f>
        <v>ATTALA</v>
      </c>
      <c r="I447">
        <f>INDEX('TE_OA_20200805_INTRDY_2020-08-0'!$Q$2:$Q$870,MATCH(Filter!B447,'TE_OA_20200805_INTRDY_2020-08-0'!$G$2:$G$870))</f>
        <v>114764</v>
      </c>
      <c r="J447">
        <f>INDEX('TE_OA_20200805_INTRDY_2020-08-0'!$R$2:$R$870,MATCH(Filter!B447,'TE_OA_20200805_INTRDY_2020-08-0'!$G$2:$G$870))</f>
        <v>76326</v>
      </c>
    </row>
    <row r="448" spans="1:10" x14ac:dyDescent="0.25">
      <c r="A448" t="str">
        <f>INDEX('Pipe Table'!$E$2:$E$10,MATCH(INDEX('TE_OA_20200805_INTRDY_2020-08-0'!$T$2:$T$870,MATCH(Filter!B448,'TE_OA_20200805_INTRDY_2020-08-0'!$G$2:$G$870,0)),'Pipe Table'!$D$2:$D$10,0))</f>
        <v>TETCO</v>
      </c>
      <c r="B448">
        <v>73252</v>
      </c>
      <c r="C448" t="str">
        <f>INDEX('TE_OA_20200805_INTRDY_2020-08-0'!$J$2:$J$870,MATCH(Filter!B448,'TE_OA_20200805_INTRDY_2020-08-0'!$G$2:$G$870))</f>
        <v>Delivery</v>
      </c>
      <c r="D448" t="str">
        <f>INDEX('Pipe Table'!$B$2:$B$14,MATCH(INDEX(TeAllPoints!$I$2:$I$957,MATCH(Filter!B448,TeAllPoints!$B$2:$B$957,0)),'Pipe Table'!$A$2:$A$14,0))</f>
        <v>EndUsr</v>
      </c>
      <c r="E448" t="str">
        <f>INDEX('TE_OA_20200805_INTRDY_2020-08-0'!$H$2:$H$870,MATCH(Filter!B448,'TE_OA_20200805_INTRDY_2020-08-0'!$G$2:$G$870))</f>
        <v>Hinds Power Plant</v>
      </c>
      <c r="F448" t="str">
        <f>INDEX('Pipe Table'!$H$2:$H$8,MATCH('TE_OA_20200805_INTRDY_2020-08-0'!I429,'Pipe Table'!$G$2:$G$8,0))</f>
        <v>TETCO-ELA</v>
      </c>
      <c r="G448" t="str">
        <f>INDEX(TeAllPoints!$D$2:$D$957,MATCH(Filter!B448,TeAllPoints!$B$2:$B$957,0))</f>
        <v>MS</v>
      </c>
      <c r="H448" t="str">
        <f>INDEX(TeAllPoints!$E$2:$E$957,MATCH(Filter!B448,TeAllPoints!$B$2:$B$957,0))</f>
        <v>HINDS</v>
      </c>
      <c r="I448">
        <f>INDEX('TE_OA_20200805_INTRDY_2020-08-0'!$Q$2:$Q$870,MATCH(Filter!B448,'TE_OA_20200805_INTRDY_2020-08-0'!$G$2:$G$870))</f>
        <v>168953</v>
      </c>
      <c r="J448">
        <f>INDEX('TE_OA_20200805_INTRDY_2020-08-0'!$R$2:$R$870,MATCH(Filter!B448,'TE_OA_20200805_INTRDY_2020-08-0'!$G$2:$G$870))</f>
        <v>73014</v>
      </c>
    </row>
    <row r="449" spans="1:10" x14ac:dyDescent="0.25">
      <c r="A449" t="str">
        <f>INDEX('Pipe Table'!$E$2:$E$10,MATCH(INDEX('TE_OA_20200805_INTRDY_2020-08-0'!$T$2:$T$870,MATCH(Filter!B449,'TE_OA_20200805_INTRDY_2020-08-0'!$G$2:$G$870,0)),'Pipe Table'!$D$2:$D$10,0))</f>
        <v>TETCO</v>
      </c>
      <c r="B449">
        <v>73253</v>
      </c>
      <c r="C449" t="str">
        <f>INDEX('TE_OA_20200805_INTRDY_2020-08-0'!$J$2:$J$870,MATCH(Filter!B449,'TE_OA_20200805_INTRDY_2020-08-0'!$G$2:$G$870))</f>
        <v>Receipt</v>
      </c>
      <c r="D449" t="str">
        <f>INDEX('Pipe Table'!$B$2:$B$14,MATCH(INDEX(TeAllPoints!$I$2:$I$957,MATCH(Filter!B449,TeAllPoints!$B$2:$B$957,0)),'Pipe Table'!$A$2:$A$14,0))</f>
        <v>Wellhead</v>
      </c>
      <c r="E449" t="str">
        <f>INDEX('TE_OA_20200805_INTRDY_2020-08-0'!$H$2:$H$870,MATCH(Filter!B449,'TE_OA_20200805_INTRDY_2020-08-0'!$G$2:$G$870))</f>
        <v>ETC Texas Pipeline, LTD-Henderson #1 / Nacogdoches Co., TX (REC)</v>
      </c>
      <c r="F449" t="str">
        <f>INDEX('Pipe Table'!$H$2:$H$8,MATCH('TE_OA_20200805_INTRDY_2020-08-0'!I430,'Pipe Table'!$G$2:$G$8,0))</f>
        <v>TETCO-ETX</v>
      </c>
      <c r="G449" t="str">
        <f>INDEX(TeAllPoints!$D$2:$D$957,MATCH(Filter!B449,TeAllPoints!$B$2:$B$957,0))</f>
        <v>TX</v>
      </c>
      <c r="H449" t="str">
        <f>INDEX(TeAllPoints!$E$2:$E$957,MATCH(Filter!B449,TeAllPoints!$B$2:$B$957,0))</f>
        <v>NACOGDOCHES</v>
      </c>
      <c r="I449">
        <f>INDEX('TE_OA_20200805_INTRDY_2020-08-0'!$Q$2:$Q$870,MATCH(Filter!B449,'TE_OA_20200805_INTRDY_2020-08-0'!$G$2:$G$870))</f>
        <v>9733</v>
      </c>
      <c r="J449">
        <f>INDEX('TE_OA_20200805_INTRDY_2020-08-0'!$R$2:$R$870,MATCH(Filter!B449,'TE_OA_20200805_INTRDY_2020-08-0'!$G$2:$G$870))</f>
        <v>1031</v>
      </c>
    </row>
    <row r="450" spans="1:10" x14ac:dyDescent="0.25">
      <c r="A450" t="str">
        <f>INDEX('Pipe Table'!$E$2:$E$10,MATCH(INDEX('TE_OA_20200805_INTRDY_2020-08-0'!$T$2:$T$870,MATCH(Filter!B450,'TE_OA_20200805_INTRDY_2020-08-0'!$G$2:$G$870,0)),'Pipe Table'!$D$2:$D$10,0))</f>
        <v>TETCO</v>
      </c>
      <c r="B450">
        <v>73255</v>
      </c>
      <c r="C450" t="str">
        <f>INDEX('TE_OA_20200805_INTRDY_2020-08-0'!$J$2:$J$870,MATCH(Filter!B450,'TE_OA_20200805_INTRDY_2020-08-0'!$G$2:$G$870))</f>
        <v>Delivery</v>
      </c>
      <c r="D450" t="str">
        <f>INDEX('Pipe Table'!$B$2:$B$14,MATCH(INDEX(TeAllPoints!$I$2:$I$957,MATCH(Filter!B450,TeAllPoints!$B$2:$B$957,0)),'Pipe Table'!$A$2:$A$14,0))</f>
        <v>Intrcnnct</v>
      </c>
      <c r="E450" t="str">
        <f>INDEX('TE_OA_20200805_INTRDY_2020-08-0'!$H$2:$H$870,MATCH(Filter!B450,'TE_OA_20200805_INTRDY_2020-08-0'!$G$2:$G$870))</f>
        <v>High Point Gas Gathering, L.P.-Iberville Parish, LA</v>
      </c>
      <c r="F450" t="str">
        <f>INDEX('Pipe Table'!$H$2:$H$8,MATCH('TE_OA_20200805_INTRDY_2020-08-0'!I431,'Pipe Table'!$G$2:$G$8,0))</f>
        <v>TETCO-ELA</v>
      </c>
      <c r="G450" t="str">
        <f>INDEX(TeAllPoints!$D$2:$D$957,MATCH(Filter!B450,TeAllPoints!$B$2:$B$957,0))</f>
        <v>LA</v>
      </c>
      <c r="H450" t="str">
        <f>INDEX(TeAllPoints!$E$2:$E$957,MATCH(Filter!B450,TeAllPoints!$B$2:$B$957,0))</f>
        <v>IBERVILLE</v>
      </c>
      <c r="I450">
        <f>INDEX('TE_OA_20200805_INTRDY_2020-08-0'!$Q$2:$Q$870,MATCH(Filter!B450,'TE_OA_20200805_INTRDY_2020-08-0'!$G$2:$G$870))</f>
        <v>31084</v>
      </c>
      <c r="J450">
        <f>INDEX('TE_OA_20200805_INTRDY_2020-08-0'!$R$2:$R$870,MATCH(Filter!B450,'TE_OA_20200805_INTRDY_2020-08-0'!$G$2:$G$870))</f>
        <v>0</v>
      </c>
    </row>
    <row r="451" spans="1:10" x14ac:dyDescent="0.25">
      <c r="A451" t="str">
        <f>INDEX('Pipe Table'!$E$2:$E$10,MATCH(INDEX('TE_OA_20200805_INTRDY_2020-08-0'!$T$2:$T$870,MATCH(Filter!B451,'TE_OA_20200805_INTRDY_2020-08-0'!$G$2:$G$870,0)),'Pipe Table'!$D$2:$D$10,0))</f>
        <v>TETCO</v>
      </c>
      <c r="B451">
        <v>73256</v>
      </c>
      <c r="C451" t="str">
        <f>INDEX('TE_OA_20200805_INTRDY_2020-08-0'!$J$2:$J$870,MATCH(Filter!B451,'TE_OA_20200805_INTRDY_2020-08-0'!$G$2:$G$870))</f>
        <v>Receipt</v>
      </c>
      <c r="D451" t="str">
        <f>INDEX('Pipe Table'!$B$2:$B$14,MATCH(INDEX(TeAllPoints!$I$2:$I$957,MATCH(Filter!B451,TeAllPoints!$B$2:$B$957,0)),'Pipe Table'!$A$2:$A$14,0))</f>
        <v>Wellhead</v>
      </c>
      <c r="E451" t="str">
        <f>INDEX('TE_OA_20200805_INTRDY_2020-08-0'!$H$2:$H$870,MATCH(Filter!B451,'TE_OA_20200805_INTRDY_2020-08-0'!$G$2:$G$870))</f>
        <v>FINA - LOVE HILL GATHERING - OKTIBBEHA CO., MS</v>
      </c>
      <c r="F451" t="str">
        <f>INDEX('Pipe Table'!$H$2:$H$8,MATCH('TE_OA_20200805_INTRDY_2020-08-0'!I432,'Pipe Table'!$G$2:$G$8,0))</f>
        <v>TETCO-M1</v>
      </c>
      <c r="G451" t="str">
        <f>INDEX(TeAllPoints!$D$2:$D$957,MATCH(Filter!B451,TeAllPoints!$B$2:$B$957,0))</f>
        <v>MS</v>
      </c>
      <c r="H451" t="str">
        <f>INDEX(TeAllPoints!$E$2:$E$957,MATCH(Filter!B451,TeAllPoints!$B$2:$B$957,0))</f>
        <v>OKTIBBEHA</v>
      </c>
      <c r="I451">
        <f>INDEX('TE_OA_20200805_INTRDY_2020-08-0'!$Q$2:$Q$870,MATCH(Filter!B451,'TE_OA_20200805_INTRDY_2020-08-0'!$G$2:$G$870))</f>
        <v>34893</v>
      </c>
      <c r="J451">
        <f>INDEX('TE_OA_20200805_INTRDY_2020-08-0'!$R$2:$R$870,MATCH(Filter!B451,'TE_OA_20200805_INTRDY_2020-08-0'!$G$2:$G$870))</f>
        <v>7500</v>
      </c>
    </row>
    <row r="452" spans="1:10" x14ac:dyDescent="0.25">
      <c r="A452" t="str">
        <f>INDEX('Pipe Table'!$E$2:$E$10,MATCH(INDEX('TE_OA_20200805_INTRDY_2020-08-0'!$T$2:$T$870,MATCH(Filter!B452,'TE_OA_20200805_INTRDY_2020-08-0'!$G$2:$G$870,0)),'Pipe Table'!$D$2:$D$10,0))</f>
        <v>TETCO</v>
      </c>
      <c r="B452">
        <v>73257</v>
      </c>
      <c r="C452" t="str">
        <f>INDEX('TE_OA_20200805_INTRDY_2020-08-0'!$J$2:$J$870,MATCH(Filter!B452,'TE_OA_20200805_INTRDY_2020-08-0'!$G$2:$G$870))</f>
        <v>Delivery</v>
      </c>
      <c r="D452" t="str">
        <f>INDEX('Pipe Table'!$B$2:$B$14,MATCH(INDEX(TeAllPoints!$I$2:$I$957,MATCH(Filter!B452,TeAllPoints!$B$2:$B$957,0)),'Pipe Table'!$A$2:$A$14,0))</f>
        <v>LDC</v>
      </c>
      <c r="E452" t="str">
        <f>INDEX('TE_OA_20200805_INTRDY_2020-08-0'!$H$2:$H$870,MATCH(Filter!B452,'TE_OA_20200805_INTRDY_2020-08-0'!$G$2:$G$870))</f>
        <v>Knox Energy Cooperative Association, Inc.</v>
      </c>
      <c r="F452" t="str">
        <f>INDEX('Pipe Table'!$H$2:$H$8,MATCH('TE_OA_20200805_INTRDY_2020-08-0'!I433,'Pipe Table'!$G$2:$G$8,0))</f>
        <v>TETCO-M2</v>
      </c>
      <c r="G452" t="str">
        <f>INDEX(TeAllPoints!$D$2:$D$957,MATCH(Filter!B452,TeAllPoints!$B$2:$B$957,0))</f>
        <v>OH</v>
      </c>
      <c r="H452" t="str">
        <f>INDEX(TeAllPoints!$E$2:$E$957,MATCH(Filter!B452,TeAllPoints!$B$2:$B$957,0))</f>
        <v>PREBLE</v>
      </c>
      <c r="I452">
        <f>INDEX('TE_OA_20200805_INTRDY_2020-08-0'!$Q$2:$Q$870,MATCH(Filter!B452,'TE_OA_20200805_INTRDY_2020-08-0'!$G$2:$G$870))</f>
        <v>16241</v>
      </c>
      <c r="J452">
        <f>INDEX('TE_OA_20200805_INTRDY_2020-08-0'!$R$2:$R$870,MATCH(Filter!B452,'TE_OA_20200805_INTRDY_2020-08-0'!$G$2:$G$870))</f>
        <v>0</v>
      </c>
    </row>
    <row r="453" spans="1:10" x14ac:dyDescent="0.25">
      <c r="A453" t="str">
        <f>INDEX('Pipe Table'!$E$2:$E$10,MATCH(INDEX('TE_OA_20200805_INTRDY_2020-08-0'!$T$2:$T$870,MATCH(Filter!B453,'TE_OA_20200805_INTRDY_2020-08-0'!$G$2:$G$870,0)),'Pipe Table'!$D$2:$D$10,0))</f>
        <v>TETCO</v>
      </c>
      <c r="B453">
        <v>73269</v>
      </c>
      <c r="C453" t="str">
        <f>INDEX('TE_OA_20200805_INTRDY_2020-08-0'!$J$2:$J$870,MATCH(Filter!B453,'TE_OA_20200805_INTRDY_2020-08-0'!$G$2:$G$870))</f>
        <v>Delivery</v>
      </c>
      <c r="D453" t="str">
        <f>INDEX('Pipe Table'!$B$2:$B$14,MATCH(INDEX(TeAllPoints!$I$2:$I$957,MATCH(Filter!B453,TeAllPoints!$B$2:$B$957,0)),'Pipe Table'!$A$2:$A$14,0))</f>
        <v>LDC</v>
      </c>
      <c r="E453" t="str">
        <f>INDEX('TE_OA_20200805_INTRDY_2020-08-0'!$H$2:$H$870,MATCH(Filter!B453,'TE_OA_20200805_INTRDY_2020-08-0'!$G$2:$G$870))</f>
        <v>Farmersville-Derby Delivery - (73269)</v>
      </c>
      <c r="F453" t="str">
        <f>INDEX('Pipe Table'!$H$2:$H$8,MATCH('TE_OA_20200805_INTRDY_2020-08-0'!I434,'Pipe Table'!$G$2:$G$8,0))</f>
        <v>TETCO-M2</v>
      </c>
      <c r="G453" t="str">
        <f>INDEX(TeAllPoints!$D$2:$D$957,MATCH(Filter!B453,TeAllPoints!$B$2:$B$957,0))</f>
        <v>OH</v>
      </c>
      <c r="H453" t="str">
        <f>INDEX(TeAllPoints!$E$2:$E$957,MATCH(Filter!B453,TeAllPoints!$B$2:$B$957,0))</f>
        <v>MONTGOMERY</v>
      </c>
      <c r="I453">
        <f>INDEX('TE_OA_20200805_INTRDY_2020-08-0'!$Q$2:$Q$870,MATCH(Filter!B453,'TE_OA_20200805_INTRDY_2020-08-0'!$G$2:$G$870))</f>
        <v>245762</v>
      </c>
      <c r="J453">
        <f>INDEX('TE_OA_20200805_INTRDY_2020-08-0'!$R$2:$R$870,MATCH(Filter!B453,'TE_OA_20200805_INTRDY_2020-08-0'!$G$2:$G$870))</f>
        <v>177</v>
      </c>
    </row>
    <row r="454" spans="1:10" x14ac:dyDescent="0.25">
      <c r="A454" t="str">
        <f>INDEX('Pipe Table'!$E$2:$E$10,MATCH(INDEX('TE_OA_20200805_INTRDY_2020-08-0'!$T$2:$T$870,MATCH(Filter!B454,'TE_OA_20200805_INTRDY_2020-08-0'!$G$2:$G$870,0)),'Pipe Table'!$D$2:$D$10,0))</f>
        <v>TETCO</v>
      </c>
      <c r="B454">
        <v>73270</v>
      </c>
      <c r="C454" t="str">
        <f>INDEX('TE_OA_20200805_INTRDY_2020-08-0'!$J$2:$J$870,MATCH(Filter!B454,'TE_OA_20200805_INTRDY_2020-08-0'!$G$2:$G$870))</f>
        <v>Delivery</v>
      </c>
      <c r="D454" t="str">
        <f>INDEX('Pipe Table'!$B$2:$B$14,MATCH(INDEX(TeAllPoints!$I$2:$I$957,MATCH(Filter!B454,TeAllPoints!$B$2:$B$957,0)),'Pipe Table'!$A$2:$A$14,0))</f>
        <v>EndUsr</v>
      </c>
      <c r="E454" t="str">
        <f>INDEX('TE_OA_20200805_INTRDY_2020-08-0'!$H$2:$H$870,MATCH(Filter!B454,'TE_OA_20200805_INTRDY_2020-08-0'!$G$2:$G$870))</f>
        <v>Farmersville-Tait - (73270)</v>
      </c>
      <c r="F454" t="str">
        <f>INDEX('Pipe Table'!$H$2:$H$8,MATCH('TE_OA_20200805_INTRDY_2020-08-0'!I435,'Pipe Table'!$G$2:$G$8,0))</f>
        <v>TETCO-M2</v>
      </c>
      <c r="G454" t="str">
        <f>INDEX(TeAllPoints!$D$2:$D$957,MATCH(Filter!B454,TeAllPoints!$B$2:$B$957,0))</f>
        <v>OH</v>
      </c>
      <c r="H454" t="str">
        <f>INDEX(TeAllPoints!$E$2:$E$957,MATCH(Filter!B454,TeAllPoints!$B$2:$B$957,0))</f>
        <v>MONTGOMERY</v>
      </c>
      <c r="I454">
        <f>INDEX('TE_OA_20200805_INTRDY_2020-08-0'!$Q$2:$Q$870,MATCH(Filter!B454,'TE_OA_20200805_INTRDY_2020-08-0'!$G$2:$G$870))</f>
        <v>195767</v>
      </c>
      <c r="J454">
        <f>INDEX('TE_OA_20200805_INTRDY_2020-08-0'!$R$2:$R$870,MATCH(Filter!B454,'TE_OA_20200805_INTRDY_2020-08-0'!$G$2:$G$870))</f>
        <v>0</v>
      </c>
    </row>
    <row r="455" spans="1:10" x14ac:dyDescent="0.25">
      <c r="A455" t="str">
        <f>INDEX('Pipe Table'!$E$2:$E$10,MATCH(INDEX('TE_OA_20200805_INTRDY_2020-08-0'!$T$2:$T$870,MATCH(Filter!B455,'TE_OA_20200805_INTRDY_2020-08-0'!$G$2:$G$870,0)),'Pipe Table'!$D$2:$D$10,0))</f>
        <v>TETCO</v>
      </c>
      <c r="B455">
        <v>73275</v>
      </c>
      <c r="C455" t="str">
        <f>INDEX('TE_OA_20200805_INTRDY_2020-08-0'!$J$2:$J$870,MATCH(Filter!B455,'TE_OA_20200805_INTRDY_2020-08-0'!$G$2:$G$870))</f>
        <v>Receipt</v>
      </c>
      <c r="D455" t="str">
        <f>INDEX('Pipe Table'!$B$2:$B$14,MATCH(INDEX(TeAllPoints!$I$2:$I$957,MATCH(Filter!B455,TeAllPoints!$B$2:$B$957,0)),'Pipe Table'!$A$2:$A$14,0))</f>
        <v>Wellhead</v>
      </c>
      <c r="E455" t="str">
        <f>INDEX('TE_OA_20200805_INTRDY_2020-08-0'!$H$2:$H$870,MATCH(Filter!B455,'TE_OA_20200805_INTRDY_2020-08-0'!$G$2:$G$870))</f>
        <v>Sonerra Resources - Melrose Gathering (Kendrick #1-H) (REC)</v>
      </c>
      <c r="F455" t="str">
        <f>INDEX('Pipe Table'!$H$2:$H$8,MATCH('TE_OA_20200805_INTRDY_2020-08-0'!I436,'Pipe Table'!$G$2:$G$8,0))</f>
        <v>TETCO-ETX</v>
      </c>
      <c r="G455" t="str">
        <f>INDEX(TeAllPoints!$D$2:$D$957,MATCH(Filter!B455,TeAllPoints!$B$2:$B$957,0))</f>
        <v>TX</v>
      </c>
      <c r="H455" t="str">
        <f>INDEX(TeAllPoints!$E$2:$E$957,MATCH(Filter!B455,TeAllPoints!$B$2:$B$957,0))</f>
        <v>NACOGDOCHES</v>
      </c>
      <c r="I455">
        <f>INDEX('TE_OA_20200805_INTRDY_2020-08-0'!$Q$2:$Q$870,MATCH(Filter!B455,'TE_OA_20200805_INTRDY_2020-08-0'!$G$2:$G$870))</f>
        <v>37855</v>
      </c>
      <c r="J455">
        <f>INDEX('TE_OA_20200805_INTRDY_2020-08-0'!$R$2:$R$870,MATCH(Filter!B455,'TE_OA_20200805_INTRDY_2020-08-0'!$G$2:$G$870))</f>
        <v>3118</v>
      </c>
    </row>
    <row r="456" spans="1:10" x14ac:dyDescent="0.25">
      <c r="A456" t="str">
        <f>INDEX('Pipe Table'!$E$2:$E$10,MATCH(INDEX('TE_OA_20200805_INTRDY_2020-08-0'!$T$2:$T$870,MATCH(Filter!B456,'TE_OA_20200805_INTRDY_2020-08-0'!$G$2:$G$870,0)),'Pipe Table'!$D$2:$D$10,0))</f>
        <v>TETCO</v>
      </c>
      <c r="B456">
        <v>73276</v>
      </c>
      <c r="C456" t="str">
        <f>INDEX('TE_OA_20200805_INTRDY_2020-08-0'!$J$2:$J$870,MATCH(Filter!B456,'TE_OA_20200805_INTRDY_2020-08-0'!$G$2:$G$870))</f>
        <v>Receipt</v>
      </c>
      <c r="D456" t="str">
        <f>INDEX('Pipe Table'!$B$2:$B$14,MATCH(INDEX(TeAllPoints!$I$2:$I$957,MATCH(Filter!B456,TeAllPoints!$B$2:$B$957,0)),'Pipe Table'!$A$2:$A$14,0))</f>
        <v>Wellhead</v>
      </c>
      <c r="E456" t="str">
        <f>INDEX('TE_OA_20200805_INTRDY_2020-08-0'!$H$2:$H$870,MATCH(Filter!B456,'TE_OA_20200805_INTRDY_2020-08-0'!$G$2:$G$870))</f>
        <v>Hurd Enterprises - Luker #2, Goliad Co., TX (REC)</v>
      </c>
      <c r="F456" t="str">
        <f>INDEX('Pipe Table'!$H$2:$H$8,MATCH('TE_OA_20200805_INTRDY_2020-08-0'!I437,'Pipe Table'!$G$2:$G$8,0))</f>
        <v>TETCO-STX</v>
      </c>
      <c r="G456" t="str">
        <f>INDEX(TeAllPoints!$D$2:$D$957,MATCH(Filter!B456,TeAllPoints!$B$2:$B$957,0))</f>
        <v>TX</v>
      </c>
      <c r="H456" t="str">
        <f>INDEX(TeAllPoints!$E$2:$E$957,MATCH(Filter!B456,TeAllPoints!$B$2:$B$957,0))</f>
        <v>GOLIAD</v>
      </c>
      <c r="I456">
        <f>INDEX('TE_OA_20200805_INTRDY_2020-08-0'!$Q$2:$Q$870,MATCH(Filter!B456,'TE_OA_20200805_INTRDY_2020-08-0'!$G$2:$G$870))</f>
        <v>9046</v>
      </c>
      <c r="J456">
        <f>INDEX('TE_OA_20200805_INTRDY_2020-08-0'!$R$2:$R$870,MATCH(Filter!B456,'TE_OA_20200805_INTRDY_2020-08-0'!$G$2:$G$870))</f>
        <v>275</v>
      </c>
    </row>
    <row r="457" spans="1:10" x14ac:dyDescent="0.25">
      <c r="A457" t="str">
        <f>INDEX('Pipe Table'!$E$2:$E$10,MATCH(INDEX('TE_OA_20200805_INTRDY_2020-08-0'!$T$2:$T$870,MATCH(Filter!B457,'TE_OA_20200805_INTRDY_2020-08-0'!$G$2:$G$870,0)),'Pipe Table'!$D$2:$D$10,0))</f>
        <v>TETCO</v>
      </c>
      <c r="B457">
        <v>73277</v>
      </c>
      <c r="C457" t="str">
        <f>INDEX('TE_OA_20200805_INTRDY_2020-08-0'!$J$2:$J$870,MATCH(Filter!B457,'TE_OA_20200805_INTRDY_2020-08-0'!$G$2:$G$870))</f>
        <v>Receipt</v>
      </c>
      <c r="D457" t="str">
        <f>INDEX('Pipe Table'!$B$2:$B$14,MATCH(INDEX(TeAllPoints!$I$2:$I$957,MATCH(Filter!B457,TeAllPoints!$B$2:$B$957,0)),'Pipe Table'!$A$2:$A$14,0))</f>
        <v>Wellhead</v>
      </c>
      <c r="E457" t="str">
        <f>INDEX('TE_OA_20200805_INTRDY_2020-08-0'!$H$2:$H$870,MATCH(Filter!B457,'TE_OA_20200805_INTRDY_2020-08-0'!$G$2:$G$870))</f>
        <v>Hurd Enterprises-Appling Farms-Lavaca Co., TX (REC)</v>
      </c>
      <c r="F457" t="str">
        <f>INDEX('Pipe Table'!$H$2:$H$8,MATCH('TE_OA_20200805_INTRDY_2020-08-0'!I438,'Pipe Table'!$G$2:$G$8,0))</f>
        <v>TETCO-STX</v>
      </c>
      <c r="G457" t="str">
        <f>INDEX(TeAllPoints!$D$2:$D$957,MATCH(Filter!B457,TeAllPoints!$B$2:$B$957,0))</f>
        <v>TX</v>
      </c>
      <c r="H457" t="str">
        <f>INDEX(TeAllPoints!$E$2:$E$957,MATCH(Filter!B457,TeAllPoints!$B$2:$B$957,0))</f>
        <v>LAVACA</v>
      </c>
      <c r="I457">
        <f>INDEX('TE_OA_20200805_INTRDY_2020-08-0'!$Q$2:$Q$870,MATCH(Filter!B457,'TE_OA_20200805_INTRDY_2020-08-0'!$G$2:$G$870))</f>
        <v>3750</v>
      </c>
      <c r="J457">
        <f>INDEX('TE_OA_20200805_INTRDY_2020-08-0'!$R$2:$R$870,MATCH(Filter!B457,'TE_OA_20200805_INTRDY_2020-08-0'!$G$2:$G$870))</f>
        <v>0</v>
      </c>
    </row>
    <row r="458" spans="1:10" x14ac:dyDescent="0.25">
      <c r="A458" t="str">
        <f>INDEX('Pipe Table'!$E$2:$E$10,MATCH(INDEX('TE_OA_20200805_INTRDY_2020-08-0'!$T$2:$T$870,MATCH(Filter!B458,'TE_OA_20200805_INTRDY_2020-08-0'!$G$2:$G$870,0)),'Pipe Table'!$D$2:$D$10,0))</f>
        <v>TETCO</v>
      </c>
      <c r="B458">
        <v>73280</v>
      </c>
      <c r="C458" t="str">
        <f>INDEX('TE_OA_20200805_INTRDY_2020-08-0'!$J$2:$J$870,MATCH(Filter!B458,'TE_OA_20200805_INTRDY_2020-08-0'!$G$2:$G$870))</f>
        <v>Delivery</v>
      </c>
      <c r="D458" t="str">
        <f>INDEX('Pipe Table'!$B$2:$B$14,MATCH(INDEX(TeAllPoints!$I$2:$I$957,MATCH(Filter!B458,TeAllPoints!$B$2:$B$957,0)),'Pipe Table'!$A$2:$A$14,0))</f>
        <v>EndUsr</v>
      </c>
      <c r="E458" t="str">
        <f>INDEX('TE_OA_20200805_INTRDY_2020-08-0'!$H$2:$H$870,MATCH(Filter!B458,'TE_OA_20200805_INTRDY_2020-08-0'!$G$2:$G$870))</f>
        <v>Duke Energy Kentucky</v>
      </c>
      <c r="F458" t="str">
        <f>INDEX('Pipe Table'!$H$2:$H$8,MATCH('TE_OA_20200805_INTRDY_2020-08-0'!I439,'Pipe Table'!$G$2:$G$8,0))</f>
        <v>TETCO-M2</v>
      </c>
      <c r="G458" t="str">
        <f>INDEX(TeAllPoints!$D$2:$D$957,MATCH(Filter!B458,TeAllPoints!$B$2:$B$957,0))</f>
        <v>OH</v>
      </c>
      <c r="H458" t="str">
        <f>INDEX(TeAllPoints!$E$2:$E$957,MATCH(Filter!B458,TeAllPoints!$B$2:$B$957,0))</f>
        <v>BUTLER</v>
      </c>
      <c r="I458">
        <f>INDEX('TE_OA_20200805_INTRDY_2020-08-0'!$Q$2:$Q$870,MATCH(Filter!B458,'TE_OA_20200805_INTRDY_2020-08-0'!$G$2:$G$870))</f>
        <v>156993</v>
      </c>
      <c r="J458">
        <f>INDEX('TE_OA_20200805_INTRDY_2020-08-0'!$R$2:$R$870,MATCH(Filter!B458,'TE_OA_20200805_INTRDY_2020-08-0'!$G$2:$G$870))</f>
        <v>0</v>
      </c>
    </row>
    <row r="459" spans="1:10" x14ac:dyDescent="0.25">
      <c r="A459" t="str">
        <f>INDEX('Pipe Table'!$E$2:$E$10,MATCH(INDEX('TE_OA_20200805_INTRDY_2020-08-0'!$T$2:$T$870,MATCH(Filter!B459,'TE_OA_20200805_INTRDY_2020-08-0'!$G$2:$G$870,0)),'Pipe Table'!$D$2:$D$10,0))</f>
        <v>TETCO</v>
      </c>
      <c r="B459">
        <v>73282</v>
      </c>
      <c r="C459" t="str">
        <f>INDEX('TE_OA_20200805_INTRDY_2020-08-0'!$J$2:$J$870,MATCH(Filter!B459,'TE_OA_20200805_INTRDY_2020-08-0'!$G$2:$G$870))</f>
        <v>Receipt</v>
      </c>
      <c r="D459" t="str">
        <f>INDEX('Pipe Table'!$B$2:$B$14,MATCH(INDEX(TeAllPoints!$I$2:$I$957,MATCH(Filter!B459,TeAllPoints!$B$2:$B$957,0)),'Pipe Table'!$A$2:$A$14,0))</f>
        <v>Wellhead</v>
      </c>
      <c r="E459" t="str">
        <f>INDEX('TE_OA_20200805_INTRDY_2020-08-0'!$H$2:$H$870,MATCH(Filter!B459,'TE_OA_20200805_INTRDY_2020-08-0'!$G$2:$G$870))</f>
        <v>Sonerra Resources - Mountain West, Nacog. Co., TX (REC)</v>
      </c>
      <c r="F459" t="str">
        <f>INDEX('Pipe Table'!$H$2:$H$8,MATCH('TE_OA_20200805_INTRDY_2020-08-0'!I440,'Pipe Table'!$G$2:$G$8,0))</f>
        <v>TETCO-ETX</v>
      </c>
      <c r="G459" t="str">
        <f>INDEX(TeAllPoints!$D$2:$D$957,MATCH(Filter!B459,TeAllPoints!$B$2:$B$957,0))</f>
        <v>TX</v>
      </c>
      <c r="H459" t="str">
        <f>INDEX(TeAllPoints!$E$2:$E$957,MATCH(Filter!B459,TeAllPoints!$B$2:$B$957,0))</f>
        <v>NACOGDOCHES</v>
      </c>
      <c r="I459">
        <f>INDEX('TE_OA_20200805_INTRDY_2020-08-0'!$Q$2:$Q$870,MATCH(Filter!B459,'TE_OA_20200805_INTRDY_2020-08-0'!$G$2:$G$870))</f>
        <v>15122</v>
      </c>
      <c r="J459">
        <f>INDEX('TE_OA_20200805_INTRDY_2020-08-0'!$R$2:$R$870,MATCH(Filter!B459,'TE_OA_20200805_INTRDY_2020-08-0'!$G$2:$G$870))</f>
        <v>400</v>
      </c>
    </row>
    <row r="460" spans="1:10" x14ac:dyDescent="0.25">
      <c r="A460" t="str">
        <f>INDEX('Pipe Table'!$E$2:$E$10,MATCH(INDEX('TE_OA_20200805_INTRDY_2020-08-0'!$T$2:$T$870,MATCH(Filter!B460,'TE_OA_20200805_INTRDY_2020-08-0'!$G$2:$G$870,0)),'Pipe Table'!$D$2:$D$10,0))</f>
        <v>TETCO</v>
      </c>
      <c r="B460">
        <v>73283</v>
      </c>
      <c r="C460" t="str">
        <f>INDEX('TE_OA_20200805_INTRDY_2020-08-0'!$J$2:$J$870,MATCH(Filter!B460,'TE_OA_20200805_INTRDY_2020-08-0'!$G$2:$G$870))</f>
        <v>Receipt</v>
      </c>
      <c r="D460" t="str">
        <f>INDEX('Pipe Table'!$B$2:$B$14,MATCH(INDEX(TeAllPoints!$I$2:$I$957,MATCH(Filter!B460,TeAllPoints!$B$2:$B$957,0)),'Pipe Table'!$A$2:$A$14,0))</f>
        <v>Wellhead</v>
      </c>
      <c r="E460" t="str">
        <f>INDEX('TE_OA_20200805_INTRDY_2020-08-0'!$H$2:$H$870,MATCH(Filter!B460,'TE_OA_20200805_INTRDY_2020-08-0'!$G$2:$G$870))</f>
        <v>Union Petroleum, LTD (Line 16LL) - Brazoria Co., TX</v>
      </c>
      <c r="F460" t="str">
        <f>INDEX('Pipe Table'!$H$2:$H$8,MATCH('TE_OA_20200805_INTRDY_2020-08-0'!I441,'Pipe Table'!$G$2:$G$8,0))</f>
        <v>TETCO-STX</v>
      </c>
      <c r="G460" t="str">
        <f>INDEX(TeAllPoints!$D$2:$D$957,MATCH(Filter!B460,TeAllPoints!$B$2:$B$957,0))</f>
        <v>TX</v>
      </c>
      <c r="H460" t="str">
        <f>INDEX(TeAllPoints!$E$2:$E$957,MATCH(Filter!B460,TeAllPoints!$B$2:$B$957,0))</f>
        <v>SAN PATRICIO</v>
      </c>
      <c r="I460">
        <f>INDEX('TE_OA_20200805_INTRDY_2020-08-0'!$Q$2:$Q$870,MATCH(Filter!B460,'TE_OA_20200805_INTRDY_2020-08-0'!$G$2:$G$870))</f>
        <v>36498</v>
      </c>
      <c r="J460">
        <f>INDEX('TE_OA_20200805_INTRDY_2020-08-0'!$R$2:$R$870,MATCH(Filter!B460,'TE_OA_20200805_INTRDY_2020-08-0'!$G$2:$G$870))</f>
        <v>192</v>
      </c>
    </row>
    <row r="461" spans="1:10" x14ac:dyDescent="0.25">
      <c r="A461" t="str">
        <f>INDEX('Pipe Table'!$E$2:$E$10,MATCH(INDEX('TE_OA_20200805_INTRDY_2020-08-0'!$T$2:$T$870,MATCH(Filter!B461,'TE_OA_20200805_INTRDY_2020-08-0'!$G$2:$G$870,0)),'Pipe Table'!$D$2:$D$10,0))</f>
        <v>TETCO</v>
      </c>
      <c r="B461">
        <v>73285</v>
      </c>
      <c r="C461" t="str">
        <f>INDEX('TE_OA_20200805_INTRDY_2020-08-0'!$J$2:$J$870,MATCH(Filter!B461,'TE_OA_20200805_INTRDY_2020-08-0'!$G$2:$G$870))</f>
        <v>Receipt</v>
      </c>
      <c r="D461" t="str">
        <f>INDEX('Pipe Table'!$B$2:$B$14,MATCH(INDEX(TeAllPoints!$I$2:$I$957,MATCH(Filter!B461,TeAllPoints!$B$2:$B$957,0)),'Pipe Table'!$A$2:$A$14,0))</f>
        <v>Intrcnnct</v>
      </c>
      <c r="E461" t="str">
        <f>INDEX('TE_OA_20200805_INTRDY_2020-08-0'!$H$2:$H$870,MATCH(Filter!B461,'TE_OA_20200805_INTRDY_2020-08-0'!$G$2:$G$870))</f>
        <v>Onyx P/L - Nueces Co., Tx (Lat. 16-K)</v>
      </c>
      <c r="F461" t="str">
        <f>INDEX('Pipe Table'!$H$2:$H$8,MATCH('TE_OA_20200805_INTRDY_2020-08-0'!I442,'Pipe Table'!$G$2:$G$8,0))</f>
        <v>TETCO-STX</v>
      </c>
      <c r="G461" t="str">
        <f>INDEX(TeAllPoints!$D$2:$D$957,MATCH(Filter!B461,TeAllPoints!$B$2:$B$957,0))</f>
        <v>TX</v>
      </c>
      <c r="H461" t="str">
        <f>INDEX(TeAllPoints!$E$2:$E$957,MATCH(Filter!B461,TeAllPoints!$B$2:$B$957,0))</f>
        <v>NUECES</v>
      </c>
      <c r="I461">
        <f>INDEX('TE_OA_20200805_INTRDY_2020-08-0'!$Q$2:$Q$870,MATCH(Filter!B461,'TE_OA_20200805_INTRDY_2020-08-0'!$G$2:$G$870))</f>
        <v>9027</v>
      </c>
      <c r="J461">
        <f>INDEX('TE_OA_20200805_INTRDY_2020-08-0'!$R$2:$R$870,MATCH(Filter!B461,'TE_OA_20200805_INTRDY_2020-08-0'!$G$2:$G$870))</f>
        <v>0</v>
      </c>
    </row>
    <row r="462" spans="1:10" x14ac:dyDescent="0.25">
      <c r="A462" t="str">
        <f>INDEX('Pipe Table'!$E$2:$E$10,MATCH(INDEX('TE_OA_20200805_INTRDY_2020-08-0'!$T$2:$T$870,MATCH(Filter!B462,'TE_OA_20200805_INTRDY_2020-08-0'!$G$2:$G$870,0)),'Pipe Table'!$D$2:$D$10,0))</f>
        <v>TETCO</v>
      </c>
      <c r="B462">
        <v>73294</v>
      </c>
      <c r="C462" t="str">
        <f>INDEX('TE_OA_20200805_INTRDY_2020-08-0'!$J$2:$J$870,MATCH(Filter!B462,'TE_OA_20200805_INTRDY_2020-08-0'!$G$2:$G$870))</f>
        <v>Delivery</v>
      </c>
      <c r="D462" t="str">
        <f>INDEX('Pipe Table'!$B$2:$B$14,MATCH(INDEX(TeAllPoints!$I$2:$I$957,MATCH(Filter!B462,TeAllPoints!$B$2:$B$957,0)),'Pipe Table'!$A$2:$A$14,0))</f>
        <v>EndUsr</v>
      </c>
      <c r="E462" t="str">
        <f>INDEX('TE_OA_20200805_INTRDY_2020-08-0'!$H$2:$H$870,MATCH(Filter!B462,'TE_OA_20200805_INTRDY_2020-08-0'!$G$2:$G$870))</f>
        <v>Dynegy- Ontelaunee, PA</v>
      </c>
      <c r="F462" t="str">
        <f>INDEX('Pipe Table'!$H$2:$H$8,MATCH('TE_OA_20200805_INTRDY_2020-08-0'!I443,'Pipe Table'!$G$2:$G$8,0))</f>
        <v>TETCO-M3</v>
      </c>
      <c r="G462" t="str">
        <f>INDEX(TeAllPoints!$D$2:$D$957,MATCH(Filter!B462,TeAllPoints!$B$2:$B$957,0))</f>
        <v>PA</v>
      </c>
      <c r="H462" t="str">
        <f>INDEX(TeAllPoints!$E$2:$E$957,MATCH(Filter!B462,TeAllPoints!$B$2:$B$957,0))</f>
        <v>BERKS</v>
      </c>
      <c r="I462">
        <f>INDEX('TE_OA_20200805_INTRDY_2020-08-0'!$Q$2:$Q$870,MATCH(Filter!B462,'TE_OA_20200805_INTRDY_2020-08-0'!$G$2:$G$870))</f>
        <v>131859</v>
      </c>
      <c r="J462">
        <f>INDEX('TE_OA_20200805_INTRDY_2020-08-0'!$R$2:$R$870,MATCH(Filter!B462,'TE_OA_20200805_INTRDY_2020-08-0'!$G$2:$G$870))</f>
        <v>84200</v>
      </c>
    </row>
    <row r="463" spans="1:10" x14ac:dyDescent="0.25">
      <c r="A463" t="str">
        <f>INDEX('Pipe Table'!$E$2:$E$10,MATCH(INDEX('TE_OA_20200805_INTRDY_2020-08-0'!$T$2:$T$870,MATCH(Filter!B463,'TE_OA_20200805_INTRDY_2020-08-0'!$G$2:$G$870,0)),'Pipe Table'!$D$2:$D$10,0))</f>
        <v>TETCO</v>
      </c>
      <c r="B463">
        <v>73295</v>
      </c>
      <c r="C463" t="str">
        <f>INDEX('TE_OA_20200805_INTRDY_2020-08-0'!$J$2:$J$870,MATCH(Filter!B463,'TE_OA_20200805_INTRDY_2020-08-0'!$G$2:$G$870))</f>
        <v>Receipt</v>
      </c>
      <c r="D463" t="str">
        <f>INDEX('Pipe Table'!$B$2:$B$14,MATCH(INDEX(TeAllPoints!$I$2:$I$957,MATCH(Filter!B463,TeAllPoints!$B$2:$B$957,0)),'Pipe Table'!$A$2:$A$14,0))</f>
        <v>Wellhead</v>
      </c>
      <c r="E463" t="str">
        <f>INDEX('TE_OA_20200805_INTRDY_2020-08-0'!$H$2:$H$870,MATCH(Filter!B463,'TE_OA_20200805_INTRDY_2020-08-0'!$G$2:$G$870))</f>
        <v>HEC PETROLEUM-FULTON FULLER #1, NACOG. CO., TX (REC)</v>
      </c>
      <c r="F463" t="str">
        <f>INDEX('Pipe Table'!$H$2:$H$8,MATCH('TE_OA_20200805_INTRDY_2020-08-0'!I444,'Pipe Table'!$G$2:$G$8,0))</f>
        <v>TETCO-ETX</v>
      </c>
      <c r="G463" t="str">
        <f>INDEX(TeAllPoints!$D$2:$D$957,MATCH(Filter!B463,TeAllPoints!$B$2:$B$957,0))</f>
        <v>TX</v>
      </c>
      <c r="H463" t="str">
        <f>INDEX(TeAllPoints!$E$2:$E$957,MATCH(Filter!B463,TeAllPoints!$B$2:$B$957,0))</f>
        <v>NACOGDOCHES</v>
      </c>
      <c r="I463">
        <f>INDEX('TE_OA_20200805_INTRDY_2020-08-0'!$Q$2:$Q$870,MATCH(Filter!B463,'TE_OA_20200805_INTRDY_2020-08-0'!$G$2:$G$870))</f>
        <v>15122</v>
      </c>
      <c r="J463">
        <f>INDEX('TE_OA_20200805_INTRDY_2020-08-0'!$R$2:$R$870,MATCH(Filter!B463,'TE_OA_20200805_INTRDY_2020-08-0'!$G$2:$G$870))</f>
        <v>200</v>
      </c>
    </row>
    <row r="464" spans="1:10" x14ac:dyDescent="0.25">
      <c r="A464" t="str">
        <f>INDEX('Pipe Table'!$E$2:$E$10,MATCH(INDEX('TE_OA_20200805_INTRDY_2020-08-0'!$T$2:$T$870,MATCH(Filter!B464,'TE_OA_20200805_INTRDY_2020-08-0'!$G$2:$G$870,0)),'Pipe Table'!$D$2:$D$10,0))</f>
        <v>TETCO</v>
      </c>
      <c r="B464">
        <v>73297</v>
      </c>
      <c r="C464" t="str">
        <f>INDEX('TE_OA_20200805_INTRDY_2020-08-0'!$J$2:$J$870,MATCH(Filter!B464,'TE_OA_20200805_INTRDY_2020-08-0'!$G$2:$G$870))</f>
        <v>Delivery</v>
      </c>
      <c r="D464" t="str">
        <f>INDEX('Pipe Table'!$B$2:$B$14,MATCH(INDEX(TeAllPoints!$I$2:$I$957,MATCH(Filter!B464,TeAllPoints!$B$2:$B$957,0)),'Pipe Table'!$A$2:$A$14,0))</f>
        <v>EndUsr</v>
      </c>
      <c r="E464" t="str">
        <f>INDEX('TE_OA_20200805_INTRDY_2020-08-0'!$H$2:$H$870,MATCH(Filter!B464,'TE_OA_20200805_INTRDY_2020-08-0'!$G$2:$G$870))</f>
        <v>Dynegy Washington II, LLC</v>
      </c>
      <c r="F464" t="str">
        <f>INDEX('Pipe Table'!$H$2:$H$8,MATCH('TE_OA_20200805_INTRDY_2020-08-0'!I445,'Pipe Table'!$G$2:$G$8,0))</f>
        <v>TETCO-M2</v>
      </c>
      <c r="G464" t="str">
        <f>INDEX(TeAllPoints!$D$2:$D$957,MATCH(Filter!B464,TeAllPoints!$B$2:$B$957,0))</f>
        <v>OH</v>
      </c>
      <c r="H464" t="str">
        <f>INDEX(TeAllPoints!$E$2:$E$957,MATCH(Filter!B464,TeAllPoints!$B$2:$B$957,0))</f>
        <v>WASHINGTON</v>
      </c>
      <c r="I464">
        <f>INDEX('TE_OA_20200805_INTRDY_2020-08-0'!$Q$2:$Q$870,MATCH(Filter!B464,'TE_OA_20200805_INTRDY_2020-08-0'!$G$2:$G$870))</f>
        <v>165261</v>
      </c>
      <c r="J464">
        <f>INDEX('TE_OA_20200805_INTRDY_2020-08-0'!$R$2:$R$870,MATCH(Filter!B464,'TE_OA_20200805_INTRDY_2020-08-0'!$G$2:$G$870))</f>
        <v>102500</v>
      </c>
    </row>
    <row r="465" spans="1:10" x14ac:dyDescent="0.25">
      <c r="A465" t="str">
        <f>INDEX('Pipe Table'!$E$2:$E$10,MATCH(INDEX('TE_OA_20200805_INTRDY_2020-08-0'!$T$2:$T$870,MATCH(Filter!B465,'TE_OA_20200805_INTRDY_2020-08-0'!$G$2:$G$870,0)),'Pipe Table'!$D$2:$D$10,0))</f>
        <v>TETCO</v>
      </c>
      <c r="B465">
        <v>73298</v>
      </c>
      <c r="C465" t="str">
        <f>INDEX('TE_OA_20200805_INTRDY_2020-08-0'!$J$2:$J$870,MATCH(Filter!B465,'TE_OA_20200805_INTRDY_2020-08-0'!$G$2:$G$870))</f>
        <v>Delivery</v>
      </c>
      <c r="D465" t="str">
        <f>INDEX('Pipe Table'!$B$2:$B$14,MATCH(INDEX(TeAllPoints!$I$2:$I$957,MATCH(Filter!B465,TeAllPoints!$B$2:$B$957,0)),'Pipe Table'!$A$2:$A$14,0))</f>
        <v>EndUsr</v>
      </c>
      <c r="E465" t="str">
        <f>INDEX('TE_OA_20200805_INTRDY_2020-08-0'!$H$2:$H$870,MATCH(Filter!B465,'TE_OA_20200805_INTRDY_2020-08-0'!$G$2:$G$870))</f>
        <v>Cottonwood Energy Company, LP - Newton Co., TX</v>
      </c>
      <c r="F465" t="str">
        <f>INDEX('Pipe Table'!$H$2:$H$8,MATCH('TE_OA_20200805_INTRDY_2020-08-0'!I446,'Pipe Table'!$G$2:$G$8,0))</f>
        <v>TETCO-WLA</v>
      </c>
      <c r="G465" t="str">
        <f>INDEX(TeAllPoints!$D$2:$D$957,MATCH(Filter!B465,TeAllPoints!$B$2:$B$957,0))</f>
        <v>TX</v>
      </c>
      <c r="H465" t="str">
        <f>INDEX(TeAllPoints!$E$2:$E$957,MATCH(Filter!B465,TeAllPoints!$B$2:$B$957,0))</f>
        <v>NEWTON</v>
      </c>
      <c r="I465">
        <f>INDEX('TE_OA_20200805_INTRDY_2020-08-0'!$Q$2:$Q$870,MATCH(Filter!B465,'TE_OA_20200805_INTRDY_2020-08-0'!$G$2:$G$870))</f>
        <v>224117</v>
      </c>
      <c r="J465">
        <f>INDEX('TE_OA_20200805_INTRDY_2020-08-0'!$R$2:$R$870,MATCH(Filter!B465,'TE_OA_20200805_INTRDY_2020-08-0'!$G$2:$G$870))</f>
        <v>115000</v>
      </c>
    </row>
    <row r="466" spans="1:10" x14ac:dyDescent="0.25">
      <c r="A466" t="str">
        <f>INDEX('Pipe Table'!$E$2:$E$10,MATCH(INDEX('TE_OA_20200805_INTRDY_2020-08-0'!$T$2:$T$870,MATCH(Filter!B466,'TE_OA_20200805_INTRDY_2020-08-0'!$G$2:$G$870,0)),'Pipe Table'!$D$2:$D$10,0))</f>
        <v>TETCO</v>
      </c>
      <c r="B466">
        <v>73304</v>
      </c>
      <c r="C466" t="str">
        <f>INDEX('TE_OA_20200805_INTRDY_2020-08-0'!$J$2:$J$870,MATCH(Filter!B466,'TE_OA_20200805_INTRDY_2020-08-0'!$G$2:$G$870))</f>
        <v>Delivery</v>
      </c>
      <c r="D466" t="str">
        <f>INDEX('Pipe Table'!$B$2:$B$14,MATCH(INDEX(TeAllPoints!$I$2:$I$957,MATCH(Filter!B466,TeAllPoints!$B$2:$B$957,0)),'Pipe Table'!$A$2:$A$14,0))</f>
        <v>EndUsr</v>
      </c>
      <c r="E466" t="str">
        <f>INDEX('TE_OA_20200805_INTRDY_2020-08-0'!$H$2:$H$870,MATCH(Filter!B466,'TE_OA_20200805_INTRDY_2020-08-0'!$G$2:$G$870))</f>
        <v>Alleghney Energy, Chambersburg-Franklin Co., PA (Del)</v>
      </c>
      <c r="F466" t="str">
        <f>INDEX('Pipe Table'!$H$2:$H$8,MATCH('TE_OA_20200805_INTRDY_2020-08-0'!I447,'Pipe Table'!$G$2:$G$8,0))</f>
        <v>TETCO-M3</v>
      </c>
      <c r="G466" t="str">
        <f>INDEX(TeAllPoints!$D$2:$D$957,MATCH(Filter!B466,TeAllPoints!$B$2:$B$957,0))</f>
        <v>PA</v>
      </c>
      <c r="H466" t="str">
        <f>INDEX(TeAllPoints!$E$2:$E$957,MATCH(Filter!B466,TeAllPoints!$B$2:$B$957,0))</f>
        <v>FRANKLIN</v>
      </c>
      <c r="I466">
        <f>INDEX('TE_OA_20200805_INTRDY_2020-08-0'!$Q$2:$Q$870,MATCH(Filter!B466,'TE_OA_20200805_INTRDY_2020-08-0'!$G$2:$G$870))</f>
        <v>66510</v>
      </c>
      <c r="J466">
        <f>INDEX('TE_OA_20200805_INTRDY_2020-08-0'!$R$2:$R$870,MATCH(Filter!B466,'TE_OA_20200805_INTRDY_2020-08-0'!$G$2:$G$870))</f>
        <v>10000</v>
      </c>
    </row>
    <row r="467" spans="1:10" x14ac:dyDescent="0.25">
      <c r="A467" t="str">
        <f>INDEX('Pipe Table'!$E$2:$E$10,MATCH(INDEX('TE_OA_20200805_INTRDY_2020-08-0'!$T$2:$T$870,MATCH(Filter!B467,'TE_OA_20200805_INTRDY_2020-08-0'!$G$2:$G$870,0)),'Pipe Table'!$D$2:$D$10,0))</f>
        <v>TETCO</v>
      </c>
      <c r="B467">
        <v>73306</v>
      </c>
      <c r="C467" t="str">
        <f>INDEX('TE_OA_20200805_INTRDY_2020-08-0'!$J$2:$J$870,MATCH(Filter!B467,'TE_OA_20200805_INTRDY_2020-08-0'!$G$2:$G$870))</f>
        <v>Delivery</v>
      </c>
      <c r="D467" t="str">
        <f>INDEX('Pipe Table'!$B$2:$B$14,MATCH(INDEX(TeAllPoints!$I$2:$I$957,MATCH(Filter!B467,TeAllPoints!$B$2:$B$957,0)),'Pipe Table'!$A$2:$A$14,0))</f>
        <v>EndUsr</v>
      </c>
      <c r="E467" t="str">
        <f>INDEX('TE_OA_20200805_INTRDY_2020-08-0'!$H$2:$H$870,MATCH(Filter!B467,'TE_OA_20200805_INTRDY_2020-08-0'!$G$2:$G$870))</f>
        <v>RELIANT PWR PLT - PA - (73306)</v>
      </c>
      <c r="F467" t="str">
        <f>INDEX('Pipe Table'!$H$2:$H$8,MATCH('TE_OA_20200805_INTRDY_2020-08-0'!I448,'Pipe Table'!$G$2:$G$8,0))</f>
        <v>TETCO-M3</v>
      </c>
      <c r="G467" t="str">
        <f>INDEX(TeAllPoints!$D$2:$D$957,MATCH(Filter!B467,TeAllPoints!$B$2:$B$957,0))</f>
        <v>PA</v>
      </c>
      <c r="H467" t="str">
        <f>INDEX(TeAllPoints!$E$2:$E$957,MATCH(Filter!B467,TeAllPoints!$B$2:$B$957,0))</f>
        <v>ADAMS</v>
      </c>
      <c r="I467">
        <f>INDEX('TE_OA_20200805_INTRDY_2020-08-0'!$Q$2:$Q$870,MATCH(Filter!B467,'TE_OA_20200805_INTRDY_2020-08-0'!$G$2:$G$870))</f>
        <v>248362</v>
      </c>
      <c r="J467">
        <f>INDEX('TE_OA_20200805_INTRDY_2020-08-0'!$R$2:$R$870,MATCH(Filter!B467,'TE_OA_20200805_INTRDY_2020-08-0'!$G$2:$G$870))</f>
        <v>129999</v>
      </c>
    </row>
    <row r="468" spans="1:10" x14ac:dyDescent="0.25">
      <c r="A468" t="str">
        <f>INDEX('Pipe Table'!$E$2:$E$10,MATCH(INDEX('TE_OA_20200805_INTRDY_2020-08-0'!$T$2:$T$870,MATCH(Filter!B468,'TE_OA_20200805_INTRDY_2020-08-0'!$G$2:$G$870,0)),'Pipe Table'!$D$2:$D$10,0))</f>
        <v>TETCO</v>
      </c>
      <c r="B468">
        <v>73310</v>
      </c>
      <c r="C468" t="str">
        <f>INDEX('TE_OA_20200805_INTRDY_2020-08-0'!$J$2:$J$870,MATCH(Filter!B468,'TE_OA_20200805_INTRDY_2020-08-0'!$G$2:$G$870))</f>
        <v>Delivery</v>
      </c>
      <c r="D468" t="str">
        <f>INDEX('Pipe Table'!$B$2:$B$14,MATCH(INDEX(TeAllPoints!$I$2:$I$957,MATCH(Filter!B468,TeAllPoints!$B$2:$B$957,0)),'Pipe Table'!$A$2:$A$14,0))</f>
        <v>LDC</v>
      </c>
      <c r="E468" t="str">
        <f>INDEX('TE_OA_20200805_INTRDY_2020-08-0'!$H$2:$H$870,MATCH(Filter!B468,'TE_OA_20200805_INTRDY_2020-08-0'!$G$2:$G$870))</f>
        <v>South Shore P/L (NE&amp;T), Nueces Co., TX</v>
      </c>
      <c r="F468" t="str">
        <f>INDEX('Pipe Table'!$H$2:$H$8,MATCH('TE_OA_20200805_INTRDY_2020-08-0'!I449,'Pipe Table'!$G$2:$G$8,0))</f>
        <v>TETCO-STX</v>
      </c>
      <c r="G468" t="str">
        <f>INDEX(TeAllPoints!$D$2:$D$957,MATCH(Filter!B468,TeAllPoints!$B$2:$B$957,0))</f>
        <v>TX</v>
      </c>
      <c r="H468" t="str">
        <f>INDEX(TeAllPoints!$E$2:$E$957,MATCH(Filter!B468,TeAllPoints!$B$2:$B$957,0))</f>
        <v>NUECES</v>
      </c>
      <c r="I468">
        <f>INDEX('TE_OA_20200805_INTRDY_2020-08-0'!$Q$2:$Q$870,MATCH(Filter!B468,'TE_OA_20200805_INTRDY_2020-08-0'!$G$2:$G$870))</f>
        <v>124219</v>
      </c>
      <c r="J468">
        <f>INDEX('TE_OA_20200805_INTRDY_2020-08-0'!$R$2:$R$870,MATCH(Filter!B468,'TE_OA_20200805_INTRDY_2020-08-0'!$G$2:$G$870))</f>
        <v>6893</v>
      </c>
    </row>
    <row r="469" spans="1:10" x14ac:dyDescent="0.25">
      <c r="A469" t="str">
        <f>INDEX('Pipe Table'!$E$2:$E$10,MATCH(INDEX('TE_OA_20200805_INTRDY_2020-08-0'!$T$2:$T$870,MATCH(Filter!B469,'TE_OA_20200805_INTRDY_2020-08-0'!$G$2:$G$870,0)),'Pipe Table'!$D$2:$D$10,0))</f>
        <v>TETCO</v>
      </c>
      <c r="B469">
        <v>73311</v>
      </c>
      <c r="C469" t="str">
        <f>INDEX('TE_OA_20200805_INTRDY_2020-08-0'!$J$2:$J$870,MATCH(Filter!B469,'TE_OA_20200805_INTRDY_2020-08-0'!$G$2:$G$870))</f>
        <v>Receipt</v>
      </c>
      <c r="D469" t="str">
        <f>INDEX('Pipe Table'!$B$2:$B$14,MATCH(INDEX(TeAllPoints!$I$2:$I$957,MATCH(Filter!B469,TeAllPoints!$B$2:$B$957,0)),'Pipe Table'!$A$2:$A$14,0))</f>
        <v>Wellhead</v>
      </c>
      <c r="E469" t="str">
        <f>INDEX('TE_OA_20200805_INTRDY_2020-08-0'!$H$2:$H$870,MATCH(Filter!B469,'TE_OA_20200805_INTRDY_2020-08-0'!$G$2:$G$870))</f>
        <v>MME DeSoto Pipeline, L.P. - Austin Co. -- Sealy, TX (REC) -- B/D 7</v>
      </c>
      <c r="F469" t="str">
        <f>INDEX('Pipe Table'!$H$2:$H$8,MATCH('TE_OA_20200805_INTRDY_2020-08-0'!I450,'Pipe Table'!$G$2:$G$8,0))</f>
        <v>TETCO-STX</v>
      </c>
      <c r="G469" t="str">
        <f>INDEX(TeAllPoints!$D$2:$D$957,MATCH(Filter!B469,TeAllPoints!$B$2:$B$957,0))</f>
        <v>TX</v>
      </c>
      <c r="H469" t="str">
        <f>INDEX(TeAllPoints!$E$2:$E$957,MATCH(Filter!B469,TeAllPoints!$B$2:$B$957,0))</f>
        <v>AUSTIN</v>
      </c>
      <c r="I469">
        <f>INDEX('TE_OA_20200805_INTRDY_2020-08-0'!$Q$2:$Q$870,MATCH(Filter!B469,'TE_OA_20200805_INTRDY_2020-08-0'!$G$2:$G$870))</f>
        <v>8612</v>
      </c>
      <c r="J469">
        <f>INDEX('TE_OA_20200805_INTRDY_2020-08-0'!$R$2:$R$870,MATCH(Filter!B469,'TE_OA_20200805_INTRDY_2020-08-0'!$G$2:$G$870))</f>
        <v>0</v>
      </c>
    </row>
    <row r="470" spans="1:10" x14ac:dyDescent="0.25">
      <c r="A470" t="str">
        <f>INDEX('Pipe Table'!$E$2:$E$10,MATCH(INDEX('TE_OA_20200805_INTRDY_2020-08-0'!$T$2:$T$870,MATCH(Filter!B470,'TE_OA_20200805_INTRDY_2020-08-0'!$G$2:$G$870,0)),'Pipe Table'!$D$2:$D$10,0))</f>
        <v>TETCO</v>
      </c>
      <c r="B470">
        <v>73313</v>
      </c>
      <c r="C470" t="str">
        <f>INDEX('TE_OA_20200805_INTRDY_2020-08-0'!$J$2:$J$870,MATCH(Filter!B470,'TE_OA_20200805_INTRDY_2020-08-0'!$G$2:$G$870))</f>
        <v>Receipt</v>
      </c>
      <c r="D470" t="str">
        <f>INDEX('Pipe Table'!$B$2:$B$14,MATCH(INDEX(TeAllPoints!$I$2:$I$957,MATCH(Filter!B470,TeAllPoints!$B$2:$B$957,0)),'Pipe Table'!$A$2:$A$14,0))</f>
        <v>Wellhead</v>
      </c>
      <c r="E470" t="str">
        <f>INDEX('TE_OA_20200805_INTRDY_2020-08-0'!$H$2:$H$870,MATCH(Filter!B470,'TE_OA_20200805_INTRDY_2020-08-0'!$G$2:$G$870))</f>
        <v>DEFS-GEODOMINION - BONORDEN #1 - LAVACA CO., TX</v>
      </c>
      <c r="F470" t="str">
        <f>INDEX('Pipe Table'!$H$2:$H$8,MATCH('TE_OA_20200805_INTRDY_2020-08-0'!I451,'Pipe Table'!$G$2:$G$8,0))</f>
        <v>TETCO-STX</v>
      </c>
      <c r="G470" t="str">
        <f>INDEX(TeAllPoints!$D$2:$D$957,MATCH(Filter!B470,TeAllPoints!$B$2:$B$957,0))</f>
        <v>TX</v>
      </c>
      <c r="H470" t="str">
        <f>INDEX(TeAllPoints!$E$2:$E$957,MATCH(Filter!B470,TeAllPoints!$B$2:$B$957,0))</f>
        <v>LAVACA</v>
      </c>
      <c r="I470">
        <f>INDEX('TE_OA_20200805_INTRDY_2020-08-0'!$Q$2:$Q$870,MATCH(Filter!B470,'TE_OA_20200805_INTRDY_2020-08-0'!$G$2:$G$870))</f>
        <v>4878</v>
      </c>
      <c r="J470">
        <f>INDEX('TE_OA_20200805_INTRDY_2020-08-0'!$R$2:$R$870,MATCH(Filter!B470,'TE_OA_20200805_INTRDY_2020-08-0'!$G$2:$G$870))</f>
        <v>0</v>
      </c>
    </row>
    <row r="471" spans="1:10" x14ac:dyDescent="0.25">
      <c r="A471" t="str">
        <f>INDEX('Pipe Table'!$E$2:$E$10,MATCH(INDEX('TE_OA_20200805_INTRDY_2020-08-0'!$T$2:$T$870,MATCH(Filter!B471,'TE_OA_20200805_INTRDY_2020-08-0'!$G$2:$G$870,0)),'Pipe Table'!$D$2:$D$10,0))</f>
        <v>TETCO</v>
      </c>
      <c r="B471">
        <v>73316</v>
      </c>
      <c r="C471" t="str">
        <f>INDEX('TE_OA_20200805_INTRDY_2020-08-0'!$J$2:$J$870,MATCH(Filter!B471,'TE_OA_20200805_INTRDY_2020-08-0'!$G$2:$G$870))</f>
        <v>Receipt</v>
      </c>
      <c r="D471" t="str">
        <f>INDEX('Pipe Table'!$B$2:$B$14,MATCH(INDEX(TeAllPoints!$I$2:$I$957,MATCH(Filter!B471,TeAllPoints!$B$2:$B$957,0)),'Pipe Table'!$A$2:$A$14,0))</f>
        <v>Wellhead</v>
      </c>
      <c r="E471" t="str">
        <f>INDEX('TE_OA_20200805_INTRDY_2020-08-0'!$H$2:$H$870,MATCH(Filter!B471,'TE_OA_20200805_INTRDY_2020-08-0'!$G$2:$G$870))</f>
        <v>Headington Oil-Hutchins Pearson #1-Wharton Co., TX   (REC)</v>
      </c>
      <c r="F471" t="str">
        <f>INDEX('Pipe Table'!$H$2:$H$8,MATCH('TE_OA_20200805_INTRDY_2020-08-0'!I452,'Pipe Table'!$G$2:$G$8,0))</f>
        <v>TETCO-STX</v>
      </c>
      <c r="G471" t="str">
        <f>INDEX(TeAllPoints!$D$2:$D$957,MATCH(Filter!B471,TeAllPoints!$B$2:$B$957,0))</f>
        <v>TX</v>
      </c>
      <c r="H471" t="str">
        <f>INDEX(TeAllPoints!$E$2:$E$957,MATCH(Filter!B471,TeAllPoints!$B$2:$B$957,0))</f>
        <v>WHARTON</v>
      </c>
      <c r="I471">
        <f>INDEX('TE_OA_20200805_INTRDY_2020-08-0'!$Q$2:$Q$870,MATCH(Filter!B471,'TE_OA_20200805_INTRDY_2020-08-0'!$G$2:$G$870))</f>
        <v>34856</v>
      </c>
      <c r="J471">
        <f>INDEX('TE_OA_20200805_INTRDY_2020-08-0'!$R$2:$R$870,MATCH(Filter!B471,'TE_OA_20200805_INTRDY_2020-08-0'!$G$2:$G$870))</f>
        <v>0</v>
      </c>
    </row>
    <row r="472" spans="1:10" x14ac:dyDescent="0.25">
      <c r="A472" t="str">
        <f>INDEX('Pipe Table'!$E$2:$E$10,MATCH(INDEX('TE_OA_20200805_INTRDY_2020-08-0'!$T$2:$T$870,MATCH(Filter!B472,'TE_OA_20200805_INTRDY_2020-08-0'!$G$2:$G$870,0)),'Pipe Table'!$D$2:$D$10,0))</f>
        <v>TETCO</v>
      </c>
      <c r="B472">
        <v>73318</v>
      </c>
      <c r="C472" t="str">
        <f>INDEX('TE_OA_20200805_INTRDY_2020-08-0'!$J$2:$J$870,MATCH(Filter!B472,'TE_OA_20200805_INTRDY_2020-08-0'!$G$2:$G$870))</f>
        <v>Delivery</v>
      </c>
      <c r="D472" t="str">
        <f>INDEX('Pipe Table'!$B$2:$B$14,MATCH(INDEX(TeAllPoints!$I$2:$I$957,MATCH(Filter!B472,TeAllPoints!$B$2:$B$957,0)),'Pipe Table'!$A$2:$A$14,0))</f>
        <v>EndUsr</v>
      </c>
      <c r="E472" t="str">
        <f>INDEX('TE_OA_20200805_INTRDY_2020-08-0'!$H$2:$H$870,MATCH(Filter!B472,'TE_OA_20200805_INTRDY_2020-08-0'!$G$2:$G$870))</f>
        <v>LIBERTY ELEC-DEL.PA. - (73318)</v>
      </c>
      <c r="F472" t="str">
        <f>INDEX('Pipe Table'!$H$2:$H$8,MATCH('TE_OA_20200805_INTRDY_2020-08-0'!I453,'Pipe Table'!$G$2:$G$8,0))</f>
        <v>TETCO-M3</v>
      </c>
      <c r="G472" t="str">
        <f>INDEX(TeAllPoints!$D$2:$D$957,MATCH(Filter!B472,TeAllPoints!$B$2:$B$957,0))</f>
        <v>PA</v>
      </c>
      <c r="H472" t="str">
        <f>INDEX(TeAllPoints!$E$2:$E$957,MATCH(Filter!B472,TeAllPoints!$B$2:$B$957,0))</f>
        <v>DELAWARE</v>
      </c>
      <c r="I472">
        <f>INDEX('TE_OA_20200805_INTRDY_2020-08-0'!$Q$2:$Q$870,MATCH(Filter!B472,'TE_OA_20200805_INTRDY_2020-08-0'!$G$2:$G$870))</f>
        <v>91031</v>
      </c>
      <c r="J472">
        <f>INDEX('TE_OA_20200805_INTRDY_2020-08-0'!$R$2:$R$870,MATCH(Filter!B472,'TE_OA_20200805_INTRDY_2020-08-0'!$G$2:$G$870))</f>
        <v>83864</v>
      </c>
    </row>
    <row r="473" spans="1:10" x14ac:dyDescent="0.25">
      <c r="A473" t="str">
        <f>INDEX('Pipe Table'!$E$2:$E$10,MATCH(INDEX('TE_OA_20200805_INTRDY_2020-08-0'!$T$2:$T$870,MATCH(Filter!B473,'TE_OA_20200805_INTRDY_2020-08-0'!$G$2:$G$870,0)),'Pipe Table'!$D$2:$D$10,0))</f>
        <v>TETCO</v>
      </c>
      <c r="B473">
        <v>73322</v>
      </c>
      <c r="C473" t="str">
        <f>INDEX('TE_OA_20200805_INTRDY_2020-08-0'!$J$2:$J$870,MATCH(Filter!B473,'TE_OA_20200805_INTRDY_2020-08-0'!$G$2:$G$870))</f>
        <v>Receipt</v>
      </c>
      <c r="D473" t="str">
        <f>INDEX('Pipe Table'!$B$2:$B$14,MATCH(INDEX(TeAllPoints!$I$2:$I$957,MATCH(Filter!B473,TeAllPoints!$B$2:$B$957,0)),'Pipe Table'!$A$2:$A$14,0))</f>
        <v>Wellhead</v>
      </c>
      <c r="E473" t="str">
        <f>INDEX('TE_OA_20200805_INTRDY_2020-08-0'!$H$2:$H$870,MATCH(Filter!B473,'TE_OA_20200805_INTRDY_2020-08-0'!$G$2:$G$870))</f>
        <v>Arcadia Operating - Beauregard Psh., LA</v>
      </c>
      <c r="F473" t="str">
        <f>INDEX('Pipe Table'!$H$2:$H$8,MATCH('TE_OA_20200805_INTRDY_2020-08-0'!I454,'Pipe Table'!$G$2:$G$8,0))</f>
        <v>TETCO-WLA</v>
      </c>
      <c r="G473" t="str">
        <f>INDEX(TeAllPoints!$D$2:$D$957,MATCH(Filter!B473,TeAllPoints!$B$2:$B$957,0))</f>
        <v>LA</v>
      </c>
      <c r="H473" t="str">
        <f>INDEX(TeAllPoints!$E$2:$E$957,MATCH(Filter!B473,TeAllPoints!$B$2:$B$957,0))</f>
        <v>BEAUREGARD</v>
      </c>
      <c r="I473">
        <f>INDEX('TE_OA_20200805_INTRDY_2020-08-0'!$Q$2:$Q$870,MATCH(Filter!B473,'TE_OA_20200805_INTRDY_2020-08-0'!$G$2:$G$870))</f>
        <v>7687</v>
      </c>
      <c r="J473">
        <f>INDEX('TE_OA_20200805_INTRDY_2020-08-0'!$R$2:$R$870,MATCH(Filter!B473,'TE_OA_20200805_INTRDY_2020-08-0'!$G$2:$G$870))</f>
        <v>0</v>
      </c>
    </row>
    <row r="474" spans="1:10" x14ac:dyDescent="0.25">
      <c r="A474" t="str">
        <f>INDEX('Pipe Table'!$E$2:$E$10,MATCH(INDEX('TE_OA_20200805_INTRDY_2020-08-0'!$T$2:$T$870,MATCH(Filter!B474,'TE_OA_20200805_INTRDY_2020-08-0'!$G$2:$G$870,0)),'Pipe Table'!$D$2:$D$10,0))</f>
        <v>TETCO</v>
      </c>
      <c r="B474">
        <v>73324</v>
      </c>
      <c r="C474" t="str">
        <f>INDEX('TE_OA_20200805_INTRDY_2020-08-0'!$J$2:$J$870,MATCH(Filter!B474,'TE_OA_20200805_INTRDY_2020-08-0'!$G$2:$G$870))</f>
        <v>Receipt</v>
      </c>
      <c r="D474" t="str">
        <f>INDEX('Pipe Table'!$B$2:$B$14,MATCH(INDEX(TeAllPoints!$I$2:$I$957,MATCH(Filter!B474,TeAllPoints!$B$2:$B$957,0)),'Pipe Table'!$A$2:$A$14,0))</f>
        <v>Wellhead</v>
      </c>
      <c r="E474" t="str">
        <f>INDEX('TE_OA_20200805_INTRDY_2020-08-0'!$H$2:$H$870,MATCH(Filter!B474,'TE_OA_20200805_INTRDY_2020-08-0'!$G$2:$G$870))</f>
        <v>Aspect Energy, LLC / #1 Griggs - Beauregard Psh., LA</v>
      </c>
      <c r="F474" t="str">
        <f>INDEX('Pipe Table'!$H$2:$H$8,MATCH('TE_OA_20200805_INTRDY_2020-08-0'!I455,'Pipe Table'!$G$2:$G$8,0))</f>
        <v>TETCO-WLA</v>
      </c>
      <c r="G474" t="str">
        <f>INDEX(TeAllPoints!$D$2:$D$957,MATCH(Filter!B474,TeAllPoints!$B$2:$B$957,0))</f>
        <v>LA</v>
      </c>
      <c r="H474" t="str">
        <f>INDEX(TeAllPoints!$E$2:$E$957,MATCH(Filter!B474,TeAllPoints!$B$2:$B$957,0))</f>
        <v>BEAUREGARD</v>
      </c>
      <c r="I474">
        <f>INDEX('TE_OA_20200805_INTRDY_2020-08-0'!$Q$2:$Q$870,MATCH(Filter!B474,'TE_OA_20200805_INTRDY_2020-08-0'!$G$2:$G$870))</f>
        <v>3496</v>
      </c>
      <c r="J474">
        <f>INDEX('TE_OA_20200805_INTRDY_2020-08-0'!$R$2:$R$870,MATCH(Filter!B474,'TE_OA_20200805_INTRDY_2020-08-0'!$G$2:$G$870))</f>
        <v>0</v>
      </c>
    </row>
    <row r="475" spans="1:10" x14ac:dyDescent="0.25">
      <c r="A475" t="str">
        <f>INDEX('Pipe Table'!$E$2:$E$10,MATCH(INDEX('TE_OA_20200805_INTRDY_2020-08-0'!$T$2:$T$870,MATCH(Filter!B475,'TE_OA_20200805_INTRDY_2020-08-0'!$G$2:$G$870,0)),'Pipe Table'!$D$2:$D$10,0))</f>
        <v>TETCO</v>
      </c>
      <c r="B475">
        <v>73325</v>
      </c>
      <c r="C475" t="str">
        <f>INDEX('TE_OA_20200805_INTRDY_2020-08-0'!$J$2:$J$870,MATCH(Filter!B475,'TE_OA_20200805_INTRDY_2020-08-0'!$G$2:$G$870))</f>
        <v>Delivery</v>
      </c>
      <c r="D475" t="str">
        <f>INDEX('Pipe Table'!$B$2:$B$14,MATCH(INDEX(TeAllPoints!$I$2:$I$957,MATCH(Filter!B475,TeAllPoints!$B$2:$B$957,0)),'Pipe Table'!$A$2:$A$14,0))</f>
        <v>EndUsr</v>
      </c>
      <c r="E475" t="str">
        <f>INDEX('TE_OA_20200805_INTRDY_2020-08-0'!$H$2:$H$870,MATCH(Filter!B475,'TE_OA_20200805_INTRDY_2020-08-0'!$G$2:$G$870))</f>
        <v>ROLLING HILLS GENERATING LLC - (73325)</v>
      </c>
      <c r="F475" t="str">
        <f>INDEX('Pipe Table'!$H$2:$H$8,MATCH('TE_OA_20200805_INTRDY_2020-08-0'!I456,'Pipe Table'!$G$2:$G$8,0))</f>
        <v>TETCO-M2</v>
      </c>
      <c r="G475" t="str">
        <f>INDEX(TeAllPoints!$D$2:$D$957,MATCH(Filter!B475,TeAllPoints!$B$2:$B$957,0))</f>
        <v>OH</v>
      </c>
      <c r="H475" t="str">
        <f>INDEX(TeAllPoints!$E$2:$E$957,MATCH(Filter!B475,TeAllPoints!$B$2:$B$957,0))</f>
        <v>VINTON</v>
      </c>
      <c r="I475">
        <f>INDEX('TE_OA_20200805_INTRDY_2020-08-0'!$Q$2:$Q$870,MATCH(Filter!B475,'TE_OA_20200805_INTRDY_2020-08-0'!$G$2:$G$870))</f>
        <v>332791</v>
      </c>
      <c r="J475">
        <f>INDEX('TE_OA_20200805_INTRDY_2020-08-0'!$R$2:$R$870,MATCH(Filter!B475,'TE_OA_20200805_INTRDY_2020-08-0'!$G$2:$G$870))</f>
        <v>0</v>
      </c>
    </row>
    <row r="476" spans="1:10" x14ac:dyDescent="0.25">
      <c r="A476" t="str">
        <f>INDEX('Pipe Table'!$E$2:$E$10,MATCH(INDEX('TE_OA_20200805_INTRDY_2020-08-0'!$T$2:$T$870,MATCH(Filter!B476,'TE_OA_20200805_INTRDY_2020-08-0'!$G$2:$G$870,0)),'Pipe Table'!$D$2:$D$10,0))</f>
        <v>TETCO</v>
      </c>
      <c r="B476">
        <v>73328</v>
      </c>
      <c r="C476" t="str">
        <f>INDEX('TE_OA_20200805_INTRDY_2020-08-0'!$J$2:$J$870,MATCH(Filter!B476,'TE_OA_20200805_INTRDY_2020-08-0'!$G$2:$G$870))</f>
        <v>Receipt</v>
      </c>
      <c r="D476" t="str">
        <f>INDEX('Pipe Table'!$B$2:$B$14,MATCH(INDEX(TeAllPoints!$I$2:$I$957,MATCH(Filter!B476,TeAllPoints!$B$2:$B$957,0)),'Pipe Table'!$A$2:$A$14,0))</f>
        <v>Wellhead</v>
      </c>
      <c r="E476" t="str">
        <f>INDEX('TE_OA_20200805_INTRDY_2020-08-0'!$H$2:$H$870,MATCH(Filter!B476,'TE_OA_20200805_INTRDY_2020-08-0'!$G$2:$G$870))</f>
        <v>Petrochem Operating / Lott #1 - Bossier Parish, LA (REC)</v>
      </c>
      <c r="F476" t="str">
        <f>INDEX('Pipe Table'!$H$2:$H$8,MATCH('TE_OA_20200805_INTRDY_2020-08-0'!I457,'Pipe Table'!$G$2:$G$8,0))</f>
        <v>TETCO-ETX</v>
      </c>
      <c r="G476" t="str">
        <f>INDEX(TeAllPoints!$D$2:$D$957,MATCH(Filter!B476,TeAllPoints!$B$2:$B$957,0))</f>
        <v>LA</v>
      </c>
      <c r="H476" t="str">
        <f>INDEX(TeAllPoints!$E$2:$E$957,MATCH(Filter!B476,TeAllPoints!$B$2:$B$957,0))</f>
        <v>BOSSIER</v>
      </c>
      <c r="I476">
        <f>INDEX('TE_OA_20200805_INTRDY_2020-08-0'!$Q$2:$Q$870,MATCH(Filter!B476,'TE_OA_20200805_INTRDY_2020-08-0'!$G$2:$G$870))</f>
        <v>15675</v>
      </c>
      <c r="J476">
        <f>INDEX('TE_OA_20200805_INTRDY_2020-08-0'!$R$2:$R$870,MATCH(Filter!B476,'TE_OA_20200805_INTRDY_2020-08-0'!$G$2:$G$870))</f>
        <v>522</v>
      </c>
    </row>
    <row r="477" spans="1:10" x14ac:dyDescent="0.25">
      <c r="A477" t="str">
        <f>INDEX('Pipe Table'!$E$2:$E$10,MATCH(INDEX('TE_OA_20200805_INTRDY_2020-08-0'!$T$2:$T$870,MATCH(Filter!B477,'TE_OA_20200805_INTRDY_2020-08-0'!$G$2:$G$870,0)),'Pipe Table'!$D$2:$D$10,0))</f>
        <v>TETCO</v>
      </c>
      <c r="B477">
        <v>73329</v>
      </c>
      <c r="C477" t="str">
        <f>INDEX('TE_OA_20200805_INTRDY_2020-08-0'!$J$2:$J$870,MATCH(Filter!B477,'TE_OA_20200805_INTRDY_2020-08-0'!$G$2:$G$870))</f>
        <v>Delivery</v>
      </c>
      <c r="D477" t="str">
        <f>INDEX('Pipe Table'!$B$2:$B$14,MATCH(INDEX(TeAllPoints!$I$2:$I$957,MATCH(Filter!B477,TeAllPoints!$B$2:$B$957,0)),'Pipe Table'!$A$2:$A$14,0))</f>
        <v>Intrcnnct</v>
      </c>
      <c r="E477" t="str">
        <f>INDEX('TE_OA_20200805_INTRDY_2020-08-0'!$H$2:$H$870,MATCH(Filter!B477,'TE_OA_20200805_INTRDY_2020-08-0'!$G$2:$G$870))</f>
        <v>CGT/NiSource-KY - Clark Co., KY</v>
      </c>
      <c r="F477" t="str">
        <f>INDEX('Pipe Table'!$H$2:$H$8,MATCH('TE_OA_20200805_INTRDY_2020-08-0'!I458,'Pipe Table'!$G$2:$G$8,0))</f>
        <v>TETCO-M2</v>
      </c>
      <c r="G477" t="str">
        <f>INDEX(TeAllPoints!$D$2:$D$957,MATCH(Filter!B477,TeAllPoints!$B$2:$B$957,0))</f>
        <v>KY</v>
      </c>
      <c r="H477" t="str">
        <f>INDEX(TeAllPoints!$E$2:$E$957,MATCH(Filter!B477,TeAllPoints!$B$2:$B$957,0))</f>
        <v>CLARK</v>
      </c>
      <c r="I477">
        <f>INDEX('TE_OA_20200805_INTRDY_2020-08-0'!$Q$2:$Q$870,MATCH(Filter!B477,'TE_OA_20200805_INTRDY_2020-08-0'!$G$2:$G$870))</f>
        <v>3916</v>
      </c>
      <c r="J477">
        <f>INDEX('TE_OA_20200805_INTRDY_2020-08-0'!$R$2:$R$870,MATCH(Filter!B477,'TE_OA_20200805_INTRDY_2020-08-0'!$G$2:$G$870))</f>
        <v>600</v>
      </c>
    </row>
    <row r="478" spans="1:10" x14ac:dyDescent="0.25">
      <c r="A478" t="str">
        <f>INDEX('Pipe Table'!$E$2:$E$10,MATCH(INDEX('TE_OA_20200805_INTRDY_2020-08-0'!$T$2:$T$870,MATCH(Filter!B478,'TE_OA_20200805_INTRDY_2020-08-0'!$G$2:$G$870,0)),'Pipe Table'!$D$2:$D$10,0))</f>
        <v>TETCO</v>
      </c>
      <c r="B478">
        <v>73334</v>
      </c>
      <c r="C478" t="str">
        <f>INDEX('TE_OA_20200805_INTRDY_2020-08-0'!$J$2:$J$870,MATCH(Filter!B478,'TE_OA_20200805_INTRDY_2020-08-0'!$G$2:$G$870))</f>
        <v>Delivery</v>
      </c>
      <c r="D478" t="str">
        <f>INDEX('Pipe Table'!$B$2:$B$14,MATCH(INDEX(TeAllPoints!$I$2:$I$957,MATCH(Filter!B478,TeAllPoints!$B$2:$B$957,0)),'Pipe Table'!$A$2:$A$14,0))</f>
        <v>EndUsr</v>
      </c>
      <c r="E478" t="str">
        <f>INDEX('TE_OA_20200805_INTRDY_2020-08-0'!$H$2:$H$870,MATCH(Filter!B478,'TE_OA_20200805_INTRDY_2020-08-0'!$G$2:$G$870))</f>
        <v>WATERFORD PLANT - WASHINGTON CO., OH</v>
      </c>
      <c r="F478" t="str">
        <f>INDEX('Pipe Table'!$H$2:$H$8,MATCH('TE_OA_20200805_INTRDY_2020-08-0'!I459,'Pipe Table'!$G$2:$G$8,0))</f>
        <v>TETCO-M2</v>
      </c>
      <c r="G478" t="str">
        <f>INDEX(TeAllPoints!$D$2:$D$957,MATCH(Filter!B478,TeAllPoints!$B$2:$B$957,0))</f>
        <v>OH</v>
      </c>
      <c r="H478" t="str">
        <f>INDEX(TeAllPoints!$E$2:$E$957,MATCH(Filter!B478,TeAllPoints!$B$2:$B$957,0))</f>
        <v>WASHINGTON</v>
      </c>
      <c r="I478">
        <f>INDEX('TE_OA_20200805_INTRDY_2020-08-0'!$Q$2:$Q$870,MATCH(Filter!B478,'TE_OA_20200805_INTRDY_2020-08-0'!$G$2:$G$870))</f>
        <v>143059</v>
      </c>
      <c r="J478">
        <f>INDEX('TE_OA_20200805_INTRDY_2020-08-0'!$R$2:$R$870,MATCH(Filter!B478,'TE_OA_20200805_INTRDY_2020-08-0'!$G$2:$G$870))</f>
        <v>135168</v>
      </c>
    </row>
    <row r="479" spans="1:10" x14ac:dyDescent="0.25">
      <c r="A479" t="str">
        <f>INDEX('Pipe Table'!$E$2:$E$10,MATCH(INDEX('TE_OA_20200805_INTRDY_2020-08-0'!$T$2:$T$870,MATCH(Filter!B479,'TE_OA_20200805_INTRDY_2020-08-0'!$G$2:$G$870,0)),'Pipe Table'!$D$2:$D$10,0))</f>
        <v>TETCO</v>
      </c>
      <c r="B479">
        <v>73335</v>
      </c>
      <c r="C479" t="str">
        <f>INDEX('TE_OA_20200805_INTRDY_2020-08-0'!$J$2:$J$870,MATCH(Filter!B479,'TE_OA_20200805_INTRDY_2020-08-0'!$G$2:$G$870))</f>
        <v>Receipt</v>
      </c>
      <c r="D479" t="e">
        <f>INDEX('Pipe Table'!$B$2:$B$14,MATCH(INDEX(TeAllPoints!$I$2:$I$957,MATCH(Filter!B479,TeAllPoints!$B$2:$B$957,0)),'Pipe Table'!$A$2:$A$14,0))</f>
        <v>#N/A</v>
      </c>
      <c r="E479" t="str">
        <f>INDEX('TE_OA_20200805_INTRDY_2020-08-0'!$H$2:$H$870,MATCH(Filter!B479,'TE_OA_20200805_INTRDY_2020-08-0'!$G$2:$G$870))</f>
        <v>Finite Resources LTD-Morris #1, Saline Co., IL</v>
      </c>
      <c r="F479" t="str">
        <f>INDEX('Pipe Table'!$H$2:$H$8,MATCH('TE_OA_20200805_INTRDY_2020-08-0'!I460,'Pipe Table'!$G$2:$G$8,0))</f>
        <v>TETCO-M1</v>
      </c>
      <c r="G479" t="e">
        <f>INDEX(TeAllPoints!$D$2:$D$957,MATCH(Filter!B479,TeAllPoints!$B$2:$B$957,0))</f>
        <v>#N/A</v>
      </c>
      <c r="H479" t="e">
        <f>INDEX(TeAllPoints!$E$2:$E$957,MATCH(Filter!B479,TeAllPoints!$B$2:$B$957,0))</f>
        <v>#N/A</v>
      </c>
      <c r="I479">
        <f>INDEX('TE_OA_20200805_INTRDY_2020-08-0'!$Q$2:$Q$870,MATCH(Filter!B479,'TE_OA_20200805_INTRDY_2020-08-0'!$G$2:$G$870))</f>
        <v>3991</v>
      </c>
      <c r="J479">
        <f>INDEX('TE_OA_20200805_INTRDY_2020-08-0'!$R$2:$R$870,MATCH(Filter!B479,'TE_OA_20200805_INTRDY_2020-08-0'!$G$2:$G$870))</f>
        <v>0</v>
      </c>
    </row>
    <row r="480" spans="1:10" x14ac:dyDescent="0.25">
      <c r="A480" t="str">
        <f>INDEX('Pipe Table'!$E$2:$E$10,MATCH(INDEX('TE_OA_20200805_INTRDY_2020-08-0'!$T$2:$T$870,MATCH(Filter!B480,'TE_OA_20200805_INTRDY_2020-08-0'!$G$2:$G$870,0)),'Pipe Table'!$D$2:$D$10,0))</f>
        <v>TETCO</v>
      </c>
      <c r="B480">
        <v>73337</v>
      </c>
      <c r="C480" t="str">
        <f>INDEX('TE_OA_20200805_INTRDY_2020-08-0'!$J$2:$J$870,MATCH(Filter!B480,'TE_OA_20200805_INTRDY_2020-08-0'!$G$2:$G$870))</f>
        <v>Receipt</v>
      </c>
      <c r="D480" t="str">
        <f>INDEX('Pipe Table'!$B$2:$B$14,MATCH(INDEX(TeAllPoints!$I$2:$I$957,MATCH(Filter!B480,TeAllPoints!$B$2:$B$957,0)),'Pipe Table'!$A$2:$A$14,0))</f>
        <v>Wellhead</v>
      </c>
      <c r="E480" t="str">
        <f>INDEX('TE_OA_20200805_INTRDY_2020-08-0'!$H$2:$H$870,MATCH(Filter!B480,'TE_OA_20200805_INTRDY_2020-08-0'!$G$2:$G$870))</f>
        <v>Tanos Exploration II,LLC.-RC Hill #1-Nac. Co/., Tx.</v>
      </c>
      <c r="F480" t="str">
        <f>INDEX('Pipe Table'!$H$2:$H$8,MATCH('TE_OA_20200805_INTRDY_2020-08-0'!I461,'Pipe Table'!$G$2:$G$8,0))</f>
        <v>TETCO-ETX</v>
      </c>
      <c r="G480" t="str">
        <f>INDEX(TeAllPoints!$D$2:$D$957,MATCH(Filter!B480,TeAllPoints!$B$2:$B$957,0))</f>
        <v>TX</v>
      </c>
      <c r="H480" t="str">
        <f>INDEX(TeAllPoints!$E$2:$E$957,MATCH(Filter!B480,TeAllPoints!$B$2:$B$957,0))</f>
        <v>NACOGDOCHES</v>
      </c>
      <c r="I480">
        <f>INDEX('TE_OA_20200805_INTRDY_2020-08-0'!$Q$2:$Q$870,MATCH(Filter!B480,'TE_OA_20200805_INTRDY_2020-08-0'!$G$2:$G$870))</f>
        <v>15399</v>
      </c>
      <c r="J480">
        <f>INDEX('TE_OA_20200805_INTRDY_2020-08-0'!$R$2:$R$870,MATCH(Filter!B480,'TE_OA_20200805_INTRDY_2020-08-0'!$G$2:$G$870))</f>
        <v>0</v>
      </c>
    </row>
    <row r="481" spans="1:10" x14ac:dyDescent="0.25">
      <c r="A481" t="str">
        <f>INDEX('Pipe Table'!$E$2:$E$10,MATCH(INDEX('TE_OA_20200805_INTRDY_2020-08-0'!$T$2:$T$870,MATCH(Filter!B481,'TE_OA_20200805_INTRDY_2020-08-0'!$G$2:$G$870,0)),'Pipe Table'!$D$2:$D$10,0))</f>
        <v>TETCO</v>
      </c>
      <c r="B481">
        <v>73338</v>
      </c>
      <c r="C481" t="str">
        <f>INDEX('TE_OA_20200805_INTRDY_2020-08-0'!$J$2:$J$870,MATCH(Filter!B481,'TE_OA_20200805_INTRDY_2020-08-0'!$G$2:$G$870))</f>
        <v>Receipt</v>
      </c>
      <c r="D481" t="str">
        <f>INDEX('Pipe Table'!$B$2:$B$14,MATCH(INDEX(TeAllPoints!$I$2:$I$957,MATCH(Filter!B481,TeAllPoints!$B$2:$B$957,0)),'Pipe Table'!$A$2:$A$14,0))</f>
        <v>Wellhead</v>
      </c>
      <c r="E481" t="str">
        <f>INDEX('TE_OA_20200805_INTRDY_2020-08-0'!$H$2:$H$870,MATCH(Filter!B481,'TE_OA_20200805_INTRDY_2020-08-0'!$G$2:$G$870))</f>
        <v>SantosUSA Corp</v>
      </c>
      <c r="F481" t="str">
        <f>INDEX('Pipe Table'!$H$2:$H$8,MATCH('TE_OA_20200805_INTRDY_2020-08-0'!I462,'Pipe Table'!$G$2:$G$8,0))</f>
        <v>TETCO-STX</v>
      </c>
      <c r="G481" t="str">
        <f>INDEX(TeAllPoints!$D$2:$D$957,MATCH(Filter!B481,TeAllPoints!$B$2:$B$957,0))</f>
        <v>TX</v>
      </c>
      <c r="H481" t="str">
        <f>INDEX(TeAllPoints!$E$2:$E$957,MATCH(Filter!B481,TeAllPoints!$B$2:$B$957,0))</f>
        <v>MATAGORDA</v>
      </c>
      <c r="I481">
        <f>INDEX('TE_OA_20200805_INTRDY_2020-08-0'!$Q$2:$Q$870,MATCH(Filter!B481,'TE_OA_20200805_INTRDY_2020-08-0'!$G$2:$G$870))</f>
        <v>16711</v>
      </c>
      <c r="J481">
        <f>INDEX('TE_OA_20200805_INTRDY_2020-08-0'!$R$2:$R$870,MATCH(Filter!B481,'TE_OA_20200805_INTRDY_2020-08-0'!$G$2:$G$870))</f>
        <v>198</v>
      </c>
    </row>
    <row r="482" spans="1:10" x14ac:dyDescent="0.25">
      <c r="A482" t="str">
        <f>INDEX('Pipe Table'!$E$2:$E$10,MATCH(INDEX('TE_OA_20200805_INTRDY_2020-08-0'!$T$2:$T$870,MATCH(Filter!B482,'TE_OA_20200805_INTRDY_2020-08-0'!$G$2:$G$870,0)),'Pipe Table'!$D$2:$D$10,0))</f>
        <v>TETCO</v>
      </c>
      <c r="B482">
        <v>73339</v>
      </c>
      <c r="C482" t="str">
        <f>INDEX('TE_OA_20200805_INTRDY_2020-08-0'!$J$2:$J$870,MATCH(Filter!B482,'TE_OA_20200805_INTRDY_2020-08-0'!$G$2:$G$870))</f>
        <v>Delivery</v>
      </c>
      <c r="D482" t="str">
        <f>INDEX('Pipe Table'!$B$2:$B$14,MATCH(INDEX(TeAllPoints!$I$2:$I$957,MATCH(Filter!B482,TeAllPoints!$B$2:$B$957,0)),'Pipe Table'!$A$2:$A$14,0))</f>
        <v>EndUsr</v>
      </c>
      <c r="E482" t="str">
        <f>INDEX('TE_OA_20200805_INTRDY_2020-08-0'!$H$2:$H$870,MATCH(Filter!B482,'TE_OA_20200805_INTRDY_2020-08-0'!$G$2:$G$870))</f>
        <v>Entergy Mississippi, LLC-Choctaw Co., MS</v>
      </c>
      <c r="F482" t="str">
        <f>INDEX('Pipe Table'!$H$2:$H$8,MATCH('TE_OA_20200805_INTRDY_2020-08-0'!I463,'Pipe Table'!$G$2:$G$8,0))</f>
        <v>TETCO-M1</v>
      </c>
      <c r="G482" t="str">
        <f>INDEX(TeAllPoints!$D$2:$D$957,MATCH(Filter!B482,TeAllPoints!$B$2:$B$957,0))</f>
        <v>MS</v>
      </c>
      <c r="H482" t="str">
        <f>INDEX(TeAllPoints!$E$2:$E$957,MATCH(Filter!B482,TeAllPoints!$B$2:$B$957,0))</f>
        <v>CHOCTAW</v>
      </c>
      <c r="I482">
        <f>INDEX('TE_OA_20200805_INTRDY_2020-08-0'!$Q$2:$Q$870,MATCH(Filter!B482,'TE_OA_20200805_INTRDY_2020-08-0'!$G$2:$G$870))</f>
        <v>267711</v>
      </c>
      <c r="J482">
        <f>INDEX('TE_OA_20200805_INTRDY_2020-08-0'!$R$2:$R$870,MATCH(Filter!B482,'TE_OA_20200805_INTRDY_2020-08-0'!$G$2:$G$870))</f>
        <v>129844</v>
      </c>
    </row>
    <row r="483" spans="1:10" x14ac:dyDescent="0.25">
      <c r="A483" t="str">
        <f>INDEX('Pipe Table'!$E$2:$E$10,MATCH(INDEX('TE_OA_20200805_INTRDY_2020-08-0'!$T$2:$T$870,MATCH(Filter!B483,'TE_OA_20200805_INTRDY_2020-08-0'!$G$2:$G$870,0)),'Pipe Table'!$D$2:$D$10,0))</f>
        <v>TETCO</v>
      </c>
      <c r="B483">
        <v>73341</v>
      </c>
      <c r="C483" t="str">
        <f>INDEX('TE_OA_20200805_INTRDY_2020-08-0'!$J$2:$J$870,MATCH(Filter!B483,'TE_OA_20200805_INTRDY_2020-08-0'!$G$2:$G$870))</f>
        <v>Receipt</v>
      </c>
      <c r="D483" t="str">
        <f>INDEX('Pipe Table'!$B$2:$B$14,MATCH(INDEX(TeAllPoints!$I$2:$I$957,MATCH(Filter!B483,TeAllPoints!$B$2:$B$957,0)),'Pipe Table'!$A$2:$A$14,0))</f>
        <v>Wellhead</v>
      </c>
      <c r="E483" t="str">
        <f>INDEX('TE_OA_20200805_INTRDY_2020-08-0'!$H$2:$H$870,MATCH(Filter!B483,'TE_OA_20200805_INTRDY_2020-08-0'!$G$2:$G$870))</f>
        <v>CIMA Energy LTD - Gath. System / Dewitt Co., TX  (REC)</v>
      </c>
      <c r="F483" t="str">
        <f>INDEX('Pipe Table'!$H$2:$H$8,MATCH('TE_OA_20200805_INTRDY_2020-08-0'!I464,'Pipe Table'!$G$2:$G$8,0))</f>
        <v>TETCO-STX</v>
      </c>
      <c r="G483" t="str">
        <f>INDEX(TeAllPoints!$D$2:$D$957,MATCH(Filter!B483,TeAllPoints!$B$2:$B$957,0))</f>
        <v>TX</v>
      </c>
      <c r="H483" t="str">
        <f>INDEX(TeAllPoints!$E$2:$E$957,MATCH(Filter!B483,TeAllPoints!$B$2:$B$957,0))</f>
        <v>DE WITT</v>
      </c>
      <c r="I483">
        <f>INDEX('TE_OA_20200805_INTRDY_2020-08-0'!$Q$2:$Q$870,MATCH(Filter!B483,'TE_OA_20200805_INTRDY_2020-08-0'!$G$2:$G$870))</f>
        <v>4046</v>
      </c>
      <c r="J483">
        <f>INDEX('TE_OA_20200805_INTRDY_2020-08-0'!$R$2:$R$870,MATCH(Filter!B483,'TE_OA_20200805_INTRDY_2020-08-0'!$G$2:$G$870))</f>
        <v>1</v>
      </c>
    </row>
    <row r="484" spans="1:10" x14ac:dyDescent="0.25">
      <c r="A484" t="str">
        <f>INDEX('Pipe Table'!$E$2:$E$10,MATCH(INDEX('TE_OA_20200805_INTRDY_2020-08-0'!$T$2:$T$870,MATCH(Filter!B484,'TE_OA_20200805_INTRDY_2020-08-0'!$G$2:$G$870,0)),'Pipe Table'!$D$2:$D$10,0))</f>
        <v>TETCO</v>
      </c>
      <c r="B484">
        <v>73345</v>
      </c>
      <c r="C484" t="str">
        <f>INDEX('TE_OA_20200805_INTRDY_2020-08-0'!$J$2:$J$870,MATCH(Filter!B484,'TE_OA_20200805_INTRDY_2020-08-0'!$G$2:$G$870))</f>
        <v>Receipt</v>
      </c>
      <c r="D484" t="str">
        <f>INDEX('Pipe Table'!$B$2:$B$14,MATCH(INDEX(TeAllPoints!$I$2:$I$957,MATCH(Filter!B484,TeAllPoints!$B$2:$B$957,0)),'Pipe Table'!$A$2:$A$14,0))</f>
        <v>Wellhead</v>
      </c>
      <c r="E484" t="str">
        <f>INDEX('TE_OA_20200805_INTRDY_2020-08-0'!$H$2:$H$870,MATCH(Filter!B484,'TE_OA_20200805_INTRDY_2020-08-0'!$G$2:$G$870))</f>
        <v>DEFS/Santa Fe Ranch Gathering - Kleberg Co., TX (REC)</v>
      </c>
      <c r="F484" t="str">
        <f>INDEX('Pipe Table'!$H$2:$H$8,MATCH('TE_OA_20200805_INTRDY_2020-08-0'!I465,'Pipe Table'!$G$2:$G$8,0))</f>
        <v>TETCO-STX</v>
      </c>
      <c r="G484" t="str">
        <f>INDEX(TeAllPoints!$D$2:$D$957,MATCH(Filter!B484,TeAllPoints!$B$2:$B$957,0))</f>
        <v>TX</v>
      </c>
      <c r="H484" t="str">
        <f>INDEX(TeAllPoints!$E$2:$E$957,MATCH(Filter!B484,TeAllPoints!$B$2:$B$957,0))</f>
        <v>KENEDY</v>
      </c>
      <c r="I484">
        <f>INDEX('TE_OA_20200805_INTRDY_2020-08-0'!$Q$2:$Q$870,MATCH(Filter!B484,'TE_OA_20200805_INTRDY_2020-08-0'!$G$2:$G$870))</f>
        <v>36172</v>
      </c>
      <c r="J484">
        <f>INDEX('TE_OA_20200805_INTRDY_2020-08-0'!$R$2:$R$870,MATCH(Filter!B484,'TE_OA_20200805_INTRDY_2020-08-0'!$G$2:$G$870))</f>
        <v>0</v>
      </c>
    </row>
    <row r="485" spans="1:10" x14ac:dyDescent="0.25">
      <c r="A485" t="str">
        <f>INDEX('Pipe Table'!$E$2:$E$10,MATCH(INDEX('TE_OA_20200805_INTRDY_2020-08-0'!$T$2:$T$870,MATCH(Filter!B485,'TE_OA_20200805_INTRDY_2020-08-0'!$G$2:$G$870,0)),'Pipe Table'!$D$2:$D$10,0))</f>
        <v>TETCO</v>
      </c>
      <c r="B485">
        <v>73346</v>
      </c>
      <c r="C485" t="str">
        <f>INDEX('TE_OA_20200805_INTRDY_2020-08-0'!$J$2:$J$870,MATCH(Filter!B485,'TE_OA_20200805_INTRDY_2020-08-0'!$G$2:$G$870))</f>
        <v>Delivery</v>
      </c>
      <c r="D485" t="str">
        <f>INDEX('Pipe Table'!$B$2:$B$14,MATCH(INDEX(TeAllPoints!$I$2:$I$957,MATCH(Filter!B485,TeAllPoints!$B$2:$B$957,0)),'Pipe Table'!$A$2:$A$14,0))</f>
        <v>EndUsr</v>
      </c>
      <c r="E485" t="str">
        <f>INDEX('TE_OA_20200805_INTRDY_2020-08-0'!$H$2:$H$870,MATCH(Filter!B485,'TE_OA_20200805_INTRDY_2020-08-0'!$G$2:$G$870))</f>
        <v>Dynegy Fayette ll, LLC  (Dynegy Faye)</v>
      </c>
      <c r="F485" t="str">
        <f>INDEX('Pipe Table'!$H$2:$H$8,MATCH('TE_OA_20200805_INTRDY_2020-08-0'!I466,'Pipe Table'!$G$2:$G$8,0))</f>
        <v>TETCO-M2</v>
      </c>
      <c r="G485" t="str">
        <f>INDEX(TeAllPoints!$D$2:$D$957,MATCH(Filter!B485,TeAllPoints!$B$2:$B$957,0))</f>
        <v>PA</v>
      </c>
      <c r="H485" t="str">
        <f>INDEX(TeAllPoints!$E$2:$E$957,MATCH(Filter!B485,TeAllPoints!$B$2:$B$957,0))</f>
        <v>FAYETTE</v>
      </c>
      <c r="I485">
        <f>INDEX('TE_OA_20200805_INTRDY_2020-08-0'!$Q$2:$Q$870,MATCH(Filter!B485,'TE_OA_20200805_INTRDY_2020-08-0'!$G$2:$G$870))</f>
        <v>230707</v>
      </c>
      <c r="J485">
        <f>INDEX('TE_OA_20200805_INTRDY_2020-08-0'!$R$2:$R$870,MATCH(Filter!B485,'TE_OA_20200805_INTRDY_2020-08-0'!$G$2:$G$870))</f>
        <v>113264</v>
      </c>
    </row>
    <row r="486" spans="1:10" x14ac:dyDescent="0.25">
      <c r="A486" t="str">
        <f>INDEX('Pipe Table'!$E$2:$E$10,MATCH(INDEX('TE_OA_20200805_INTRDY_2020-08-0'!$T$2:$T$870,MATCH(Filter!B486,'TE_OA_20200805_INTRDY_2020-08-0'!$G$2:$G$870,0)),'Pipe Table'!$D$2:$D$10,0))</f>
        <v>TETCO</v>
      </c>
      <c r="B486">
        <v>73348</v>
      </c>
      <c r="C486" t="str">
        <f>INDEX('TE_OA_20200805_INTRDY_2020-08-0'!$J$2:$J$870,MATCH(Filter!B486,'TE_OA_20200805_INTRDY_2020-08-0'!$G$2:$G$870))</f>
        <v>Delivery</v>
      </c>
      <c r="D486" t="str">
        <f>INDEX('Pipe Table'!$B$2:$B$14,MATCH(INDEX(TeAllPoints!$I$2:$I$957,MATCH(Filter!B486,TeAllPoints!$B$2:$B$957,0)),'Pipe Table'!$A$2:$A$14,0))</f>
        <v>LDC</v>
      </c>
      <c r="E486" t="str">
        <f>INDEX('TE_OA_20200805_INTRDY_2020-08-0'!$H$2:$H$870,MATCH(Filter!B486,'TE_OA_20200805_INTRDY_2020-08-0'!$G$2:$G$870))</f>
        <v>TREMONT DELIVERY, ITAWAMBA CO., MS</v>
      </c>
      <c r="F486" t="str">
        <f>INDEX('Pipe Table'!$H$2:$H$8,MATCH('TE_OA_20200805_INTRDY_2020-08-0'!I467,'Pipe Table'!$G$2:$G$8,0))</f>
        <v>TETCO-M1</v>
      </c>
      <c r="G486" t="str">
        <f>INDEX(TeAllPoints!$D$2:$D$957,MATCH(Filter!B486,TeAllPoints!$B$2:$B$957,0))</f>
        <v>MS</v>
      </c>
      <c r="H486" t="str">
        <f>INDEX(TeAllPoints!$E$2:$E$957,MATCH(Filter!B486,TeAllPoints!$B$2:$B$957,0))</f>
        <v>ITAWAMBA</v>
      </c>
      <c r="I486">
        <f>INDEX('TE_OA_20200805_INTRDY_2020-08-0'!$Q$2:$Q$870,MATCH(Filter!B486,'TE_OA_20200805_INTRDY_2020-08-0'!$G$2:$G$870))</f>
        <v>16248</v>
      </c>
      <c r="J486">
        <f>INDEX('TE_OA_20200805_INTRDY_2020-08-0'!$R$2:$R$870,MATCH(Filter!B486,'TE_OA_20200805_INTRDY_2020-08-0'!$G$2:$G$870))</f>
        <v>1</v>
      </c>
    </row>
    <row r="487" spans="1:10" x14ac:dyDescent="0.25">
      <c r="A487" t="str">
        <f>INDEX('Pipe Table'!$E$2:$E$10,MATCH(INDEX('TE_OA_20200805_INTRDY_2020-08-0'!$T$2:$T$870,MATCH(Filter!B487,'TE_OA_20200805_INTRDY_2020-08-0'!$G$2:$G$870,0)),'Pipe Table'!$D$2:$D$10,0))</f>
        <v>TETCO</v>
      </c>
      <c r="B487">
        <v>73349</v>
      </c>
      <c r="C487" t="str">
        <f>INDEX('TE_OA_20200805_INTRDY_2020-08-0'!$J$2:$J$870,MATCH(Filter!B487,'TE_OA_20200805_INTRDY_2020-08-0'!$G$2:$G$870))</f>
        <v>Delivery</v>
      </c>
      <c r="D487" t="str">
        <f>INDEX('Pipe Table'!$B$2:$B$14,MATCH(INDEX(TeAllPoints!$I$2:$I$957,MATCH(Filter!B487,TeAllPoints!$B$2:$B$957,0)),'Pipe Table'!$A$2:$A$14,0))</f>
        <v>EndUsr</v>
      </c>
      <c r="E487" t="str">
        <f>INDEX('TE_OA_20200805_INTRDY_2020-08-0'!$H$2:$H$870,MATCH(Filter!B487,'TE_OA_20200805_INTRDY_2020-08-0'!$G$2:$G$870))</f>
        <v>Dynegy Hanging Rock II, LLC</v>
      </c>
      <c r="F487" t="str">
        <f>INDEX('Pipe Table'!$H$2:$H$8,MATCH('TE_OA_20200805_INTRDY_2020-08-0'!I468,'Pipe Table'!$G$2:$G$8,0))</f>
        <v>TETCO-M2</v>
      </c>
      <c r="G487" t="str">
        <f>INDEX(TeAllPoints!$D$2:$D$957,MATCH(Filter!B487,TeAllPoints!$B$2:$B$957,0))</f>
        <v>OH</v>
      </c>
      <c r="H487" t="str">
        <f>INDEX(TeAllPoints!$E$2:$E$957,MATCH(Filter!B487,TeAllPoints!$B$2:$B$957,0))</f>
        <v>SCIOTO</v>
      </c>
      <c r="I487">
        <f>INDEX('TE_OA_20200805_INTRDY_2020-08-0'!$Q$2:$Q$870,MATCH(Filter!B487,'TE_OA_20200805_INTRDY_2020-08-0'!$G$2:$G$870))</f>
        <v>207092</v>
      </c>
      <c r="J487">
        <f>INDEX('TE_OA_20200805_INTRDY_2020-08-0'!$R$2:$R$870,MATCH(Filter!B487,'TE_OA_20200805_INTRDY_2020-08-0'!$G$2:$G$870))</f>
        <v>172649</v>
      </c>
    </row>
    <row r="488" spans="1:10" x14ac:dyDescent="0.25">
      <c r="A488" t="str">
        <f>INDEX('Pipe Table'!$E$2:$E$10,MATCH(INDEX('TE_OA_20200805_INTRDY_2020-08-0'!$T$2:$T$870,MATCH(Filter!B488,'TE_OA_20200805_INTRDY_2020-08-0'!$G$2:$G$870,0)),'Pipe Table'!$D$2:$D$10,0))</f>
        <v>TETCO</v>
      </c>
      <c r="B488">
        <v>73350</v>
      </c>
      <c r="C488" t="str">
        <f>INDEX('TE_OA_20200805_INTRDY_2020-08-0'!$J$2:$J$870,MATCH(Filter!B488,'TE_OA_20200805_INTRDY_2020-08-0'!$G$2:$G$870))</f>
        <v>Delivery</v>
      </c>
      <c r="D488" t="str">
        <f>INDEX('Pipe Table'!$B$2:$B$14,MATCH(INDEX(TeAllPoints!$I$2:$I$957,MATCH(Filter!B488,TeAllPoints!$B$2:$B$957,0)),'Pipe Table'!$A$2:$A$14,0))</f>
        <v>LDC</v>
      </c>
      <c r="E488" t="str">
        <f>INDEX('TE_OA_20200805_INTRDY_2020-08-0'!$H$2:$H$870,MATCH(Filter!B488,'TE_OA_20200805_INTRDY_2020-08-0'!$G$2:$G$870))</f>
        <v>CANTON MUNICIPAL UTILITIES</v>
      </c>
      <c r="F488" t="str">
        <f>INDEX('Pipe Table'!$H$2:$H$8,MATCH('TE_OA_20200805_INTRDY_2020-08-0'!I469,'Pipe Table'!$G$2:$G$8,0))</f>
        <v>TETCO-ELA</v>
      </c>
      <c r="G488" t="str">
        <f>INDEX(TeAllPoints!$D$2:$D$957,MATCH(Filter!B488,TeAllPoints!$B$2:$B$957,0))</f>
        <v>MS</v>
      </c>
      <c r="H488" t="str">
        <f>INDEX(TeAllPoints!$E$2:$E$957,MATCH(Filter!B488,TeAllPoints!$B$2:$B$957,0))</f>
        <v>MADISON</v>
      </c>
      <c r="I488">
        <f>INDEX('TE_OA_20200805_INTRDY_2020-08-0'!$Q$2:$Q$870,MATCH(Filter!B488,'TE_OA_20200805_INTRDY_2020-08-0'!$G$2:$G$870))</f>
        <v>55873</v>
      </c>
      <c r="J488">
        <f>INDEX('TE_OA_20200805_INTRDY_2020-08-0'!$R$2:$R$870,MATCH(Filter!B488,'TE_OA_20200805_INTRDY_2020-08-0'!$G$2:$G$870))</f>
        <v>1370</v>
      </c>
    </row>
    <row r="489" spans="1:10" x14ac:dyDescent="0.25">
      <c r="A489" t="str">
        <f>INDEX('Pipe Table'!$E$2:$E$10,MATCH(INDEX('TE_OA_20200805_INTRDY_2020-08-0'!$T$2:$T$870,MATCH(Filter!B489,'TE_OA_20200805_INTRDY_2020-08-0'!$G$2:$G$870,0)),'Pipe Table'!$D$2:$D$10,0))</f>
        <v>TETCO</v>
      </c>
      <c r="B489">
        <v>73355</v>
      </c>
      <c r="C489" t="str">
        <f>INDEX('TE_OA_20200805_INTRDY_2020-08-0'!$J$2:$J$870,MATCH(Filter!B489,'TE_OA_20200805_INTRDY_2020-08-0'!$G$2:$G$870))</f>
        <v>Receipt</v>
      </c>
      <c r="D489" t="str">
        <f>INDEX('Pipe Table'!$B$2:$B$14,MATCH(INDEX(TeAllPoints!$I$2:$I$957,MATCH(Filter!B489,TeAllPoints!$B$2:$B$957,0)),'Pipe Table'!$A$2:$A$14,0))</f>
        <v>Wellhead</v>
      </c>
      <c r="E489" t="str">
        <f>INDEX('TE_OA_20200805_INTRDY_2020-08-0'!$H$2:$H$870,MATCH(Filter!B489,'TE_OA_20200805_INTRDY_2020-08-0'!$G$2:$G$870))</f>
        <v>GRAYSON HILL FARMS-METHANE POWER-SALINE CO., IL</v>
      </c>
      <c r="F489" t="str">
        <f>INDEX('Pipe Table'!$H$2:$H$8,MATCH('TE_OA_20200805_INTRDY_2020-08-0'!I470,'Pipe Table'!$G$2:$G$8,0))</f>
        <v>TETCO-M1</v>
      </c>
      <c r="G489" t="str">
        <f>INDEX(TeAllPoints!$D$2:$D$957,MATCH(Filter!B489,TeAllPoints!$B$2:$B$957,0))</f>
        <v>IL</v>
      </c>
      <c r="H489" t="str">
        <f>INDEX(TeAllPoints!$E$2:$E$957,MATCH(Filter!B489,TeAllPoints!$B$2:$B$957,0))</f>
        <v>SALINE</v>
      </c>
      <c r="I489">
        <f>INDEX('TE_OA_20200805_INTRDY_2020-08-0'!$Q$2:$Q$870,MATCH(Filter!B489,'TE_OA_20200805_INTRDY_2020-08-0'!$G$2:$G$870))</f>
        <v>3328</v>
      </c>
      <c r="J489">
        <f>INDEX('TE_OA_20200805_INTRDY_2020-08-0'!$R$2:$R$870,MATCH(Filter!B489,'TE_OA_20200805_INTRDY_2020-08-0'!$G$2:$G$870))</f>
        <v>1</v>
      </c>
    </row>
    <row r="490" spans="1:10" x14ac:dyDescent="0.25">
      <c r="A490" t="str">
        <f>INDEX('Pipe Table'!$E$2:$E$10,MATCH(INDEX('TE_OA_20200805_INTRDY_2020-08-0'!$T$2:$T$870,MATCH(Filter!B490,'TE_OA_20200805_INTRDY_2020-08-0'!$G$2:$G$870,0)),'Pipe Table'!$D$2:$D$10,0))</f>
        <v>TETCO</v>
      </c>
      <c r="B490">
        <v>73362</v>
      </c>
      <c r="C490" t="str">
        <f>INDEX('TE_OA_20200805_INTRDY_2020-08-0'!$J$2:$J$870,MATCH(Filter!B490,'TE_OA_20200805_INTRDY_2020-08-0'!$G$2:$G$870))</f>
        <v>Receipt</v>
      </c>
      <c r="D490" t="str">
        <f>INDEX('Pipe Table'!$B$2:$B$14,MATCH(INDEX(TeAllPoints!$I$2:$I$957,MATCH(Filter!B490,TeAllPoints!$B$2:$B$957,0)),'Pipe Table'!$A$2:$A$14,0))</f>
        <v>Wellhead</v>
      </c>
      <c r="E490" t="str">
        <f>INDEX('TE_OA_20200805_INTRDY_2020-08-0'!$H$2:$H$870,MATCH(Filter!B490,'TE_OA_20200805_INTRDY_2020-08-0'!$G$2:$G$870))</f>
        <v>Suemaur E&amp;P-Pedraza #1 - Hidalgo Co., TX (REC)</v>
      </c>
      <c r="F490" t="str">
        <f>INDEX('Pipe Table'!$H$2:$H$8,MATCH('TE_OA_20200805_INTRDY_2020-08-0'!I471,'Pipe Table'!$G$2:$G$8,0))</f>
        <v>TETCO-STX</v>
      </c>
      <c r="G490" t="str">
        <f>INDEX(TeAllPoints!$D$2:$D$957,MATCH(Filter!B490,TeAllPoints!$B$2:$B$957,0))</f>
        <v>TX</v>
      </c>
      <c r="H490" t="str">
        <f>INDEX(TeAllPoints!$E$2:$E$957,MATCH(Filter!B490,TeAllPoints!$B$2:$B$957,0))</f>
        <v>HIDALGO</v>
      </c>
      <c r="I490">
        <f>INDEX('TE_OA_20200805_INTRDY_2020-08-0'!$Q$2:$Q$870,MATCH(Filter!B490,'TE_OA_20200805_INTRDY_2020-08-0'!$G$2:$G$870))</f>
        <v>9037</v>
      </c>
      <c r="J490">
        <f>INDEX('TE_OA_20200805_INTRDY_2020-08-0'!$R$2:$R$870,MATCH(Filter!B490,'TE_OA_20200805_INTRDY_2020-08-0'!$G$2:$G$870))</f>
        <v>1</v>
      </c>
    </row>
    <row r="491" spans="1:10" x14ac:dyDescent="0.25">
      <c r="A491" t="str">
        <f>INDEX('Pipe Table'!$E$2:$E$10,MATCH(INDEX('TE_OA_20200805_INTRDY_2020-08-0'!$T$2:$T$870,MATCH(Filter!B491,'TE_OA_20200805_INTRDY_2020-08-0'!$G$2:$G$870,0)),'Pipe Table'!$D$2:$D$10,0))</f>
        <v>TETCO</v>
      </c>
      <c r="B491">
        <v>73364</v>
      </c>
      <c r="C491" t="str">
        <f>INDEX('TE_OA_20200805_INTRDY_2020-08-0'!$J$2:$J$870,MATCH(Filter!B491,'TE_OA_20200805_INTRDY_2020-08-0'!$G$2:$G$870))</f>
        <v>Receipt</v>
      </c>
      <c r="D491" t="str">
        <f>INDEX('Pipe Table'!$B$2:$B$14,MATCH(INDEX(TeAllPoints!$I$2:$I$957,MATCH(Filter!B491,TeAllPoints!$B$2:$B$957,0)),'Pipe Table'!$A$2:$A$14,0))</f>
        <v>Wellhead</v>
      </c>
      <c r="E491" t="str">
        <f>INDEX('TE_OA_20200805_INTRDY_2020-08-0'!$H$2:$H$870,MATCH(Filter!B491,'TE_OA_20200805_INTRDY_2020-08-0'!$G$2:$G$870))</f>
        <v>Brammer-Browder Gathering-San Jacinto Co., TX (REC)</v>
      </c>
      <c r="F491" t="str">
        <f>INDEX('Pipe Table'!$H$2:$H$8,MATCH('TE_OA_20200805_INTRDY_2020-08-0'!I472,'Pipe Table'!$G$2:$G$8,0))</f>
        <v>TETCO-STX</v>
      </c>
      <c r="G491" t="str">
        <f>INDEX(TeAllPoints!$D$2:$D$957,MATCH(Filter!B491,TeAllPoints!$B$2:$B$957,0))</f>
        <v>TX</v>
      </c>
      <c r="H491" t="str">
        <f>INDEX(TeAllPoints!$E$2:$E$957,MATCH(Filter!B491,TeAllPoints!$B$2:$B$957,0))</f>
        <v>SAN JACINTO</v>
      </c>
      <c r="I491">
        <f>INDEX('TE_OA_20200805_INTRDY_2020-08-0'!$Q$2:$Q$870,MATCH(Filter!B491,'TE_OA_20200805_INTRDY_2020-08-0'!$G$2:$G$870))</f>
        <v>3896</v>
      </c>
      <c r="J491">
        <f>INDEX('TE_OA_20200805_INTRDY_2020-08-0'!$R$2:$R$870,MATCH(Filter!B491,'TE_OA_20200805_INTRDY_2020-08-0'!$G$2:$G$870))</f>
        <v>0</v>
      </c>
    </row>
    <row r="492" spans="1:10" x14ac:dyDescent="0.25">
      <c r="A492" t="str">
        <f>INDEX('Pipe Table'!$E$2:$E$10,MATCH(INDEX('TE_OA_20200805_INTRDY_2020-08-0'!$T$2:$T$870,MATCH(Filter!B492,'TE_OA_20200805_INTRDY_2020-08-0'!$G$2:$G$870,0)),'Pipe Table'!$D$2:$D$10,0))</f>
        <v>TETCO</v>
      </c>
      <c r="B492">
        <v>73379</v>
      </c>
      <c r="C492" t="str">
        <f>INDEX('TE_OA_20200805_INTRDY_2020-08-0'!$J$2:$J$870,MATCH(Filter!B492,'TE_OA_20200805_INTRDY_2020-08-0'!$G$2:$G$870))</f>
        <v>Delivery</v>
      </c>
      <c r="D492" t="str">
        <f>INDEX('Pipe Table'!$B$2:$B$14,MATCH(INDEX(TeAllPoints!$I$2:$I$957,MATCH(Filter!B492,TeAllPoints!$B$2:$B$957,0)),'Pipe Table'!$A$2:$A$14,0))</f>
        <v>EndUsr</v>
      </c>
      <c r="E492" t="str">
        <f>INDEX('TE_OA_20200805_INTRDY_2020-08-0'!$H$2:$H$870,MATCH(Filter!B492,'TE_OA_20200805_INTRDY_2020-08-0'!$G$2:$G$870))</f>
        <v>East Kentucky Power Co-op-Clark Co., KY</v>
      </c>
      <c r="F492" t="str">
        <f>INDEX('Pipe Table'!$H$2:$H$8,MATCH('TE_OA_20200805_INTRDY_2020-08-0'!I473,'Pipe Table'!$G$2:$G$8,0))</f>
        <v>TETCO-M2</v>
      </c>
      <c r="G492" t="str">
        <f>INDEX(TeAllPoints!$D$2:$D$957,MATCH(Filter!B492,TeAllPoints!$B$2:$B$957,0))</f>
        <v>KY</v>
      </c>
      <c r="H492" t="str">
        <f>INDEX(TeAllPoints!$E$2:$E$957,MATCH(Filter!B492,TeAllPoints!$B$2:$B$957,0))</f>
        <v>CLARK</v>
      </c>
      <c r="I492">
        <f>INDEX('TE_OA_20200805_INTRDY_2020-08-0'!$Q$2:$Q$870,MATCH(Filter!B492,'TE_OA_20200805_INTRDY_2020-08-0'!$G$2:$G$870))</f>
        <v>607831</v>
      </c>
      <c r="J492">
        <f>INDEX('TE_OA_20200805_INTRDY_2020-08-0'!$R$2:$R$870,MATCH(Filter!B492,'TE_OA_20200805_INTRDY_2020-08-0'!$G$2:$G$870))</f>
        <v>0</v>
      </c>
    </row>
    <row r="493" spans="1:10" x14ac:dyDescent="0.25">
      <c r="A493" t="str">
        <f>INDEX('Pipe Table'!$E$2:$E$10,MATCH(INDEX('TE_OA_20200805_INTRDY_2020-08-0'!$T$2:$T$870,MATCH(Filter!B493,'TE_OA_20200805_INTRDY_2020-08-0'!$G$2:$G$870,0)),'Pipe Table'!$D$2:$D$10,0))</f>
        <v>TETCO</v>
      </c>
      <c r="B493">
        <v>73385</v>
      </c>
      <c r="C493" t="str">
        <f>INDEX('TE_OA_20200805_INTRDY_2020-08-0'!$J$2:$J$870,MATCH(Filter!B493,'TE_OA_20200805_INTRDY_2020-08-0'!$G$2:$G$870))</f>
        <v>Receipt</v>
      </c>
      <c r="D493" t="str">
        <f>INDEX('Pipe Table'!$B$2:$B$14,MATCH(INDEX(TeAllPoints!$I$2:$I$957,MATCH(Filter!B493,TeAllPoints!$B$2:$B$957,0)),'Pipe Table'!$A$2:$A$14,0))</f>
        <v>Wellhead</v>
      </c>
      <c r="E493" t="str">
        <f>INDEX('TE_OA_20200805_INTRDY_2020-08-0'!$H$2:$H$870,MATCH(Filter!B493,'TE_OA_20200805_INTRDY_2020-08-0'!$G$2:$G$870))</f>
        <v>Suemaur E &amp; P - Goldsberry Gathering / Hidalgo Co., TX (REC)</v>
      </c>
      <c r="F493" t="str">
        <f>INDEX('Pipe Table'!$H$2:$H$8,MATCH('TE_OA_20200805_INTRDY_2020-08-0'!I474,'Pipe Table'!$G$2:$G$8,0))</f>
        <v>TETCO-STX</v>
      </c>
      <c r="G493" t="str">
        <f>INDEX(TeAllPoints!$D$2:$D$957,MATCH(Filter!B493,TeAllPoints!$B$2:$B$957,0))</f>
        <v>TX</v>
      </c>
      <c r="H493" t="str">
        <f>INDEX(TeAllPoints!$E$2:$E$957,MATCH(Filter!B493,TeAllPoints!$B$2:$B$957,0))</f>
        <v>HIDALGO</v>
      </c>
      <c r="I493">
        <f>INDEX('TE_OA_20200805_INTRDY_2020-08-0'!$Q$2:$Q$870,MATCH(Filter!B493,'TE_OA_20200805_INTRDY_2020-08-0'!$G$2:$G$870))</f>
        <v>9005</v>
      </c>
      <c r="J493">
        <f>INDEX('TE_OA_20200805_INTRDY_2020-08-0'!$R$2:$R$870,MATCH(Filter!B493,'TE_OA_20200805_INTRDY_2020-08-0'!$G$2:$G$870))</f>
        <v>0</v>
      </c>
    </row>
    <row r="494" spans="1:10" x14ac:dyDescent="0.25">
      <c r="A494" t="str">
        <f>INDEX('Pipe Table'!$E$2:$E$10,MATCH(INDEX('TE_OA_20200805_INTRDY_2020-08-0'!$T$2:$T$870,MATCH(Filter!B494,'TE_OA_20200805_INTRDY_2020-08-0'!$G$2:$G$870,0)),'Pipe Table'!$D$2:$D$10,0))</f>
        <v>TETCO</v>
      </c>
      <c r="B494">
        <v>73388</v>
      </c>
      <c r="C494" t="str">
        <f>INDEX('TE_OA_20200805_INTRDY_2020-08-0'!$J$2:$J$870,MATCH(Filter!B494,'TE_OA_20200805_INTRDY_2020-08-0'!$G$2:$G$870))</f>
        <v>Delivery</v>
      </c>
      <c r="D494" t="str">
        <f>INDEX('Pipe Table'!$B$2:$B$14,MATCH(INDEX(TeAllPoints!$I$2:$I$957,MATCH(Filter!B494,TeAllPoints!$B$2:$B$957,0)),'Pipe Table'!$A$2:$A$14,0))</f>
        <v>Intrcnnct</v>
      </c>
      <c r="E494" t="str">
        <f>INDEX('TE_OA_20200805_INTRDY_2020-08-0'!$H$2:$H$870,MATCH(Filter!B494,'TE_OA_20200805_INTRDY_2020-08-0'!$G$2:$G$870))</f>
        <v>Montgomery Gas Transmission, Inc. - Montgomery Co., TX (DEL)</v>
      </c>
      <c r="F494" t="str">
        <f>INDEX('Pipe Table'!$H$2:$H$8,MATCH('TE_OA_20200805_INTRDY_2020-08-0'!I475,'Pipe Table'!$G$2:$G$8,0))</f>
        <v>TETCO-STX</v>
      </c>
      <c r="G494" t="str">
        <f>INDEX(TeAllPoints!$D$2:$D$957,MATCH(Filter!B494,TeAllPoints!$B$2:$B$957,0))</f>
        <v>TX</v>
      </c>
      <c r="H494" t="str">
        <f>INDEX(TeAllPoints!$E$2:$E$957,MATCH(Filter!B494,TeAllPoints!$B$2:$B$957,0))</f>
        <v>MONTGOMERY</v>
      </c>
      <c r="I494">
        <f>INDEX('TE_OA_20200805_INTRDY_2020-08-0'!$Q$2:$Q$870,MATCH(Filter!B494,'TE_OA_20200805_INTRDY_2020-08-0'!$G$2:$G$870))</f>
        <v>8879</v>
      </c>
      <c r="J494">
        <f>INDEX('TE_OA_20200805_INTRDY_2020-08-0'!$R$2:$R$870,MATCH(Filter!B494,'TE_OA_20200805_INTRDY_2020-08-0'!$G$2:$G$870))</f>
        <v>297</v>
      </c>
    </row>
    <row r="495" spans="1:10" x14ac:dyDescent="0.25">
      <c r="A495" t="str">
        <f>INDEX('Pipe Table'!$E$2:$E$10,MATCH(INDEX('TE_OA_20200805_INTRDY_2020-08-0'!$T$2:$T$870,MATCH(Filter!B495,'TE_OA_20200805_INTRDY_2020-08-0'!$G$2:$G$870,0)),'Pipe Table'!$D$2:$D$10,0))</f>
        <v>TETCO</v>
      </c>
      <c r="B495">
        <v>73391</v>
      </c>
      <c r="C495" t="str">
        <f>INDEX('TE_OA_20200805_INTRDY_2020-08-0'!$J$2:$J$870,MATCH(Filter!B495,'TE_OA_20200805_INTRDY_2020-08-0'!$G$2:$G$870))</f>
        <v>Receipt</v>
      </c>
      <c r="D495" t="str">
        <f>INDEX('Pipe Table'!$B$2:$B$14,MATCH(INDEX(TeAllPoints!$I$2:$I$957,MATCH(Filter!B495,TeAllPoints!$B$2:$B$957,0)),'Pipe Table'!$A$2:$A$14,0))</f>
        <v>Wellhead</v>
      </c>
      <c r="E495" t="str">
        <f>INDEX('TE_OA_20200805_INTRDY_2020-08-0'!$H$2:$H$870,MATCH(Filter!B495,'TE_OA_20200805_INTRDY_2020-08-0'!$G$2:$G$870))</f>
        <v>Arcadia Operating,LLC- Golden Miner #1 / San Jacinto Co., TX (REC)</v>
      </c>
      <c r="F495" t="str">
        <f>INDEX('Pipe Table'!$H$2:$H$8,MATCH('TE_OA_20200805_INTRDY_2020-08-0'!I476,'Pipe Table'!$G$2:$G$8,0))</f>
        <v>TETCO-STX</v>
      </c>
      <c r="G495" t="str">
        <f>INDEX(TeAllPoints!$D$2:$D$957,MATCH(Filter!B495,TeAllPoints!$B$2:$B$957,0))</f>
        <v>TX</v>
      </c>
      <c r="H495" t="str">
        <f>INDEX(TeAllPoints!$E$2:$E$957,MATCH(Filter!B495,TeAllPoints!$B$2:$B$957,0))</f>
        <v>SAN JACINTO</v>
      </c>
      <c r="I495">
        <f>INDEX('TE_OA_20200805_INTRDY_2020-08-0'!$Q$2:$Q$870,MATCH(Filter!B495,'TE_OA_20200805_INTRDY_2020-08-0'!$G$2:$G$870))</f>
        <v>9732</v>
      </c>
      <c r="J495">
        <f>INDEX('TE_OA_20200805_INTRDY_2020-08-0'!$R$2:$R$870,MATCH(Filter!B495,'TE_OA_20200805_INTRDY_2020-08-0'!$G$2:$G$870))</f>
        <v>819</v>
      </c>
    </row>
    <row r="496" spans="1:10" x14ac:dyDescent="0.25">
      <c r="A496" t="str">
        <f>INDEX('Pipe Table'!$E$2:$E$10,MATCH(INDEX('TE_OA_20200805_INTRDY_2020-08-0'!$T$2:$T$870,MATCH(Filter!B496,'TE_OA_20200805_INTRDY_2020-08-0'!$G$2:$G$870,0)),'Pipe Table'!$D$2:$D$10,0))</f>
        <v>TETCO</v>
      </c>
      <c r="B496">
        <v>73393</v>
      </c>
      <c r="C496" t="str">
        <f>INDEX('TE_OA_20200805_INTRDY_2020-08-0'!$J$2:$J$870,MATCH(Filter!B496,'TE_OA_20200805_INTRDY_2020-08-0'!$G$2:$G$870))</f>
        <v>Delivery</v>
      </c>
      <c r="D496" t="str">
        <f>INDEX('Pipe Table'!$B$2:$B$14,MATCH(INDEX(TeAllPoints!$I$2:$I$957,MATCH(Filter!B496,TeAllPoints!$B$2:$B$957,0)),'Pipe Table'!$A$2:$A$14,0))</f>
        <v>EndUsr</v>
      </c>
      <c r="E496" t="str">
        <f>INDEX('TE_OA_20200805_INTRDY_2020-08-0'!$H$2:$H$870,MATCH(Filter!B496,'TE_OA_20200805_INTRDY_2020-08-0'!$G$2:$G$870))</f>
        <v>Fieldwood Energy - SP 89-B Buyback</v>
      </c>
      <c r="F496" t="str">
        <f>INDEX('Pipe Table'!$H$2:$H$8,MATCH('TE_OA_20200805_INTRDY_2020-08-0'!I477,'Pipe Table'!$G$2:$G$8,0))</f>
        <v>TETCO-ELA</v>
      </c>
      <c r="G496" t="str">
        <f>INDEX(TeAllPoints!$D$2:$D$957,MATCH(Filter!B496,TeAllPoints!$B$2:$B$957,0))</f>
        <v>OF</v>
      </c>
      <c r="H496" t="str">
        <f>INDEX(TeAllPoints!$E$2:$E$957,MATCH(Filter!B496,TeAllPoints!$B$2:$B$957,0))</f>
        <v>SOUTH PASS</v>
      </c>
      <c r="I496">
        <f>INDEX('TE_OA_20200805_INTRDY_2020-08-0'!$Q$2:$Q$870,MATCH(Filter!B496,'TE_OA_20200805_INTRDY_2020-08-0'!$G$2:$G$870))</f>
        <v>4496</v>
      </c>
      <c r="J496">
        <f>INDEX('TE_OA_20200805_INTRDY_2020-08-0'!$R$2:$R$870,MATCH(Filter!B496,'TE_OA_20200805_INTRDY_2020-08-0'!$G$2:$G$870))</f>
        <v>0</v>
      </c>
    </row>
    <row r="497" spans="1:10" x14ac:dyDescent="0.25">
      <c r="A497" t="str">
        <f>INDEX('Pipe Table'!$E$2:$E$10,MATCH(INDEX('TE_OA_20200805_INTRDY_2020-08-0'!$T$2:$T$870,MATCH(Filter!B497,'TE_OA_20200805_INTRDY_2020-08-0'!$G$2:$G$870,0)),'Pipe Table'!$D$2:$D$10,0))</f>
        <v>TETCO</v>
      </c>
      <c r="B497">
        <v>73399</v>
      </c>
      <c r="C497" t="str">
        <f>INDEX('TE_OA_20200805_INTRDY_2020-08-0'!$J$2:$J$870,MATCH(Filter!B497,'TE_OA_20200805_INTRDY_2020-08-0'!$G$2:$G$870))</f>
        <v>Receipt</v>
      </c>
      <c r="D497" t="str">
        <f>INDEX('Pipe Table'!$B$2:$B$14,MATCH(INDEX(TeAllPoints!$I$2:$I$957,MATCH(Filter!B497,TeAllPoints!$B$2:$B$957,0)),'Pipe Table'!$A$2:$A$14,0))</f>
        <v>Wellhead</v>
      </c>
      <c r="E497" t="str">
        <f>INDEX('TE_OA_20200805_INTRDY_2020-08-0'!$H$2:$H$870,MATCH(Filter!B497,'TE_OA_20200805_INTRDY_2020-08-0'!$G$2:$G$870))</f>
        <v>FFA Petroleum-Kramer Gathering, Jackson Co., TX</v>
      </c>
      <c r="F497" t="str">
        <f>INDEX('Pipe Table'!$H$2:$H$8,MATCH('TE_OA_20200805_INTRDY_2020-08-0'!I478,'Pipe Table'!$G$2:$G$8,0))</f>
        <v>TETCO-STX</v>
      </c>
      <c r="G497" t="str">
        <f>INDEX(TeAllPoints!$D$2:$D$957,MATCH(Filter!B497,TeAllPoints!$B$2:$B$957,0))</f>
        <v>TX</v>
      </c>
      <c r="H497" t="str">
        <f>INDEX(TeAllPoints!$E$2:$E$957,MATCH(Filter!B497,TeAllPoints!$B$2:$B$957,0))</f>
        <v>JACKSON</v>
      </c>
      <c r="I497">
        <f>INDEX('TE_OA_20200805_INTRDY_2020-08-0'!$Q$2:$Q$870,MATCH(Filter!B497,'TE_OA_20200805_INTRDY_2020-08-0'!$G$2:$G$870))</f>
        <v>3601</v>
      </c>
      <c r="J497">
        <f>INDEX('TE_OA_20200805_INTRDY_2020-08-0'!$R$2:$R$870,MATCH(Filter!B497,'TE_OA_20200805_INTRDY_2020-08-0'!$G$2:$G$870))</f>
        <v>90</v>
      </c>
    </row>
    <row r="498" spans="1:10" x14ac:dyDescent="0.25">
      <c r="A498" t="str">
        <f>INDEX('Pipe Table'!$E$2:$E$10,MATCH(INDEX('TE_OA_20200805_INTRDY_2020-08-0'!$T$2:$T$870,MATCH(Filter!B498,'TE_OA_20200805_INTRDY_2020-08-0'!$G$2:$G$870,0)),'Pipe Table'!$D$2:$D$10,0))</f>
        <v>TETCO</v>
      </c>
      <c r="B498">
        <v>73402</v>
      </c>
      <c r="C498" t="str">
        <f>INDEX('TE_OA_20200805_INTRDY_2020-08-0'!$J$2:$J$870,MATCH(Filter!B498,'TE_OA_20200805_INTRDY_2020-08-0'!$G$2:$G$870))</f>
        <v>Receipt</v>
      </c>
      <c r="D498" t="str">
        <f>INDEX('Pipe Table'!$B$2:$B$14,MATCH(INDEX(TeAllPoints!$I$2:$I$957,MATCH(Filter!B498,TeAllPoints!$B$2:$B$957,0)),'Pipe Table'!$A$2:$A$14,0))</f>
        <v>Wellhead</v>
      </c>
      <c r="E498" t="str">
        <f>INDEX('TE_OA_20200805_INTRDY_2020-08-0'!$H$2:$H$870,MATCH(Filter!B498,'TE_OA_20200805_INTRDY_2020-08-0'!$G$2:$G$870))</f>
        <v>Great Lakes(Voytek) Energy Interconnect-Fayette Co., PA</v>
      </c>
      <c r="F498" t="str">
        <f>INDEX('Pipe Table'!$H$2:$H$8,MATCH('TE_OA_20200805_INTRDY_2020-08-0'!I479,'Pipe Table'!$G$2:$G$8,0))</f>
        <v>TETCO-M2</v>
      </c>
      <c r="G498" t="str">
        <f>INDEX(TeAllPoints!$D$2:$D$957,MATCH(Filter!B498,TeAllPoints!$B$2:$B$957,0))</f>
        <v>PA</v>
      </c>
      <c r="H498" t="str">
        <f>INDEX(TeAllPoints!$E$2:$E$957,MATCH(Filter!B498,TeAllPoints!$B$2:$B$957,0))</f>
        <v>FAYETTE</v>
      </c>
      <c r="I498">
        <f>INDEX('TE_OA_20200805_INTRDY_2020-08-0'!$Q$2:$Q$870,MATCH(Filter!B498,'TE_OA_20200805_INTRDY_2020-08-0'!$G$2:$G$870))</f>
        <v>15121</v>
      </c>
      <c r="J498">
        <f>INDEX('TE_OA_20200805_INTRDY_2020-08-0'!$R$2:$R$870,MATCH(Filter!B498,'TE_OA_20200805_INTRDY_2020-08-0'!$G$2:$G$870))</f>
        <v>750</v>
      </c>
    </row>
    <row r="499" spans="1:10" x14ac:dyDescent="0.25">
      <c r="A499" t="str">
        <f>INDEX('Pipe Table'!$E$2:$E$10,MATCH(INDEX('TE_OA_20200805_INTRDY_2020-08-0'!$T$2:$T$870,MATCH(Filter!B499,'TE_OA_20200805_INTRDY_2020-08-0'!$G$2:$G$870,0)),'Pipe Table'!$D$2:$D$10,0))</f>
        <v>TETCO</v>
      </c>
      <c r="B499">
        <v>73407</v>
      </c>
      <c r="C499" t="str">
        <f>INDEX('TE_OA_20200805_INTRDY_2020-08-0'!$J$2:$J$870,MATCH(Filter!B499,'TE_OA_20200805_INTRDY_2020-08-0'!$G$2:$G$870))</f>
        <v>Receipt</v>
      </c>
      <c r="D499" t="str">
        <f>INDEX('Pipe Table'!$B$2:$B$14,MATCH(INDEX(TeAllPoints!$I$2:$I$957,MATCH(Filter!B499,TeAllPoints!$B$2:$B$957,0)),'Pipe Table'!$A$2:$A$14,0))</f>
        <v>Wellhead</v>
      </c>
      <c r="E499" t="str">
        <f>INDEX('TE_OA_20200805_INTRDY_2020-08-0'!$H$2:$H$870,MATCH(Filter!B499,'TE_OA_20200805_INTRDY_2020-08-0'!$G$2:$G$870))</f>
        <v>Chesapeake Operating Inc-Ankenmen Gathering, Brazoria Co., TX</v>
      </c>
      <c r="F499" t="str">
        <f>INDEX('Pipe Table'!$H$2:$H$8,MATCH('TE_OA_20200805_INTRDY_2020-08-0'!I480,'Pipe Table'!$G$2:$G$8,0))</f>
        <v>TETCO-STX</v>
      </c>
      <c r="G499" t="str">
        <f>INDEX(TeAllPoints!$D$2:$D$957,MATCH(Filter!B499,TeAllPoints!$B$2:$B$957,0))</f>
        <v>TX</v>
      </c>
      <c r="H499" t="str">
        <f>INDEX(TeAllPoints!$E$2:$E$957,MATCH(Filter!B499,TeAllPoints!$B$2:$B$957,0))</f>
        <v>BRAZORIA</v>
      </c>
      <c r="I499">
        <f>INDEX('TE_OA_20200805_INTRDY_2020-08-0'!$Q$2:$Q$870,MATCH(Filter!B499,'TE_OA_20200805_INTRDY_2020-08-0'!$G$2:$G$870))</f>
        <v>34246</v>
      </c>
      <c r="J499">
        <f>INDEX('TE_OA_20200805_INTRDY_2020-08-0'!$R$2:$R$870,MATCH(Filter!B499,'TE_OA_20200805_INTRDY_2020-08-0'!$G$2:$G$870))</f>
        <v>300</v>
      </c>
    </row>
    <row r="500" spans="1:10" x14ac:dyDescent="0.25">
      <c r="A500" t="str">
        <f>INDEX('Pipe Table'!$E$2:$E$10,MATCH(INDEX('TE_OA_20200805_INTRDY_2020-08-0'!$T$2:$T$870,MATCH(Filter!B500,'TE_OA_20200805_INTRDY_2020-08-0'!$G$2:$G$870,0)),'Pipe Table'!$D$2:$D$10,0))</f>
        <v>TETCO</v>
      </c>
      <c r="B500">
        <v>73409</v>
      </c>
      <c r="C500" t="str">
        <f>INDEX('TE_OA_20200805_INTRDY_2020-08-0'!$J$2:$J$870,MATCH(Filter!B500,'TE_OA_20200805_INTRDY_2020-08-0'!$G$2:$G$870))</f>
        <v>Receipt</v>
      </c>
      <c r="D500" t="str">
        <f>INDEX('Pipe Table'!$B$2:$B$14,MATCH(INDEX(TeAllPoints!$I$2:$I$957,MATCH(Filter!B500,TeAllPoints!$B$2:$B$957,0)),'Pipe Table'!$A$2:$A$14,0))</f>
        <v>Wellhead</v>
      </c>
      <c r="E500" t="str">
        <f>INDEX('TE_OA_20200805_INTRDY_2020-08-0'!$H$2:$H$870,MATCH(Filter!B500,'TE_OA_20200805_INTRDY_2020-08-0'!$G$2:$G$870))</f>
        <v>Fossil Resources - Brown #1H / Nacogdoches Co., TX</v>
      </c>
      <c r="F500" t="str">
        <f>INDEX('Pipe Table'!$H$2:$H$8,MATCH('TE_OA_20200805_INTRDY_2020-08-0'!I481,'Pipe Table'!$G$2:$G$8,0))</f>
        <v>TETCO-ETX</v>
      </c>
      <c r="G500" t="str">
        <f>INDEX(TeAllPoints!$D$2:$D$957,MATCH(Filter!B500,TeAllPoints!$B$2:$B$957,0))</f>
        <v>TX</v>
      </c>
      <c r="H500" t="str">
        <f>INDEX(TeAllPoints!$E$2:$E$957,MATCH(Filter!B500,TeAllPoints!$B$2:$B$957,0))</f>
        <v>NACOGDOCHES</v>
      </c>
      <c r="I500">
        <f>INDEX('TE_OA_20200805_INTRDY_2020-08-0'!$Q$2:$Q$870,MATCH(Filter!B500,'TE_OA_20200805_INTRDY_2020-08-0'!$G$2:$G$870))</f>
        <v>9733</v>
      </c>
      <c r="J500">
        <f>INDEX('TE_OA_20200805_INTRDY_2020-08-0'!$R$2:$R$870,MATCH(Filter!B500,'TE_OA_20200805_INTRDY_2020-08-0'!$G$2:$G$870))</f>
        <v>200</v>
      </c>
    </row>
    <row r="501" spans="1:10" x14ac:dyDescent="0.25">
      <c r="A501" t="str">
        <f>INDEX('Pipe Table'!$E$2:$E$10,MATCH(INDEX('TE_OA_20200805_INTRDY_2020-08-0'!$T$2:$T$870,MATCH(Filter!B501,'TE_OA_20200805_INTRDY_2020-08-0'!$G$2:$G$870,0)),'Pipe Table'!$D$2:$D$10,0))</f>
        <v>TETCO</v>
      </c>
      <c r="B501">
        <v>73410</v>
      </c>
      <c r="C501" t="str">
        <f>INDEX('TE_OA_20200805_INTRDY_2020-08-0'!$J$2:$J$870,MATCH(Filter!B501,'TE_OA_20200805_INTRDY_2020-08-0'!$G$2:$G$870))</f>
        <v>Receipt</v>
      </c>
      <c r="D501" t="str">
        <f>INDEX('Pipe Table'!$B$2:$B$14,MATCH(INDEX(TeAllPoints!$I$2:$I$957,MATCH(Filter!B501,TeAllPoints!$B$2:$B$957,0)),'Pipe Table'!$A$2:$A$14,0))</f>
        <v>Intrcnnct</v>
      </c>
      <c r="E501" t="str">
        <f>INDEX('TE_OA_20200805_INTRDY_2020-08-0'!$H$2:$H$870,MATCH(Filter!B501,'TE_OA_20200805_INTRDY_2020-08-0'!$G$2:$G$870))</f>
        <v>Centerpoint Energy-Gathering System, Shelby Co., TX (REC)</v>
      </c>
      <c r="F501" t="str">
        <f>INDEX('Pipe Table'!$H$2:$H$8,MATCH('TE_OA_20200805_INTRDY_2020-08-0'!I482,'Pipe Table'!$G$2:$G$8,0))</f>
        <v>TETCO-ETX</v>
      </c>
      <c r="G501" t="str">
        <f>INDEX(TeAllPoints!$D$2:$D$957,MATCH(Filter!B501,TeAllPoints!$B$2:$B$957,0))</f>
        <v>TX</v>
      </c>
      <c r="H501" t="str">
        <f>INDEX(TeAllPoints!$E$2:$E$957,MATCH(Filter!B501,TeAllPoints!$B$2:$B$957,0))</f>
        <v>SHELBY</v>
      </c>
      <c r="I501">
        <f>INDEX('TE_OA_20200805_INTRDY_2020-08-0'!$Q$2:$Q$870,MATCH(Filter!B501,'TE_OA_20200805_INTRDY_2020-08-0'!$G$2:$G$870))</f>
        <v>39370</v>
      </c>
      <c r="J501">
        <f>INDEX('TE_OA_20200805_INTRDY_2020-08-0'!$R$2:$R$870,MATCH(Filter!B501,'TE_OA_20200805_INTRDY_2020-08-0'!$G$2:$G$870))</f>
        <v>2500</v>
      </c>
    </row>
    <row r="502" spans="1:10" x14ac:dyDescent="0.25">
      <c r="A502" t="str">
        <f>INDEX('Pipe Table'!$E$2:$E$10,MATCH(INDEX('TE_OA_20200805_INTRDY_2020-08-0'!$T$2:$T$870,MATCH(Filter!B502,'TE_OA_20200805_INTRDY_2020-08-0'!$G$2:$G$870,0)),'Pipe Table'!$D$2:$D$10,0))</f>
        <v>TETCO</v>
      </c>
      <c r="B502">
        <v>73411</v>
      </c>
      <c r="C502" t="str">
        <f>INDEX('TE_OA_20200805_INTRDY_2020-08-0'!$J$2:$J$870,MATCH(Filter!B502,'TE_OA_20200805_INTRDY_2020-08-0'!$G$2:$G$870))</f>
        <v>Delivery</v>
      </c>
      <c r="D502" t="str">
        <f>INDEX('Pipe Table'!$B$2:$B$14,MATCH(INDEX(TeAllPoints!$I$2:$I$957,MATCH(Filter!B502,TeAllPoints!$B$2:$B$957,0)),'Pipe Table'!$A$2:$A$14,0))</f>
        <v>Intrcnnct</v>
      </c>
      <c r="E502" t="str">
        <f>INDEX('TE_OA_20200805_INTRDY_2020-08-0'!$H$2:$H$870,MATCH(Filter!B502,'TE_OA_20200805_INTRDY_2020-08-0'!$G$2:$G$870))</f>
        <v>Discovery/Transco Delivery, LaFourche Parish, LA</v>
      </c>
      <c r="F502" t="str">
        <f>INDEX('Pipe Table'!$H$2:$H$8,MATCH('TE_OA_20200805_INTRDY_2020-08-0'!I483,'Pipe Table'!$G$2:$G$8,0))</f>
        <v>TETCO-ELA</v>
      </c>
      <c r="G502" t="str">
        <f>INDEX(TeAllPoints!$D$2:$D$957,MATCH(Filter!B502,TeAllPoints!$B$2:$B$957,0))</f>
        <v>LA</v>
      </c>
      <c r="H502" t="str">
        <f>INDEX(TeAllPoints!$E$2:$E$957,MATCH(Filter!B502,TeAllPoints!$B$2:$B$957,0))</f>
        <v>LAFOURCHE</v>
      </c>
      <c r="I502">
        <f>INDEX('TE_OA_20200805_INTRDY_2020-08-0'!$Q$2:$Q$870,MATCH(Filter!B502,'TE_OA_20200805_INTRDY_2020-08-0'!$G$2:$G$870))</f>
        <v>197914</v>
      </c>
      <c r="J502">
        <f>INDEX('TE_OA_20200805_INTRDY_2020-08-0'!$R$2:$R$870,MATCH(Filter!B502,'TE_OA_20200805_INTRDY_2020-08-0'!$G$2:$G$870))</f>
        <v>0</v>
      </c>
    </row>
    <row r="503" spans="1:10" x14ac:dyDescent="0.25">
      <c r="A503" t="str">
        <f>INDEX('Pipe Table'!$E$2:$E$10,MATCH(INDEX('TE_OA_20200805_INTRDY_2020-08-0'!$T$2:$T$870,MATCH(Filter!B503,'TE_OA_20200805_INTRDY_2020-08-0'!$G$2:$G$870,0)),'Pipe Table'!$D$2:$D$10,0))</f>
        <v>TETCO</v>
      </c>
      <c r="B503">
        <v>73412</v>
      </c>
      <c r="C503" t="str">
        <f>INDEX('TE_OA_20200805_INTRDY_2020-08-0'!$J$2:$J$870,MATCH(Filter!B503,'TE_OA_20200805_INTRDY_2020-08-0'!$G$2:$G$870))</f>
        <v>Receipt</v>
      </c>
      <c r="D503" t="str">
        <f>INDEX('Pipe Table'!$B$2:$B$14,MATCH(INDEX(TeAllPoints!$I$2:$I$957,MATCH(Filter!B503,TeAllPoints!$B$2:$B$957,0)),'Pipe Table'!$A$2:$A$14,0))</f>
        <v>Wellhead</v>
      </c>
      <c r="E503" t="str">
        <f>INDEX('TE_OA_20200805_INTRDY_2020-08-0'!$H$2:$H$870,MATCH(Filter!B503,'TE_OA_20200805_INTRDY_2020-08-0'!$G$2:$G$870))</f>
        <v>Buckeye Ranch Gathering - Matagorda Co., TX</v>
      </c>
      <c r="F503" t="str">
        <f>INDEX('Pipe Table'!$H$2:$H$8,MATCH('TE_OA_20200805_INTRDY_2020-08-0'!I484,'Pipe Table'!$G$2:$G$8,0))</f>
        <v>TETCO-STX</v>
      </c>
      <c r="G503" t="str">
        <f>INDEX(TeAllPoints!$D$2:$D$957,MATCH(Filter!B503,TeAllPoints!$B$2:$B$957,0))</f>
        <v>TX</v>
      </c>
      <c r="H503" t="str">
        <f>INDEX(TeAllPoints!$E$2:$E$957,MATCH(Filter!B503,TeAllPoints!$B$2:$B$957,0))</f>
        <v>MATAGORDA</v>
      </c>
      <c r="I503">
        <f>INDEX('TE_OA_20200805_INTRDY_2020-08-0'!$Q$2:$Q$870,MATCH(Filter!B503,'TE_OA_20200805_INTRDY_2020-08-0'!$G$2:$G$870))</f>
        <v>4038</v>
      </c>
      <c r="J503">
        <f>INDEX('TE_OA_20200805_INTRDY_2020-08-0'!$R$2:$R$870,MATCH(Filter!B503,'TE_OA_20200805_INTRDY_2020-08-0'!$G$2:$G$870))</f>
        <v>0</v>
      </c>
    </row>
    <row r="504" spans="1:10" x14ac:dyDescent="0.25">
      <c r="A504" t="str">
        <f>INDEX('Pipe Table'!$E$2:$E$10,MATCH(INDEX('TE_OA_20200805_INTRDY_2020-08-0'!$T$2:$T$870,MATCH(Filter!B504,'TE_OA_20200805_INTRDY_2020-08-0'!$G$2:$G$870,0)),'Pipe Table'!$D$2:$D$10,0))</f>
        <v>TETCO</v>
      </c>
      <c r="B504">
        <v>73413</v>
      </c>
      <c r="C504" t="str">
        <f>INDEX('TE_OA_20200805_INTRDY_2020-08-0'!$J$2:$J$870,MATCH(Filter!B504,'TE_OA_20200805_INTRDY_2020-08-0'!$G$2:$G$870))</f>
        <v>Receipt</v>
      </c>
      <c r="D504" t="str">
        <f>INDEX('Pipe Table'!$B$2:$B$14,MATCH(INDEX(TeAllPoints!$I$2:$I$957,MATCH(Filter!B504,TeAllPoints!$B$2:$B$957,0)),'Pipe Table'!$A$2:$A$14,0))</f>
        <v>Intrcnnct</v>
      </c>
      <c r="E504" t="str">
        <f>INDEX('TE_OA_20200805_INTRDY_2020-08-0'!$H$2:$H$870,MATCH(Filter!B504,'TE_OA_20200805_INTRDY_2020-08-0'!$G$2:$G$870))</f>
        <v>TENNESSEE GAS P/L - HANGING ROCK LATERAL</v>
      </c>
      <c r="F504" t="str">
        <f>INDEX('Pipe Table'!$H$2:$H$8,MATCH('TE_OA_20200805_INTRDY_2020-08-0'!I485,'Pipe Table'!$G$2:$G$8,0))</f>
        <v>TETCO-M2</v>
      </c>
      <c r="G504" t="str">
        <f>INDEX(TeAllPoints!$D$2:$D$957,MATCH(Filter!B504,TeAllPoints!$B$2:$B$957,0))</f>
        <v>OH</v>
      </c>
      <c r="H504" t="str">
        <f>INDEX(TeAllPoints!$E$2:$E$957,MATCH(Filter!B504,TeAllPoints!$B$2:$B$957,0))</f>
        <v>SCIOTO</v>
      </c>
      <c r="I504">
        <f>INDEX('TE_OA_20200805_INTRDY_2020-08-0'!$Q$2:$Q$870,MATCH(Filter!B504,'TE_OA_20200805_INTRDY_2020-08-0'!$G$2:$G$870))</f>
        <v>143338</v>
      </c>
      <c r="J504">
        <f>INDEX('TE_OA_20200805_INTRDY_2020-08-0'!$R$2:$R$870,MATCH(Filter!B504,'TE_OA_20200805_INTRDY_2020-08-0'!$G$2:$G$870))</f>
        <v>160962</v>
      </c>
    </row>
    <row r="505" spans="1:10" x14ac:dyDescent="0.25">
      <c r="A505" t="str">
        <f>INDEX('Pipe Table'!$E$2:$E$10,MATCH(INDEX('TE_OA_20200805_INTRDY_2020-08-0'!$T$2:$T$870,MATCH(Filter!B505,'TE_OA_20200805_INTRDY_2020-08-0'!$G$2:$G$870,0)),'Pipe Table'!$D$2:$D$10,0))</f>
        <v>TETCO</v>
      </c>
      <c r="B505">
        <v>73414</v>
      </c>
      <c r="C505" t="str">
        <f>INDEX('TE_OA_20200805_INTRDY_2020-08-0'!$J$2:$J$870,MATCH(Filter!B505,'TE_OA_20200805_INTRDY_2020-08-0'!$G$2:$G$870))</f>
        <v>Receipt</v>
      </c>
      <c r="D505" t="str">
        <f>INDEX('Pipe Table'!$B$2:$B$14,MATCH(INDEX(TeAllPoints!$I$2:$I$957,MATCH(Filter!B505,TeAllPoints!$B$2:$B$957,0)),'Pipe Table'!$A$2:$A$14,0))</f>
        <v>Wellhead</v>
      </c>
      <c r="E505" t="str">
        <f>INDEX('TE_OA_20200805_INTRDY_2020-08-0'!$H$2:$H$870,MATCH(Filter!B505,'TE_OA_20200805_INTRDY_2020-08-0'!$G$2:$G$870))</f>
        <v>Hesco - Denali Gathering / Hidalgo Co., TX (REC)</v>
      </c>
      <c r="F505" t="str">
        <f>INDEX('Pipe Table'!$H$2:$H$8,MATCH('TE_OA_20200805_INTRDY_2020-08-0'!I486,'Pipe Table'!$G$2:$G$8,0))</f>
        <v>TETCO-STX</v>
      </c>
      <c r="G505" t="str">
        <f>INDEX(TeAllPoints!$D$2:$D$957,MATCH(Filter!B505,TeAllPoints!$B$2:$B$957,0))</f>
        <v>TX</v>
      </c>
      <c r="H505" t="str">
        <f>INDEX(TeAllPoints!$E$2:$E$957,MATCH(Filter!B505,TeAllPoints!$B$2:$B$957,0))</f>
        <v>HIDALGO</v>
      </c>
      <c r="I505">
        <f>INDEX('TE_OA_20200805_INTRDY_2020-08-0'!$Q$2:$Q$870,MATCH(Filter!B505,'TE_OA_20200805_INTRDY_2020-08-0'!$G$2:$G$870))</f>
        <v>37939</v>
      </c>
      <c r="J505">
        <f>INDEX('TE_OA_20200805_INTRDY_2020-08-0'!$R$2:$R$870,MATCH(Filter!B505,'TE_OA_20200805_INTRDY_2020-08-0'!$G$2:$G$870))</f>
        <v>0</v>
      </c>
    </row>
    <row r="506" spans="1:10" x14ac:dyDescent="0.25">
      <c r="A506" t="str">
        <f>INDEX('Pipe Table'!$E$2:$E$10,MATCH(INDEX('TE_OA_20200805_INTRDY_2020-08-0'!$T$2:$T$870,MATCH(Filter!B506,'TE_OA_20200805_INTRDY_2020-08-0'!$G$2:$G$870,0)),'Pipe Table'!$D$2:$D$10,0))</f>
        <v>TETCO</v>
      </c>
      <c r="B506">
        <v>73417</v>
      </c>
      <c r="C506" t="str">
        <f>INDEX('TE_OA_20200805_INTRDY_2020-08-0'!$J$2:$J$870,MATCH(Filter!B506,'TE_OA_20200805_INTRDY_2020-08-0'!$G$2:$G$870))</f>
        <v>Receipt</v>
      </c>
      <c r="D506" t="str">
        <f>INDEX('Pipe Table'!$B$2:$B$14,MATCH(INDEX(TeAllPoints!$I$2:$I$957,MATCH(Filter!B506,TeAllPoints!$B$2:$B$957,0)),'Pipe Table'!$A$2:$A$14,0))</f>
        <v>GsPlnt</v>
      </c>
      <c r="E506" t="str">
        <f>INDEX('TE_OA_20200805_INTRDY_2020-08-0'!$H$2:$H$870,MATCH(Filter!B506,'TE_OA_20200805_INTRDY_2020-08-0'!$G$2:$G$870))</f>
        <v>Copano Processing - Houston Central / Colorado Co., TX (REC)</v>
      </c>
      <c r="F506" t="str">
        <f>INDEX('Pipe Table'!$H$2:$H$8,MATCH('TE_OA_20200805_INTRDY_2020-08-0'!I487,'Pipe Table'!$G$2:$G$8,0))</f>
        <v>TETCO-STX</v>
      </c>
      <c r="G506" t="str">
        <f>INDEX(TeAllPoints!$D$2:$D$957,MATCH(Filter!B506,TeAllPoints!$B$2:$B$957,0))</f>
        <v>TX</v>
      </c>
      <c r="H506" t="str">
        <f>INDEX(TeAllPoints!$E$2:$E$957,MATCH(Filter!B506,TeAllPoints!$B$2:$B$957,0))</f>
        <v>COLORADO</v>
      </c>
      <c r="I506">
        <f>INDEX('TE_OA_20200805_INTRDY_2020-08-0'!$Q$2:$Q$870,MATCH(Filter!B506,'TE_OA_20200805_INTRDY_2020-08-0'!$G$2:$G$870))</f>
        <v>147317</v>
      </c>
      <c r="J506">
        <f>INDEX('TE_OA_20200805_INTRDY_2020-08-0'!$R$2:$R$870,MATCH(Filter!B506,'TE_OA_20200805_INTRDY_2020-08-0'!$G$2:$G$870))</f>
        <v>40447</v>
      </c>
    </row>
    <row r="507" spans="1:10" x14ac:dyDescent="0.25">
      <c r="A507" t="str">
        <f>INDEX('Pipe Table'!$E$2:$E$10,MATCH(INDEX('TE_OA_20200805_INTRDY_2020-08-0'!$T$2:$T$870,MATCH(Filter!B507,'TE_OA_20200805_INTRDY_2020-08-0'!$G$2:$G$870,0)),'Pipe Table'!$D$2:$D$10,0))</f>
        <v>TETCO</v>
      </c>
      <c r="B507">
        <v>73418</v>
      </c>
      <c r="C507" t="str">
        <f>INDEX('TE_OA_20200805_INTRDY_2020-08-0'!$J$2:$J$870,MATCH(Filter!B507,'TE_OA_20200805_INTRDY_2020-08-0'!$G$2:$G$870))</f>
        <v>Receipt</v>
      </c>
      <c r="D507" t="e">
        <f>INDEX('Pipe Table'!$B$2:$B$14,MATCH(INDEX(TeAllPoints!$I$2:$I$957,MATCH(Filter!B507,TeAllPoints!$B$2:$B$957,0)),'Pipe Table'!$A$2:$A$14,0))</f>
        <v>#N/A</v>
      </c>
      <c r="E507" t="str">
        <f>INDEX('TE_OA_20200805_INTRDY_2020-08-0'!$H$2:$H$870,MATCH(Filter!B507,'TE_OA_20200805_INTRDY_2020-08-0'!$G$2:$G$870))</f>
        <v>C&amp;E Operating-Foester Gathering-Calhoun Co., TX</v>
      </c>
      <c r="F507" t="str">
        <f>INDEX('Pipe Table'!$H$2:$H$8,MATCH('TE_OA_20200805_INTRDY_2020-08-0'!I488,'Pipe Table'!$G$2:$G$8,0))</f>
        <v>TETCO-STX</v>
      </c>
      <c r="G507" t="e">
        <f>INDEX(TeAllPoints!$D$2:$D$957,MATCH(Filter!B507,TeAllPoints!$B$2:$B$957,0))</f>
        <v>#N/A</v>
      </c>
      <c r="H507" t="e">
        <f>INDEX(TeAllPoints!$E$2:$E$957,MATCH(Filter!B507,TeAllPoints!$B$2:$B$957,0))</f>
        <v>#N/A</v>
      </c>
      <c r="I507">
        <f>INDEX('TE_OA_20200805_INTRDY_2020-08-0'!$Q$2:$Q$870,MATCH(Filter!B507,'TE_OA_20200805_INTRDY_2020-08-0'!$G$2:$G$870))</f>
        <v>9722</v>
      </c>
      <c r="J507">
        <f>INDEX('TE_OA_20200805_INTRDY_2020-08-0'!$R$2:$R$870,MATCH(Filter!B507,'TE_OA_20200805_INTRDY_2020-08-0'!$G$2:$G$870))</f>
        <v>0</v>
      </c>
    </row>
    <row r="508" spans="1:10" x14ac:dyDescent="0.25">
      <c r="A508" t="str">
        <f>INDEX('Pipe Table'!$E$2:$E$10,MATCH(INDEX('TE_OA_20200805_INTRDY_2020-08-0'!$T$2:$T$870,MATCH(Filter!B508,'TE_OA_20200805_INTRDY_2020-08-0'!$G$2:$G$870,0)),'Pipe Table'!$D$2:$D$10,0))</f>
        <v>TETCO</v>
      </c>
      <c r="B508">
        <v>73422</v>
      </c>
      <c r="C508" t="str">
        <f>INDEX('TE_OA_20200805_INTRDY_2020-08-0'!$J$2:$J$870,MATCH(Filter!B508,'TE_OA_20200805_INTRDY_2020-08-0'!$G$2:$G$870))</f>
        <v>Receipt</v>
      </c>
      <c r="D508" t="str">
        <f>INDEX('Pipe Table'!$B$2:$B$14,MATCH(INDEX(TeAllPoints!$I$2:$I$957,MATCH(Filter!B508,TeAllPoints!$B$2:$B$957,0)),'Pipe Table'!$A$2:$A$14,0))</f>
        <v>Wellhead</v>
      </c>
      <c r="E508" t="str">
        <f>INDEX('TE_OA_20200805_INTRDY_2020-08-0'!$H$2:$H$870,MATCH(Filter!B508,'TE_OA_20200805_INTRDY_2020-08-0'!$G$2:$G$870))</f>
        <v>Woodward Pipeline-Apple Springs / Angelina Co., TX (REC)</v>
      </c>
      <c r="F508" t="str">
        <f>INDEX('Pipe Table'!$H$2:$H$8,MATCH('TE_OA_20200805_INTRDY_2020-08-0'!I489,'Pipe Table'!$G$2:$G$8,0))</f>
        <v>TETCO-ETX</v>
      </c>
      <c r="G508" t="str">
        <f>INDEX(TeAllPoints!$D$2:$D$957,MATCH(Filter!B508,TeAllPoints!$B$2:$B$957,0))</f>
        <v>TX</v>
      </c>
      <c r="H508" t="str">
        <f>INDEX(TeAllPoints!$E$2:$E$957,MATCH(Filter!B508,TeAllPoints!$B$2:$B$957,0))</f>
        <v>ANGELINA</v>
      </c>
      <c r="I508">
        <f>INDEX('TE_OA_20200805_INTRDY_2020-08-0'!$Q$2:$Q$870,MATCH(Filter!B508,'TE_OA_20200805_INTRDY_2020-08-0'!$G$2:$G$870))</f>
        <v>15838</v>
      </c>
      <c r="J508">
        <f>INDEX('TE_OA_20200805_INTRDY_2020-08-0'!$R$2:$R$870,MATCH(Filter!B508,'TE_OA_20200805_INTRDY_2020-08-0'!$G$2:$G$870))</f>
        <v>0</v>
      </c>
    </row>
    <row r="509" spans="1:10" x14ac:dyDescent="0.25">
      <c r="A509" t="str">
        <f>INDEX('Pipe Table'!$E$2:$E$10,MATCH(INDEX('TE_OA_20200805_INTRDY_2020-08-0'!$T$2:$T$870,MATCH(Filter!B509,'TE_OA_20200805_INTRDY_2020-08-0'!$G$2:$G$870,0)),'Pipe Table'!$D$2:$D$10,0))</f>
        <v>TETCO</v>
      </c>
      <c r="B509">
        <v>73423</v>
      </c>
      <c r="C509" t="str">
        <f>INDEX('TE_OA_20200805_INTRDY_2020-08-0'!$J$2:$J$870,MATCH(Filter!B509,'TE_OA_20200805_INTRDY_2020-08-0'!$G$2:$G$870))</f>
        <v>Delivery</v>
      </c>
      <c r="D509" t="str">
        <f>INDEX('Pipe Table'!$B$2:$B$14,MATCH(INDEX(TeAllPoints!$I$2:$I$957,MATCH(Filter!B509,TeAllPoints!$B$2:$B$957,0)),'Pipe Table'!$A$2:$A$14,0))</f>
        <v>LDC</v>
      </c>
      <c r="E509" t="str">
        <f>INDEX('TE_OA_20200805_INTRDY_2020-08-0'!$H$2:$H$870,MATCH(Filter!B509,'TE_OA_20200805_INTRDY_2020-08-0'!$G$2:$G$870))</f>
        <v>Piedmont Natural Gas - Rutherford</v>
      </c>
      <c r="F509" t="str">
        <f>INDEX('Pipe Table'!$H$2:$H$8,MATCH('TE_OA_20200805_INTRDY_2020-08-0'!I490,'Pipe Table'!$G$2:$G$8,0))</f>
        <v>TETCO-M1</v>
      </c>
      <c r="G509" t="str">
        <f>INDEX(TeAllPoints!$D$2:$D$957,MATCH(Filter!B509,TeAllPoints!$B$2:$B$957,0))</f>
        <v>TN</v>
      </c>
      <c r="H509" t="str">
        <f>INDEX(TeAllPoints!$E$2:$E$957,MATCH(Filter!B509,TeAllPoints!$B$2:$B$957,0))</f>
        <v>RUTHERFORD</v>
      </c>
      <c r="I509">
        <f>INDEX('TE_OA_20200805_INTRDY_2020-08-0'!$Q$2:$Q$870,MATCH(Filter!B509,'TE_OA_20200805_INTRDY_2020-08-0'!$G$2:$G$870))</f>
        <v>73234</v>
      </c>
      <c r="J509">
        <f>INDEX('TE_OA_20200805_INTRDY_2020-08-0'!$R$2:$R$870,MATCH(Filter!B509,'TE_OA_20200805_INTRDY_2020-08-0'!$G$2:$G$870))</f>
        <v>0</v>
      </c>
    </row>
    <row r="510" spans="1:10" x14ac:dyDescent="0.25">
      <c r="A510" t="str">
        <f>INDEX('Pipe Table'!$E$2:$E$10,MATCH(INDEX('TE_OA_20200805_INTRDY_2020-08-0'!$T$2:$T$870,MATCH(Filter!B510,'TE_OA_20200805_INTRDY_2020-08-0'!$G$2:$G$870,0)),'Pipe Table'!$D$2:$D$10,0))</f>
        <v>TETCO</v>
      </c>
      <c r="B510">
        <v>73424</v>
      </c>
      <c r="C510" t="str">
        <f>INDEX('TE_OA_20200805_INTRDY_2020-08-0'!$J$2:$J$870,MATCH(Filter!B510,'TE_OA_20200805_INTRDY_2020-08-0'!$G$2:$G$870))</f>
        <v>Receipt</v>
      </c>
      <c r="D510" t="str">
        <f>INDEX('Pipe Table'!$B$2:$B$14,MATCH(INDEX(TeAllPoints!$I$2:$I$957,MATCH(Filter!B510,TeAllPoints!$B$2:$B$957,0)),'Pipe Table'!$A$2:$A$14,0))</f>
        <v>Wellhead</v>
      </c>
      <c r="E510" t="str">
        <f>INDEX('TE_OA_20200805_INTRDY_2020-08-0'!$H$2:$H$870,MATCH(Filter!B510,'TE_OA_20200805_INTRDY_2020-08-0'!$G$2:$G$870))</f>
        <v>Great Lakes Energy - Layman Gathering/Westmoreland, PA.</v>
      </c>
      <c r="F510" t="str">
        <f>INDEX('Pipe Table'!$H$2:$H$8,MATCH('TE_OA_20200805_INTRDY_2020-08-0'!I491,'Pipe Table'!$G$2:$G$8,0))</f>
        <v>TETCO-M2</v>
      </c>
      <c r="G510" t="str">
        <f>INDEX(TeAllPoints!$D$2:$D$957,MATCH(Filter!B510,TeAllPoints!$B$2:$B$957,0))</f>
        <v>PA</v>
      </c>
      <c r="H510" t="str">
        <f>INDEX(TeAllPoints!$E$2:$E$957,MATCH(Filter!B510,TeAllPoints!$B$2:$B$957,0))</f>
        <v>WESTMORELAND</v>
      </c>
      <c r="I510">
        <f>INDEX('TE_OA_20200805_INTRDY_2020-08-0'!$Q$2:$Q$870,MATCH(Filter!B510,'TE_OA_20200805_INTRDY_2020-08-0'!$G$2:$G$870))</f>
        <v>14556</v>
      </c>
      <c r="J510">
        <f>INDEX('TE_OA_20200805_INTRDY_2020-08-0'!$R$2:$R$870,MATCH(Filter!B510,'TE_OA_20200805_INTRDY_2020-08-0'!$G$2:$G$870))</f>
        <v>2200</v>
      </c>
    </row>
    <row r="511" spans="1:10" x14ac:dyDescent="0.25">
      <c r="A511" t="str">
        <f>INDEX('Pipe Table'!$E$2:$E$10,MATCH(INDEX('TE_OA_20200805_INTRDY_2020-08-0'!$T$2:$T$870,MATCH(Filter!B511,'TE_OA_20200805_INTRDY_2020-08-0'!$G$2:$G$870,0)),'Pipe Table'!$D$2:$D$10,0))</f>
        <v>TETCO</v>
      </c>
      <c r="B511">
        <v>73425</v>
      </c>
      <c r="C511" t="str">
        <f>INDEX('TE_OA_20200805_INTRDY_2020-08-0'!$J$2:$J$870,MATCH(Filter!B511,'TE_OA_20200805_INTRDY_2020-08-0'!$G$2:$G$870))</f>
        <v>Receipt</v>
      </c>
      <c r="D511" t="str">
        <f>INDEX('Pipe Table'!$B$2:$B$14,MATCH(INDEX(TeAllPoints!$I$2:$I$957,MATCH(Filter!B511,TeAllPoints!$B$2:$B$957,0)),'Pipe Table'!$A$2:$A$14,0))</f>
        <v>Intrcnnct</v>
      </c>
      <c r="E511" t="str">
        <f>INDEX('TE_OA_20200805_INTRDY_2020-08-0'!$H$2:$H$870,MATCH(Filter!B511,'TE_OA_20200805_INTRDY_2020-08-0'!$G$2:$G$870))</f>
        <v>Williams Pipeline/Lacy Crossover - Hidalgo Co., TX (REC)</v>
      </c>
      <c r="F511" t="str">
        <f>INDEX('Pipe Table'!$H$2:$H$8,MATCH('TE_OA_20200805_INTRDY_2020-08-0'!I492,'Pipe Table'!$G$2:$G$8,0))</f>
        <v>TETCO-STX</v>
      </c>
      <c r="G511" t="str">
        <f>INDEX(TeAllPoints!$D$2:$D$957,MATCH(Filter!B511,TeAllPoints!$B$2:$B$957,0))</f>
        <v>TX</v>
      </c>
      <c r="H511" t="str">
        <f>INDEX(TeAllPoints!$E$2:$E$957,MATCH(Filter!B511,TeAllPoints!$B$2:$B$957,0))</f>
        <v>HIDALGO</v>
      </c>
      <c r="I511">
        <f>INDEX('TE_OA_20200805_INTRDY_2020-08-0'!$Q$2:$Q$870,MATCH(Filter!B511,'TE_OA_20200805_INTRDY_2020-08-0'!$G$2:$G$870))</f>
        <v>62028</v>
      </c>
      <c r="J511">
        <f>INDEX('TE_OA_20200805_INTRDY_2020-08-0'!$R$2:$R$870,MATCH(Filter!B511,'TE_OA_20200805_INTRDY_2020-08-0'!$G$2:$G$870))</f>
        <v>0</v>
      </c>
    </row>
    <row r="512" spans="1:10" x14ac:dyDescent="0.25">
      <c r="A512" t="str">
        <f>INDEX('Pipe Table'!$E$2:$E$10,MATCH(INDEX('TE_OA_20200805_INTRDY_2020-08-0'!$T$2:$T$870,MATCH(Filter!B512,'TE_OA_20200805_INTRDY_2020-08-0'!$G$2:$G$870,0)),'Pipe Table'!$D$2:$D$10,0))</f>
        <v>TETCO</v>
      </c>
      <c r="B512">
        <v>73432</v>
      </c>
      <c r="C512" t="str">
        <f>INDEX('TE_OA_20200805_INTRDY_2020-08-0'!$J$2:$J$870,MATCH(Filter!B512,'TE_OA_20200805_INTRDY_2020-08-0'!$G$2:$G$870))</f>
        <v>Receipt</v>
      </c>
      <c r="D512" t="str">
        <f>INDEX('Pipe Table'!$B$2:$B$14,MATCH(INDEX(TeAllPoints!$I$2:$I$957,MATCH(Filter!B512,TeAllPoints!$B$2:$B$957,0)),'Pipe Table'!$A$2:$A$14,0))</f>
        <v>Intrcnnct</v>
      </c>
      <c r="E512" t="str">
        <f>INDEX('TE_OA_20200805_INTRDY_2020-08-0'!$H$2:$H$870,MATCH(Filter!B512,'TE_OA_20200805_INTRDY_2020-08-0'!$G$2:$G$870))</f>
        <v>Houston Pipeline Vidor</v>
      </c>
      <c r="F512" t="str">
        <f>INDEX('Pipe Table'!$H$2:$H$8,MATCH('TE_OA_20200805_INTRDY_2020-08-0'!I493,'Pipe Table'!$G$2:$G$8,0))</f>
        <v>TETCO-WLA</v>
      </c>
      <c r="G512" t="str">
        <f>INDEX(TeAllPoints!$D$2:$D$957,MATCH(Filter!B512,TeAllPoints!$B$2:$B$957,0))</f>
        <v>TX</v>
      </c>
      <c r="H512" t="str">
        <f>INDEX(TeAllPoints!$E$2:$E$957,MATCH(Filter!B512,TeAllPoints!$B$2:$B$957,0))</f>
        <v>ORANGE</v>
      </c>
      <c r="I512">
        <f>INDEX('TE_OA_20200805_INTRDY_2020-08-0'!$Q$2:$Q$870,MATCH(Filter!B512,'TE_OA_20200805_INTRDY_2020-08-0'!$G$2:$G$870))</f>
        <v>310401</v>
      </c>
      <c r="J512">
        <f>INDEX('TE_OA_20200805_INTRDY_2020-08-0'!$R$2:$R$870,MATCH(Filter!B512,'TE_OA_20200805_INTRDY_2020-08-0'!$G$2:$G$870))</f>
        <v>106835</v>
      </c>
    </row>
    <row r="513" spans="1:10" x14ac:dyDescent="0.25">
      <c r="A513" t="str">
        <f>INDEX('Pipe Table'!$E$2:$E$10,MATCH(INDEX('TE_OA_20200805_INTRDY_2020-08-0'!$T$2:$T$870,MATCH(Filter!B513,'TE_OA_20200805_INTRDY_2020-08-0'!$G$2:$G$870,0)),'Pipe Table'!$D$2:$D$10,0))</f>
        <v>TETCO</v>
      </c>
      <c r="B513">
        <v>73433</v>
      </c>
      <c r="C513" t="str">
        <f>INDEX('TE_OA_20200805_INTRDY_2020-08-0'!$J$2:$J$870,MATCH(Filter!B513,'TE_OA_20200805_INTRDY_2020-08-0'!$G$2:$G$870))</f>
        <v>Receipt</v>
      </c>
      <c r="D513" t="e">
        <f>INDEX('Pipe Table'!$B$2:$B$14,MATCH(INDEX(TeAllPoints!$I$2:$I$957,MATCH(Filter!B513,TeAllPoints!$B$2:$B$957,0)),'Pipe Table'!$A$2:$A$14,0))</f>
        <v>#N/A</v>
      </c>
      <c r="E513" t="str">
        <f>INDEX('TE_OA_20200805_INTRDY_2020-08-0'!$H$2:$H$870,MATCH(Filter!B513,'TE_OA_20200805_INTRDY_2020-08-0'!$G$2:$G$870))</f>
        <v>MIDWESTERN INTERCONNECT - WINSLOW, PIKE CO., IN</v>
      </c>
      <c r="F513" t="str">
        <f>INDEX('Pipe Table'!$H$2:$H$8,MATCH('TE_OA_20200805_INTRDY_2020-08-0'!I494,'Pipe Table'!$G$2:$G$8,0))</f>
        <v>TETCO-M2</v>
      </c>
      <c r="G513" t="e">
        <f>INDEX(TeAllPoints!$D$2:$D$957,MATCH(Filter!B513,TeAllPoints!$B$2:$B$957,0))</f>
        <v>#N/A</v>
      </c>
      <c r="H513" t="e">
        <f>INDEX(TeAllPoints!$E$2:$E$957,MATCH(Filter!B513,TeAllPoints!$B$2:$B$957,0))</f>
        <v>#N/A</v>
      </c>
      <c r="I513">
        <f>INDEX('TE_OA_20200805_INTRDY_2020-08-0'!$Q$2:$Q$870,MATCH(Filter!B513,'TE_OA_20200805_INTRDY_2020-08-0'!$G$2:$G$870))</f>
        <v>197914</v>
      </c>
      <c r="J513">
        <f>INDEX('TE_OA_20200805_INTRDY_2020-08-0'!$R$2:$R$870,MATCH(Filter!B513,'TE_OA_20200805_INTRDY_2020-08-0'!$G$2:$G$870))</f>
        <v>0</v>
      </c>
    </row>
    <row r="514" spans="1:10" x14ac:dyDescent="0.25">
      <c r="A514" t="str">
        <f>INDEX('Pipe Table'!$E$2:$E$10,MATCH(INDEX('TE_OA_20200805_INTRDY_2020-08-0'!$T$2:$T$870,MATCH(Filter!B514,'TE_OA_20200805_INTRDY_2020-08-0'!$G$2:$G$870,0)),'Pipe Table'!$D$2:$D$10,0))</f>
        <v>TETCO</v>
      </c>
      <c r="B514">
        <v>73442</v>
      </c>
      <c r="C514" t="str">
        <f>INDEX('TE_OA_20200805_INTRDY_2020-08-0'!$J$2:$J$870,MATCH(Filter!B514,'TE_OA_20200805_INTRDY_2020-08-0'!$G$2:$G$870))</f>
        <v>Receipt</v>
      </c>
      <c r="D514" t="e">
        <f>INDEX('Pipe Table'!$B$2:$B$14,MATCH(INDEX(TeAllPoints!$I$2:$I$957,MATCH(Filter!B514,TeAllPoints!$B$2:$B$957,0)),'Pipe Table'!$A$2:$A$14,0))</f>
        <v>#N/A</v>
      </c>
      <c r="E514" t="str">
        <f>INDEX('TE_OA_20200805_INTRDY_2020-08-0'!$H$2:$H$870,MATCH(Filter!B514,'TE_OA_20200805_INTRDY_2020-08-0'!$G$2:$G$870))</f>
        <v>DEFS, LP, Speaks Inlet-Provident City Plant/Lavaca Co., TX</v>
      </c>
      <c r="F514" t="str">
        <f>INDEX('Pipe Table'!$H$2:$H$8,MATCH('TE_OA_20200805_INTRDY_2020-08-0'!I495,'Pipe Table'!$G$2:$G$8,0))</f>
        <v>TETCO-STX</v>
      </c>
      <c r="G514" t="e">
        <f>INDEX(TeAllPoints!$D$2:$D$957,MATCH(Filter!B514,TeAllPoints!$B$2:$B$957,0))</f>
        <v>#N/A</v>
      </c>
      <c r="H514" t="e">
        <f>INDEX(TeAllPoints!$E$2:$E$957,MATCH(Filter!B514,TeAllPoints!$B$2:$B$957,0))</f>
        <v>#N/A</v>
      </c>
      <c r="I514">
        <f>INDEX('TE_OA_20200805_INTRDY_2020-08-0'!$Q$2:$Q$870,MATCH(Filter!B514,'TE_OA_20200805_INTRDY_2020-08-0'!$G$2:$G$870))</f>
        <v>39412</v>
      </c>
      <c r="J514">
        <f>INDEX('TE_OA_20200805_INTRDY_2020-08-0'!$R$2:$R$870,MATCH(Filter!B514,'TE_OA_20200805_INTRDY_2020-08-0'!$G$2:$G$870))</f>
        <v>0</v>
      </c>
    </row>
    <row r="515" spans="1:10" x14ac:dyDescent="0.25">
      <c r="A515" t="str">
        <f>INDEX('Pipe Table'!$E$2:$E$10,MATCH(INDEX('TE_OA_20200805_INTRDY_2020-08-0'!$T$2:$T$870,MATCH(Filter!B515,'TE_OA_20200805_INTRDY_2020-08-0'!$G$2:$G$870,0)),'Pipe Table'!$D$2:$D$10,0))</f>
        <v>TETCO</v>
      </c>
      <c r="B515">
        <v>73445</v>
      </c>
      <c r="C515" t="str">
        <f>INDEX('TE_OA_20200805_INTRDY_2020-08-0'!$J$2:$J$870,MATCH(Filter!B515,'TE_OA_20200805_INTRDY_2020-08-0'!$G$2:$G$870))</f>
        <v>Receipt</v>
      </c>
      <c r="D515" t="str">
        <f>INDEX('Pipe Table'!$B$2:$B$14,MATCH(INDEX(TeAllPoints!$I$2:$I$957,MATCH(Filter!B515,TeAllPoints!$B$2:$B$957,0)),'Pipe Table'!$A$2:$A$14,0))</f>
        <v>Wellhead</v>
      </c>
      <c r="E515" t="str">
        <f>INDEX('TE_OA_20200805_INTRDY_2020-08-0'!$H$2:$H$870,MATCH(Filter!B515,'TE_OA_20200805_INTRDY_2020-08-0'!$G$2:$G$870))</f>
        <v>Vessels Coal - Gathering System - Saline Co., IL (REC)</v>
      </c>
      <c r="F515" t="str">
        <f>INDEX('Pipe Table'!$H$2:$H$8,MATCH('TE_OA_20200805_INTRDY_2020-08-0'!I496,'Pipe Table'!$G$2:$G$8,0))</f>
        <v>TETCO-M1</v>
      </c>
      <c r="G515" t="str">
        <f>INDEX(TeAllPoints!$D$2:$D$957,MATCH(Filter!B515,TeAllPoints!$B$2:$B$957,0))</f>
        <v>IL</v>
      </c>
      <c r="H515" t="str">
        <f>INDEX(TeAllPoints!$E$2:$E$957,MATCH(Filter!B515,TeAllPoints!$B$2:$B$957,0))</f>
        <v>SALINE</v>
      </c>
      <c r="I515">
        <f>INDEX('TE_OA_20200805_INTRDY_2020-08-0'!$Q$2:$Q$870,MATCH(Filter!B515,'TE_OA_20200805_INTRDY_2020-08-0'!$G$2:$G$870))</f>
        <v>3301</v>
      </c>
      <c r="J515">
        <f>INDEX('TE_OA_20200805_INTRDY_2020-08-0'!$R$2:$R$870,MATCH(Filter!B515,'TE_OA_20200805_INTRDY_2020-08-0'!$G$2:$G$870))</f>
        <v>0</v>
      </c>
    </row>
    <row r="516" spans="1:10" x14ac:dyDescent="0.25">
      <c r="A516" t="str">
        <f>INDEX('Pipe Table'!$E$2:$E$10,MATCH(INDEX('TE_OA_20200805_INTRDY_2020-08-0'!$T$2:$T$870,MATCH(Filter!B516,'TE_OA_20200805_INTRDY_2020-08-0'!$G$2:$G$870,0)),'Pipe Table'!$D$2:$D$10,0))</f>
        <v>TETCO</v>
      </c>
      <c r="B516">
        <v>73449</v>
      </c>
      <c r="C516" t="str">
        <f>INDEX('TE_OA_20200805_INTRDY_2020-08-0'!$J$2:$J$870,MATCH(Filter!B516,'TE_OA_20200805_INTRDY_2020-08-0'!$G$2:$G$870))</f>
        <v>Receipt</v>
      </c>
      <c r="D516" t="str">
        <f>INDEX('Pipe Table'!$B$2:$B$14,MATCH(INDEX(TeAllPoints!$I$2:$I$957,MATCH(Filter!B516,TeAllPoints!$B$2:$B$957,0)),'Pipe Table'!$A$2:$A$14,0))</f>
        <v>Wellhead</v>
      </c>
      <c r="E516" t="str">
        <f>INDEX('TE_OA_20200805_INTRDY_2020-08-0'!$H$2:$H$870,MATCH(Filter!B516,'TE_OA_20200805_INTRDY_2020-08-0'!$G$2:$G$870))</f>
        <v>Atlas America-Fayette, CO., PA - (73449)</v>
      </c>
      <c r="F516" t="str">
        <f>INDEX('Pipe Table'!$H$2:$H$8,MATCH('TE_OA_20200805_INTRDY_2020-08-0'!I497,'Pipe Table'!$G$2:$G$8,0))</f>
        <v>TETCO-M2</v>
      </c>
      <c r="G516" t="str">
        <f>INDEX(TeAllPoints!$D$2:$D$957,MATCH(Filter!B516,TeAllPoints!$B$2:$B$957,0))</f>
        <v>PA</v>
      </c>
      <c r="H516" t="str">
        <f>INDEX(TeAllPoints!$E$2:$E$957,MATCH(Filter!B516,TeAllPoints!$B$2:$B$957,0))</f>
        <v>FAYETTE</v>
      </c>
      <c r="I516">
        <f>INDEX('TE_OA_20200805_INTRDY_2020-08-0'!$Q$2:$Q$870,MATCH(Filter!B516,'TE_OA_20200805_INTRDY_2020-08-0'!$G$2:$G$870))</f>
        <v>37939</v>
      </c>
      <c r="J516">
        <f>INDEX('TE_OA_20200805_INTRDY_2020-08-0'!$R$2:$R$870,MATCH(Filter!B516,'TE_OA_20200805_INTRDY_2020-08-0'!$G$2:$G$870))</f>
        <v>2700</v>
      </c>
    </row>
    <row r="517" spans="1:10" x14ac:dyDescent="0.25">
      <c r="A517" t="str">
        <f>INDEX('Pipe Table'!$E$2:$E$10,MATCH(INDEX('TE_OA_20200805_INTRDY_2020-08-0'!$T$2:$T$870,MATCH(Filter!B517,'TE_OA_20200805_INTRDY_2020-08-0'!$G$2:$G$870,0)),'Pipe Table'!$D$2:$D$10,0))</f>
        <v>TETCO</v>
      </c>
      <c r="B517">
        <v>73452</v>
      </c>
      <c r="C517" t="str">
        <f>INDEX('TE_OA_20200805_INTRDY_2020-08-0'!$J$2:$J$870,MATCH(Filter!B517,'TE_OA_20200805_INTRDY_2020-08-0'!$G$2:$G$870))</f>
        <v>Receipt</v>
      </c>
      <c r="D517" t="str">
        <f>INDEX('Pipe Table'!$B$2:$B$14,MATCH(INDEX(TeAllPoints!$I$2:$I$957,MATCH(Filter!B517,TeAllPoints!$B$2:$B$957,0)),'Pipe Table'!$A$2:$A$14,0))</f>
        <v>Wellhead</v>
      </c>
      <c r="E517" t="str">
        <f>INDEX('TE_OA_20200805_INTRDY_2020-08-0'!$H$2:$H$870,MATCH(Filter!B517,'TE_OA_20200805_INTRDY_2020-08-0'!$G$2:$G$870))</f>
        <v>DEFS/Southern Resources Gath. - Bee Co., TX (REC)</v>
      </c>
      <c r="F517" t="str">
        <f>INDEX('Pipe Table'!$H$2:$H$8,MATCH('TE_OA_20200805_INTRDY_2020-08-0'!I498,'Pipe Table'!$G$2:$G$8,0))</f>
        <v>TETCO-STX</v>
      </c>
      <c r="G517" t="str">
        <f>INDEX(TeAllPoints!$D$2:$D$957,MATCH(Filter!B517,TeAllPoints!$B$2:$B$957,0))</f>
        <v>TX</v>
      </c>
      <c r="H517" t="str">
        <f>INDEX(TeAllPoints!$E$2:$E$957,MATCH(Filter!B517,TeAllPoints!$B$2:$B$957,0))</f>
        <v>BEE</v>
      </c>
      <c r="I517">
        <f>INDEX('TE_OA_20200805_INTRDY_2020-08-0'!$Q$2:$Q$870,MATCH(Filter!B517,'TE_OA_20200805_INTRDY_2020-08-0'!$G$2:$G$870))</f>
        <v>9359</v>
      </c>
      <c r="J517">
        <f>INDEX('TE_OA_20200805_INTRDY_2020-08-0'!$R$2:$R$870,MATCH(Filter!B517,'TE_OA_20200805_INTRDY_2020-08-0'!$G$2:$G$870))</f>
        <v>50</v>
      </c>
    </row>
    <row r="518" spans="1:10" x14ac:dyDescent="0.25">
      <c r="A518" t="str">
        <f>INDEX('Pipe Table'!$E$2:$E$10,MATCH(INDEX('TE_OA_20200805_INTRDY_2020-08-0'!$T$2:$T$870,MATCH(Filter!B518,'TE_OA_20200805_INTRDY_2020-08-0'!$G$2:$G$870,0)),'Pipe Table'!$D$2:$D$10,0))</f>
        <v>TETCO</v>
      </c>
      <c r="B518">
        <v>73454</v>
      </c>
      <c r="C518" t="str">
        <f>INDEX('TE_OA_20200805_INTRDY_2020-08-0'!$J$2:$J$870,MATCH(Filter!B518,'TE_OA_20200805_INTRDY_2020-08-0'!$G$2:$G$870))</f>
        <v>Receipt</v>
      </c>
      <c r="D518" t="str">
        <f>INDEX('Pipe Table'!$B$2:$B$14,MATCH(INDEX(TeAllPoints!$I$2:$I$957,MATCH(Filter!B518,TeAllPoints!$B$2:$B$957,0)),'Pipe Table'!$A$2:$A$14,0))</f>
        <v>Wellhead</v>
      </c>
      <c r="E518" t="str">
        <f>INDEX('TE_OA_20200805_INTRDY_2020-08-0'!$H$2:$H$870,MATCH(Filter!B518,'TE_OA_20200805_INTRDY_2020-08-0'!$G$2:$G$870))</f>
        <v>Kaler Energy-Carpenter #1/Bee Co., TX (REC)</v>
      </c>
      <c r="F518" t="str">
        <f>INDEX('Pipe Table'!$H$2:$H$8,MATCH('TE_OA_20200805_INTRDY_2020-08-0'!I499,'Pipe Table'!$G$2:$G$8,0))</f>
        <v>TETCO-STX</v>
      </c>
      <c r="G518" t="str">
        <f>INDEX(TeAllPoints!$D$2:$D$957,MATCH(Filter!B518,TeAllPoints!$B$2:$B$957,0))</f>
        <v>TX</v>
      </c>
      <c r="H518" t="str">
        <f>INDEX(TeAllPoints!$E$2:$E$957,MATCH(Filter!B518,TeAllPoints!$B$2:$B$957,0))</f>
        <v>BEE</v>
      </c>
      <c r="I518">
        <f>INDEX('TE_OA_20200805_INTRDY_2020-08-0'!$Q$2:$Q$870,MATCH(Filter!B518,'TE_OA_20200805_INTRDY_2020-08-0'!$G$2:$G$870))</f>
        <v>3770</v>
      </c>
      <c r="J518">
        <f>INDEX('TE_OA_20200805_INTRDY_2020-08-0'!$R$2:$R$870,MATCH(Filter!B518,'TE_OA_20200805_INTRDY_2020-08-0'!$G$2:$G$870))</f>
        <v>5</v>
      </c>
    </row>
    <row r="519" spans="1:10" x14ac:dyDescent="0.25">
      <c r="A519" t="str">
        <f>INDEX('Pipe Table'!$E$2:$E$10,MATCH(INDEX('TE_OA_20200805_INTRDY_2020-08-0'!$T$2:$T$870,MATCH(Filter!B519,'TE_OA_20200805_INTRDY_2020-08-0'!$G$2:$G$870,0)),'Pipe Table'!$D$2:$D$10,0))</f>
        <v>TETCO</v>
      </c>
      <c r="B519">
        <v>73455</v>
      </c>
      <c r="C519" t="str">
        <f>INDEX('TE_OA_20200805_INTRDY_2020-08-0'!$J$2:$J$870,MATCH(Filter!B519,'TE_OA_20200805_INTRDY_2020-08-0'!$G$2:$G$870))</f>
        <v>Receipt</v>
      </c>
      <c r="D519" t="str">
        <f>INDEX('Pipe Table'!$B$2:$B$14,MATCH(INDEX(TeAllPoints!$I$2:$I$957,MATCH(Filter!B519,TeAllPoints!$B$2:$B$957,0)),'Pipe Table'!$A$2:$A$14,0))</f>
        <v>Wellhead</v>
      </c>
      <c r="E519" t="str">
        <f>INDEX('TE_OA_20200805_INTRDY_2020-08-0'!$H$2:$H$870,MATCH(Filter!B519,'TE_OA_20200805_INTRDY_2020-08-0'!$G$2:$G$870))</f>
        <v>McBee Operating Company, LLC-Rippy #1 Nacog. Co., TX (REC)</v>
      </c>
      <c r="F519" t="str">
        <f>INDEX('Pipe Table'!$H$2:$H$8,MATCH('TE_OA_20200805_INTRDY_2020-08-0'!I500,'Pipe Table'!$G$2:$G$8,0))</f>
        <v>TETCO-ETX</v>
      </c>
      <c r="G519" t="str">
        <f>INDEX(TeAllPoints!$D$2:$D$957,MATCH(Filter!B519,TeAllPoints!$B$2:$B$957,0))</f>
        <v>TX</v>
      </c>
      <c r="H519" t="str">
        <f>INDEX(TeAllPoints!$E$2:$E$957,MATCH(Filter!B519,TeAllPoints!$B$2:$B$957,0))</f>
        <v>NACOGDOCHES</v>
      </c>
      <c r="I519">
        <f>INDEX('TE_OA_20200805_INTRDY_2020-08-0'!$Q$2:$Q$870,MATCH(Filter!B519,'TE_OA_20200805_INTRDY_2020-08-0'!$G$2:$G$870))</f>
        <v>9733</v>
      </c>
      <c r="J519">
        <f>INDEX('TE_OA_20200805_INTRDY_2020-08-0'!$R$2:$R$870,MATCH(Filter!B519,'TE_OA_20200805_INTRDY_2020-08-0'!$G$2:$G$870))</f>
        <v>35</v>
      </c>
    </row>
    <row r="520" spans="1:10" x14ac:dyDescent="0.25">
      <c r="A520" t="str">
        <f>INDEX('Pipe Table'!$E$2:$E$10,MATCH(INDEX('TE_OA_20200805_INTRDY_2020-08-0'!$T$2:$T$870,MATCH(Filter!B520,'TE_OA_20200805_INTRDY_2020-08-0'!$G$2:$G$870,0)),'Pipe Table'!$D$2:$D$10,0))</f>
        <v>TETCO</v>
      </c>
      <c r="B520">
        <v>73456</v>
      </c>
      <c r="C520" t="str">
        <f>INDEX('TE_OA_20200805_INTRDY_2020-08-0'!$J$2:$J$870,MATCH(Filter!B520,'TE_OA_20200805_INTRDY_2020-08-0'!$G$2:$G$870))</f>
        <v>Receipt</v>
      </c>
      <c r="D520" t="str">
        <f>INDEX('Pipe Table'!$B$2:$B$14,MATCH(INDEX(TeAllPoints!$I$2:$I$957,MATCH(Filter!B520,TeAllPoints!$B$2:$B$957,0)),'Pipe Table'!$A$2:$A$14,0))</f>
        <v>Wellhead</v>
      </c>
      <c r="E520" t="str">
        <f>INDEX('TE_OA_20200805_INTRDY_2020-08-0'!$H$2:$H$870,MATCH(Filter!B520,'TE_OA_20200805_INTRDY_2020-08-0'!$G$2:$G$870))</f>
        <v>XTO Energy - Anico #4 - Polk Co., TX (REC)</v>
      </c>
      <c r="F520" t="str">
        <f>INDEX('Pipe Table'!$H$2:$H$8,MATCH('TE_OA_20200805_INTRDY_2020-08-0'!I501,'Pipe Table'!$G$2:$G$8,0))</f>
        <v>TETCO-ETX</v>
      </c>
      <c r="G520" t="str">
        <f>INDEX(TeAllPoints!$D$2:$D$957,MATCH(Filter!B520,TeAllPoints!$B$2:$B$957,0))</f>
        <v>TX</v>
      </c>
      <c r="H520" t="str">
        <f>INDEX(TeAllPoints!$E$2:$E$957,MATCH(Filter!B520,TeAllPoints!$B$2:$B$957,0))</f>
        <v>POLK</v>
      </c>
      <c r="I520">
        <f>INDEX('TE_OA_20200805_INTRDY_2020-08-0'!$Q$2:$Q$870,MATCH(Filter!B520,'TE_OA_20200805_INTRDY_2020-08-0'!$G$2:$G$870))</f>
        <v>9733</v>
      </c>
      <c r="J520">
        <f>INDEX('TE_OA_20200805_INTRDY_2020-08-0'!$R$2:$R$870,MATCH(Filter!B520,'TE_OA_20200805_INTRDY_2020-08-0'!$G$2:$G$870))</f>
        <v>160</v>
      </c>
    </row>
    <row r="521" spans="1:10" x14ac:dyDescent="0.25">
      <c r="A521" t="str">
        <f>INDEX('Pipe Table'!$E$2:$E$10,MATCH(INDEX('TE_OA_20200805_INTRDY_2020-08-0'!$T$2:$T$870,MATCH(Filter!B521,'TE_OA_20200805_INTRDY_2020-08-0'!$G$2:$G$870,0)),'Pipe Table'!$D$2:$D$10,0))</f>
        <v>TETCO</v>
      </c>
      <c r="B521">
        <v>73461</v>
      </c>
      <c r="C521" t="str">
        <f>INDEX('TE_OA_20200805_INTRDY_2020-08-0'!$J$2:$J$870,MATCH(Filter!B521,'TE_OA_20200805_INTRDY_2020-08-0'!$G$2:$G$870))</f>
        <v>Delivery</v>
      </c>
      <c r="D521" t="str">
        <f>INDEX('Pipe Table'!$B$2:$B$14,MATCH(INDEX(TeAllPoints!$I$2:$I$957,MATCH(Filter!B521,TeAllPoints!$B$2:$B$957,0)),'Pipe Table'!$A$2:$A$14,0))</f>
        <v>Intrcnnct</v>
      </c>
      <c r="E521" t="str">
        <f>INDEX('TE_OA_20200805_INTRDY_2020-08-0'!$H$2:$H$870,MATCH(Filter!B521,'TE_OA_20200805_INTRDY_2020-08-0'!$G$2:$G$870))</f>
        <v>Universal Natural Gas/Interconnect - Montgomery Co., TX (DEL)</v>
      </c>
      <c r="F521" t="str">
        <f>INDEX('Pipe Table'!$H$2:$H$8,MATCH('TE_OA_20200805_INTRDY_2020-08-0'!I502,'Pipe Table'!$G$2:$G$8,0))</f>
        <v>TETCO-STX</v>
      </c>
      <c r="G521" t="str">
        <f>INDEX(TeAllPoints!$D$2:$D$957,MATCH(Filter!B521,TeAllPoints!$B$2:$B$957,0))</f>
        <v>TX</v>
      </c>
      <c r="H521" t="str">
        <f>INDEX(TeAllPoints!$E$2:$E$957,MATCH(Filter!B521,TeAllPoints!$B$2:$B$957,0))</f>
        <v>MONTGOMERY</v>
      </c>
      <c r="I521">
        <f>INDEX('TE_OA_20200805_INTRDY_2020-08-0'!$Q$2:$Q$870,MATCH(Filter!B521,'TE_OA_20200805_INTRDY_2020-08-0'!$G$2:$G$870))</f>
        <v>3020</v>
      </c>
      <c r="J521">
        <f>INDEX('TE_OA_20200805_INTRDY_2020-08-0'!$R$2:$R$870,MATCH(Filter!B521,'TE_OA_20200805_INTRDY_2020-08-0'!$G$2:$G$870))</f>
        <v>30</v>
      </c>
    </row>
    <row r="522" spans="1:10" x14ac:dyDescent="0.25">
      <c r="A522" t="str">
        <f>INDEX('Pipe Table'!$E$2:$E$10,MATCH(INDEX('TE_OA_20200805_INTRDY_2020-08-0'!$T$2:$T$870,MATCH(Filter!B522,'TE_OA_20200805_INTRDY_2020-08-0'!$G$2:$G$870,0)),'Pipe Table'!$D$2:$D$10,0))</f>
        <v>TETCO</v>
      </c>
      <c r="B522">
        <v>73465</v>
      </c>
      <c r="C522" t="str">
        <f>INDEX('TE_OA_20200805_INTRDY_2020-08-0'!$J$2:$J$870,MATCH(Filter!B522,'TE_OA_20200805_INTRDY_2020-08-0'!$G$2:$G$870))</f>
        <v>Receipt</v>
      </c>
      <c r="D522" t="str">
        <f>INDEX('Pipe Table'!$B$2:$B$14,MATCH(INDEX(TeAllPoints!$I$2:$I$957,MATCH(Filter!B522,TeAllPoints!$B$2:$B$957,0)),'Pipe Table'!$A$2:$A$14,0))</f>
        <v>Wellhead</v>
      </c>
      <c r="E522" t="str">
        <f>INDEX('TE_OA_20200805_INTRDY_2020-08-0'!$H$2:$H$870,MATCH(Filter!B522,'TE_OA_20200805_INTRDY_2020-08-0'!$G$2:$G$870))</f>
        <v>Greylock Pipeline, LLC, Jefferson IC  PA</v>
      </c>
      <c r="F522" t="str">
        <f>INDEX('Pipe Table'!$H$2:$H$8,MATCH('TE_OA_20200805_INTRDY_2020-08-0'!I503,'Pipe Table'!$G$2:$G$8,0))</f>
        <v>TETCO-M2</v>
      </c>
      <c r="G522" t="str">
        <f>INDEX(TeAllPoints!$D$2:$D$957,MATCH(Filter!B522,TeAllPoints!$B$2:$B$957,0))</f>
        <v>PA</v>
      </c>
      <c r="H522" t="str">
        <f>INDEX(TeAllPoints!$E$2:$E$957,MATCH(Filter!B522,TeAllPoints!$B$2:$B$957,0))</f>
        <v>GREENE</v>
      </c>
      <c r="I522">
        <f>INDEX('TE_OA_20200805_INTRDY_2020-08-0'!$Q$2:$Q$870,MATCH(Filter!B522,'TE_OA_20200805_INTRDY_2020-08-0'!$G$2:$G$870))</f>
        <v>38441</v>
      </c>
      <c r="J522">
        <f>INDEX('TE_OA_20200805_INTRDY_2020-08-0'!$R$2:$R$870,MATCH(Filter!B522,'TE_OA_20200805_INTRDY_2020-08-0'!$G$2:$G$870))</f>
        <v>12000</v>
      </c>
    </row>
    <row r="523" spans="1:10" x14ac:dyDescent="0.25">
      <c r="A523" t="str">
        <f>INDEX('Pipe Table'!$E$2:$E$10,MATCH(INDEX('TE_OA_20200805_INTRDY_2020-08-0'!$T$2:$T$870,MATCH(Filter!B523,'TE_OA_20200805_INTRDY_2020-08-0'!$G$2:$G$870,0)),'Pipe Table'!$D$2:$D$10,0))</f>
        <v>TETCO</v>
      </c>
      <c r="B523">
        <v>73466</v>
      </c>
      <c r="C523" t="str">
        <f>INDEX('TE_OA_20200805_INTRDY_2020-08-0'!$J$2:$J$870,MATCH(Filter!B523,'TE_OA_20200805_INTRDY_2020-08-0'!$G$2:$G$870))</f>
        <v>Receipt</v>
      </c>
      <c r="D523" t="str">
        <f>INDEX('Pipe Table'!$B$2:$B$14,MATCH(INDEX(TeAllPoints!$I$2:$I$957,MATCH(Filter!B523,TeAllPoints!$B$2:$B$957,0)),'Pipe Table'!$A$2:$A$14,0))</f>
        <v>Wellhead</v>
      </c>
      <c r="E523" t="str">
        <f>INDEX('TE_OA_20200805_INTRDY_2020-08-0'!$H$2:$H$870,MATCH(Filter!B523,'TE_OA_20200805_INTRDY_2020-08-0'!$G$2:$G$870))</f>
        <v>Alliance Petroleum Corp - Nicholson Field Interconnect-PA. - (7346</v>
      </c>
      <c r="F523" t="str">
        <f>INDEX('Pipe Table'!$H$2:$H$8,MATCH('TE_OA_20200805_INTRDY_2020-08-0'!I504,'Pipe Table'!$G$2:$G$8,0))</f>
        <v>TETCO-M2</v>
      </c>
      <c r="G523" t="str">
        <f>INDEX(TeAllPoints!$D$2:$D$957,MATCH(Filter!B523,TeAllPoints!$B$2:$B$957,0))</f>
        <v>PA</v>
      </c>
      <c r="H523" t="str">
        <f>INDEX(TeAllPoints!$E$2:$E$957,MATCH(Filter!B523,TeAllPoints!$B$2:$B$957,0))</f>
        <v>SOMERSET</v>
      </c>
      <c r="I523">
        <f>INDEX('TE_OA_20200805_INTRDY_2020-08-0'!$Q$2:$Q$870,MATCH(Filter!B523,'TE_OA_20200805_INTRDY_2020-08-0'!$G$2:$G$870))</f>
        <v>4046</v>
      </c>
      <c r="J523">
        <f>INDEX('TE_OA_20200805_INTRDY_2020-08-0'!$R$2:$R$870,MATCH(Filter!B523,'TE_OA_20200805_INTRDY_2020-08-0'!$G$2:$G$870))</f>
        <v>0</v>
      </c>
    </row>
    <row r="524" spans="1:10" x14ac:dyDescent="0.25">
      <c r="A524" t="str">
        <f>INDEX('Pipe Table'!$E$2:$E$10,MATCH(INDEX('TE_OA_20200805_INTRDY_2020-08-0'!$T$2:$T$870,MATCH(Filter!B524,'TE_OA_20200805_INTRDY_2020-08-0'!$G$2:$G$870,0)),'Pipe Table'!$D$2:$D$10,0))</f>
        <v>TETCO</v>
      </c>
      <c r="B524">
        <v>73469</v>
      </c>
      <c r="C524" t="str">
        <f>INDEX('TE_OA_20200805_INTRDY_2020-08-0'!$J$2:$J$870,MATCH(Filter!B524,'TE_OA_20200805_INTRDY_2020-08-0'!$G$2:$G$870))</f>
        <v>Delivery</v>
      </c>
      <c r="D524" t="str">
        <f>INDEX('Pipe Table'!$B$2:$B$14,MATCH(INDEX(TeAllPoints!$I$2:$I$957,MATCH(Filter!B524,TeAllPoints!$B$2:$B$957,0)),'Pipe Table'!$A$2:$A$14,0))</f>
        <v>GsPlnt</v>
      </c>
      <c r="E524" t="str">
        <f>INDEX('TE_OA_20200805_INTRDY_2020-08-0'!$H$2:$H$870,MATCH(Filter!B524,'TE_OA_20200805_INTRDY_2020-08-0'!$G$2:$G$870))</f>
        <v>Discovery-LaRose Station Interconnect, Lafourche Psh., LA</v>
      </c>
      <c r="F524" t="str">
        <f>INDEX('Pipe Table'!$H$2:$H$8,MATCH('TE_OA_20200805_INTRDY_2020-08-0'!I505,'Pipe Table'!$G$2:$G$8,0))</f>
        <v>TETCO-ELA</v>
      </c>
      <c r="G524" t="str">
        <f>INDEX(TeAllPoints!$D$2:$D$957,MATCH(Filter!B524,TeAllPoints!$B$2:$B$957,0))</f>
        <v>LA</v>
      </c>
      <c r="H524" t="str">
        <f>INDEX(TeAllPoints!$E$2:$E$957,MATCH(Filter!B524,TeAllPoints!$B$2:$B$957,0))</f>
        <v>LAFOURCHE</v>
      </c>
      <c r="I524">
        <f>INDEX('TE_OA_20200805_INTRDY_2020-08-0'!$Q$2:$Q$870,MATCH(Filter!B524,'TE_OA_20200805_INTRDY_2020-08-0'!$G$2:$G$870))</f>
        <v>915937</v>
      </c>
      <c r="J524">
        <f>INDEX('TE_OA_20200805_INTRDY_2020-08-0'!$R$2:$R$870,MATCH(Filter!B524,'TE_OA_20200805_INTRDY_2020-08-0'!$G$2:$G$870))</f>
        <v>0</v>
      </c>
    </row>
    <row r="525" spans="1:10" x14ac:dyDescent="0.25">
      <c r="A525" t="str">
        <f>INDEX('Pipe Table'!$E$2:$E$10,MATCH(INDEX('TE_OA_20200805_INTRDY_2020-08-0'!$T$2:$T$870,MATCH(Filter!B525,'TE_OA_20200805_INTRDY_2020-08-0'!$G$2:$G$870,0)),'Pipe Table'!$D$2:$D$10,0))</f>
        <v>TETCO</v>
      </c>
      <c r="B525">
        <v>73475</v>
      </c>
      <c r="C525" t="str">
        <f>INDEX('TE_OA_20200805_INTRDY_2020-08-0'!$J$2:$J$870,MATCH(Filter!B525,'TE_OA_20200805_INTRDY_2020-08-0'!$G$2:$G$870))</f>
        <v>Receipt</v>
      </c>
      <c r="D525" t="str">
        <f>INDEX('Pipe Table'!$B$2:$B$14,MATCH(INDEX(TeAllPoints!$I$2:$I$957,MATCH(Filter!B525,TeAllPoints!$B$2:$B$957,0)),'Pipe Table'!$A$2:$A$14,0))</f>
        <v>Wellhead</v>
      </c>
      <c r="E525" t="str">
        <f>INDEX('TE_OA_20200805_INTRDY_2020-08-0'!$H$2:$H$870,MATCH(Filter!B525,'TE_OA_20200805_INTRDY_2020-08-0'!$G$2:$G$870))</f>
        <v>Samson Lonestar - Herrera #2 Gathering, Nacogdoches Co., TX  (Rece</v>
      </c>
      <c r="F525" t="str">
        <f>INDEX('Pipe Table'!$H$2:$H$8,MATCH('TE_OA_20200805_INTRDY_2020-08-0'!I506,'Pipe Table'!$G$2:$G$8,0))</f>
        <v>TETCO-ETX</v>
      </c>
      <c r="G525" t="str">
        <f>INDEX(TeAllPoints!$D$2:$D$957,MATCH(Filter!B525,TeAllPoints!$B$2:$B$957,0))</f>
        <v>TX</v>
      </c>
      <c r="H525" t="str">
        <f>INDEX(TeAllPoints!$E$2:$E$957,MATCH(Filter!B525,TeAllPoints!$B$2:$B$957,0))</f>
        <v>NACOGDOCHES</v>
      </c>
      <c r="I525">
        <f>INDEX('TE_OA_20200805_INTRDY_2020-08-0'!$Q$2:$Q$870,MATCH(Filter!B525,'TE_OA_20200805_INTRDY_2020-08-0'!$G$2:$G$870))</f>
        <v>16740</v>
      </c>
      <c r="J525">
        <f>INDEX('TE_OA_20200805_INTRDY_2020-08-0'!$R$2:$R$870,MATCH(Filter!B525,'TE_OA_20200805_INTRDY_2020-08-0'!$G$2:$G$870))</f>
        <v>0</v>
      </c>
    </row>
    <row r="526" spans="1:10" x14ac:dyDescent="0.25">
      <c r="A526" t="str">
        <f>INDEX('Pipe Table'!$E$2:$E$10,MATCH(INDEX('TE_OA_20200805_INTRDY_2020-08-0'!$T$2:$T$870,MATCH(Filter!B526,'TE_OA_20200805_INTRDY_2020-08-0'!$G$2:$G$870,0)),'Pipe Table'!$D$2:$D$10,0))</f>
        <v>TETCO</v>
      </c>
      <c r="B526">
        <v>73476</v>
      </c>
      <c r="C526" t="str">
        <f>INDEX('TE_OA_20200805_INTRDY_2020-08-0'!$J$2:$J$870,MATCH(Filter!B526,'TE_OA_20200805_INTRDY_2020-08-0'!$G$2:$G$870))</f>
        <v>Receipt</v>
      </c>
      <c r="D526" t="str">
        <f>INDEX('Pipe Table'!$B$2:$B$14,MATCH(INDEX(TeAllPoints!$I$2:$I$957,MATCH(Filter!B526,TeAllPoints!$B$2:$B$957,0)),'Pipe Table'!$A$2:$A$14,0))</f>
        <v>Wellhead</v>
      </c>
      <c r="E526" t="str">
        <f>INDEX('TE_OA_20200805_INTRDY_2020-08-0'!$H$2:$H$870,MATCH(Filter!B526,'TE_OA_20200805_INTRDY_2020-08-0'!$G$2:$G$870))</f>
        <v>XTO Energy - O"Brien Interconnect - (73476)</v>
      </c>
      <c r="F526" t="str">
        <f>INDEX('Pipe Table'!$H$2:$H$8,MATCH('TE_OA_20200805_INTRDY_2020-08-0'!I507,'Pipe Table'!$G$2:$G$8,0))</f>
        <v>TETCO-M2</v>
      </c>
      <c r="G526" t="str">
        <f>INDEX(TeAllPoints!$D$2:$D$957,MATCH(Filter!B526,TeAllPoints!$B$2:$B$957,0))</f>
        <v>PA</v>
      </c>
      <c r="H526" t="str">
        <f>INDEX(TeAllPoints!$E$2:$E$957,MATCH(Filter!B526,TeAllPoints!$B$2:$B$957,0))</f>
        <v>SOMERSET</v>
      </c>
      <c r="I526">
        <f>INDEX('TE_OA_20200805_INTRDY_2020-08-0'!$Q$2:$Q$870,MATCH(Filter!B526,'TE_OA_20200805_INTRDY_2020-08-0'!$G$2:$G$870))</f>
        <v>4081</v>
      </c>
      <c r="J526">
        <f>INDEX('TE_OA_20200805_INTRDY_2020-08-0'!$R$2:$R$870,MATCH(Filter!B526,'TE_OA_20200805_INTRDY_2020-08-0'!$G$2:$G$870))</f>
        <v>0</v>
      </c>
    </row>
    <row r="527" spans="1:10" x14ac:dyDescent="0.25">
      <c r="A527" t="str">
        <f>INDEX('Pipe Table'!$E$2:$E$10,MATCH(INDEX('TE_OA_20200805_INTRDY_2020-08-0'!$T$2:$T$870,MATCH(Filter!B527,'TE_OA_20200805_INTRDY_2020-08-0'!$G$2:$G$870,0)),'Pipe Table'!$D$2:$D$10,0))</f>
        <v>TETCO</v>
      </c>
      <c r="B527">
        <v>73477</v>
      </c>
      <c r="C527" t="str">
        <f>INDEX('TE_OA_20200805_INTRDY_2020-08-0'!$J$2:$J$870,MATCH(Filter!B527,'TE_OA_20200805_INTRDY_2020-08-0'!$G$2:$G$870))</f>
        <v>Receipt</v>
      </c>
      <c r="D527" t="str">
        <f>INDEX('Pipe Table'!$B$2:$B$14,MATCH(INDEX(TeAllPoints!$I$2:$I$957,MATCH(Filter!B527,TeAllPoints!$B$2:$B$957,0)),'Pipe Table'!$A$2:$A$14,0))</f>
        <v>Wellhead</v>
      </c>
      <c r="E527" t="str">
        <f>INDEX('TE_OA_20200805_INTRDY_2020-08-0'!$H$2:$H$870,MATCH(Filter!B527,'TE_OA_20200805_INTRDY_2020-08-0'!$G$2:$G$870))</f>
        <v>Prime Operating Company - Money Wort #1 - Walker Co., TX (REC)</v>
      </c>
      <c r="F527" t="str">
        <f>INDEX('Pipe Table'!$H$2:$H$8,MATCH('TE_OA_20200805_INTRDY_2020-08-0'!I508,'Pipe Table'!$G$2:$G$8,0))</f>
        <v>TETCO-STX</v>
      </c>
      <c r="G527" t="str">
        <f>INDEX(TeAllPoints!$D$2:$D$957,MATCH(Filter!B527,TeAllPoints!$B$2:$B$957,0))</f>
        <v>TX</v>
      </c>
      <c r="H527" t="str">
        <f>INDEX(TeAllPoints!$E$2:$E$957,MATCH(Filter!B527,TeAllPoints!$B$2:$B$957,0))</f>
        <v>WALKER</v>
      </c>
      <c r="I527">
        <f>INDEX('TE_OA_20200805_INTRDY_2020-08-0'!$Q$2:$Q$870,MATCH(Filter!B527,'TE_OA_20200805_INTRDY_2020-08-0'!$G$2:$G$870))</f>
        <v>3896</v>
      </c>
      <c r="J527">
        <f>INDEX('TE_OA_20200805_INTRDY_2020-08-0'!$R$2:$R$870,MATCH(Filter!B527,'TE_OA_20200805_INTRDY_2020-08-0'!$G$2:$G$870))</f>
        <v>0</v>
      </c>
    </row>
    <row r="528" spans="1:10" x14ac:dyDescent="0.25">
      <c r="A528" t="str">
        <f>INDEX('Pipe Table'!$E$2:$E$10,MATCH(INDEX('TE_OA_20200805_INTRDY_2020-08-0'!$T$2:$T$870,MATCH(Filter!B528,'TE_OA_20200805_INTRDY_2020-08-0'!$G$2:$G$870,0)),'Pipe Table'!$D$2:$D$10,0))</f>
        <v>TETCO</v>
      </c>
      <c r="B528">
        <v>73481</v>
      </c>
      <c r="C528" t="str">
        <f>INDEX('TE_OA_20200805_INTRDY_2020-08-0'!$J$2:$J$870,MATCH(Filter!B528,'TE_OA_20200805_INTRDY_2020-08-0'!$G$2:$G$870))</f>
        <v>Receipt</v>
      </c>
      <c r="D528" t="str">
        <f>INDEX('Pipe Table'!$B$2:$B$14,MATCH(INDEX(TeAllPoints!$I$2:$I$957,MATCH(Filter!B528,TeAllPoints!$B$2:$B$957,0)),'Pipe Table'!$A$2:$A$14,0))</f>
        <v>Wellhead</v>
      </c>
      <c r="E528" t="str">
        <f>INDEX('TE_OA_20200805_INTRDY_2020-08-0'!$H$2:$H$870,MATCH(Filter!B528,'TE_OA_20200805_INTRDY_2020-08-0'!$G$2:$G$870))</f>
        <v>Aspect Energy - Bintliff Gathering - Brazoria Co., TX</v>
      </c>
      <c r="F528" t="str">
        <f>INDEX('Pipe Table'!$H$2:$H$8,MATCH('TE_OA_20200805_INTRDY_2020-08-0'!I509,'Pipe Table'!$G$2:$G$8,0))</f>
        <v>TETCO-STX</v>
      </c>
      <c r="G528" t="str">
        <f>INDEX(TeAllPoints!$D$2:$D$957,MATCH(Filter!B528,TeAllPoints!$B$2:$B$957,0))</f>
        <v>TX</v>
      </c>
      <c r="H528" t="str">
        <f>INDEX(TeAllPoints!$E$2:$E$957,MATCH(Filter!B528,TeAllPoints!$B$2:$B$957,0))</f>
        <v>BRAZORIA</v>
      </c>
      <c r="I528">
        <f>INDEX('TE_OA_20200805_INTRDY_2020-08-0'!$Q$2:$Q$870,MATCH(Filter!B528,'TE_OA_20200805_INTRDY_2020-08-0'!$G$2:$G$870))</f>
        <v>9369</v>
      </c>
      <c r="J528">
        <f>INDEX('TE_OA_20200805_INTRDY_2020-08-0'!$R$2:$R$870,MATCH(Filter!B528,'TE_OA_20200805_INTRDY_2020-08-0'!$G$2:$G$870))</f>
        <v>0</v>
      </c>
    </row>
    <row r="529" spans="1:10" x14ac:dyDescent="0.25">
      <c r="A529" t="str">
        <f>INDEX('Pipe Table'!$E$2:$E$10,MATCH(INDEX('TE_OA_20200805_INTRDY_2020-08-0'!$T$2:$T$870,MATCH(Filter!B529,'TE_OA_20200805_INTRDY_2020-08-0'!$G$2:$G$870,0)),'Pipe Table'!$D$2:$D$10,0))</f>
        <v>TETCO</v>
      </c>
      <c r="B529">
        <v>73482</v>
      </c>
      <c r="C529" t="str">
        <f>INDEX('TE_OA_20200805_INTRDY_2020-08-0'!$J$2:$J$870,MATCH(Filter!B529,'TE_OA_20200805_INTRDY_2020-08-0'!$G$2:$G$870))</f>
        <v>Receipt</v>
      </c>
      <c r="D529" t="str">
        <f>INDEX('Pipe Table'!$B$2:$B$14,MATCH(INDEX(TeAllPoints!$I$2:$I$957,MATCH(Filter!B529,TeAllPoints!$B$2:$B$957,0)),'Pipe Table'!$A$2:$A$14,0))</f>
        <v>Wellhead</v>
      </c>
      <c r="E529" t="str">
        <f>INDEX('TE_OA_20200805_INTRDY_2020-08-0'!$H$2:$H$870,MATCH(Filter!B529,'TE_OA_20200805_INTRDY_2020-08-0'!$G$2:$G$870))</f>
        <v>MAGNUM LP - Chicolete Creek - Lavaca Co., TX (REC)</v>
      </c>
      <c r="F529" t="str">
        <f>INDEX('Pipe Table'!$H$2:$H$8,MATCH('TE_OA_20200805_INTRDY_2020-08-0'!I510,'Pipe Table'!$G$2:$G$8,0))</f>
        <v>TETCO-STX</v>
      </c>
      <c r="G529" t="str">
        <f>INDEX(TeAllPoints!$D$2:$D$957,MATCH(Filter!B529,TeAllPoints!$B$2:$B$957,0))</f>
        <v>TX</v>
      </c>
      <c r="H529" t="str">
        <f>INDEX(TeAllPoints!$E$2:$E$957,MATCH(Filter!B529,TeAllPoints!$B$2:$B$957,0))</f>
        <v>DE WITT</v>
      </c>
      <c r="I529">
        <f>INDEX('TE_OA_20200805_INTRDY_2020-08-0'!$Q$2:$Q$870,MATCH(Filter!B529,'TE_OA_20200805_INTRDY_2020-08-0'!$G$2:$G$870))</f>
        <v>4038</v>
      </c>
      <c r="J529">
        <f>INDEX('TE_OA_20200805_INTRDY_2020-08-0'!$R$2:$R$870,MATCH(Filter!B529,'TE_OA_20200805_INTRDY_2020-08-0'!$G$2:$G$870))</f>
        <v>145</v>
      </c>
    </row>
    <row r="530" spans="1:10" x14ac:dyDescent="0.25">
      <c r="A530" t="str">
        <f>INDEX('Pipe Table'!$E$2:$E$10,MATCH(INDEX('TE_OA_20200805_INTRDY_2020-08-0'!$T$2:$T$870,MATCH(Filter!B530,'TE_OA_20200805_INTRDY_2020-08-0'!$G$2:$G$870,0)),'Pipe Table'!$D$2:$D$10,0))</f>
        <v>TETCO</v>
      </c>
      <c r="B530">
        <v>73484</v>
      </c>
      <c r="C530" t="str">
        <f>INDEX('TE_OA_20200805_INTRDY_2020-08-0'!$J$2:$J$870,MATCH(Filter!B530,'TE_OA_20200805_INTRDY_2020-08-0'!$G$2:$G$870))</f>
        <v>Receipt</v>
      </c>
      <c r="D530" t="str">
        <f>INDEX('Pipe Table'!$B$2:$B$14,MATCH(INDEX(TeAllPoints!$I$2:$I$957,MATCH(Filter!B530,TeAllPoints!$B$2:$B$957,0)),'Pipe Table'!$A$2:$A$14,0))</f>
        <v>Wellhead</v>
      </c>
      <c r="E530" t="str">
        <f>INDEX('TE_OA_20200805_INTRDY_2020-08-0'!$H$2:$H$870,MATCH(Filter!B530,'TE_OA_20200805_INTRDY_2020-08-0'!$G$2:$G$870))</f>
        <v>Samson Resources - Cherokee Oak Hill - Rusk Co. TX. (REC)</v>
      </c>
      <c r="F530" t="str">
        <f>INDEX('Pipe Table'!$H$2:$H$8,MATCH('TE_OA_20200805_INTRDY_2020-08-0'!I511,'Pipe Table'!$G$2:$G$8,0))</f>
        <v>TETCO-ETX</v>
      </c>
      <c r="G530" t="str">
        <f>INDEX(TeAllPoints!$D$2:$D$957,MATCH(Filter!B530,TeAllPoints!$B$2:$B$957,0))</f>
        <v>TX</v>
      </c>
      <c r="H530" t="str">
        <f>INDEX(TeAllPoints!$E$2:$E$957,MATCH(Filter!B530,TeAllPoints!$B$2:$B$957,0))</f>
        <v>RUSK</v>
      </c>
      <c r="I530">
        <f>INDEX('TE_OA_20200805_INTRDY_2020-08-0'!$Q$2:$Q$870,MATCH(Filter!B530,'TE_OA_20200805_INTRDY_2020-08-0'!$G$2:$G$870))</f>
        <v>68191</v>
      </c>
      <c r="J530">
        <f>INDEX('TE_OA_20200805_INTRDY_2020-08-0'!$R$2:$R$870,MATCH(Filter!B530,'TE_OA_20200805_INTRDY_2020-08-0'!$G$2:$G$870))</f>
        <v>0</v>
      </c>
    </row>
    <row r="531" spans="1:10" x14ac:dyDescent="0.25">
      <c r="A531" t="str">
        <f>INDEX('Pipe Table'!$E$2:$E$10,MATCH(INDEX('TE_OA_20200805_INTRDY_2020-08-0'!$T$2:$T$870,MATCH(Filter!B531,'TE_OA_20200805_INTRDY_2020-08-0'!$G$2:$G$870,0)),'Pipe Table'!$D$2:$D$10,0))</f>
        <v>TETCO</v>
      </c>
      <c r="B531">
        <v>73485</v>
      </c>
      <c r="C531" t="str">
        <f>INDEX('TE_OA_20200805_INTRDY_2020-08-0'!$J$2:$J$870,MATCH(Filter!B531,'TE_OA_20200805_INTRDY_2020-08-0'!$G$2:$G$870))</f>
        <v>Delivery</v>
      </c>
      <c r="D531" t="e">
        <f>INDEX('Pipe Table'!$B$2:$B$14,MATCH(INDEX(TeAllPoints!$I$2:$I$957,MATCH(Filter!B531,TeAllPoints!$B$2:$B$957,0)),'Pipe Table'!$A$2:$A$14,0))</f>
        <v>#N/A</v>
      </c>
      <c r="E531" t="str">
        <f>INDEX('TE_OA_20200805_INTRDY_2020-08-0'!$H$2:$H$870,MATCH(Filter!B531,'TE_OA_20200805_INTRDY_2020-08-0'!$G$2:$G$870))</f>
        <v>Amerada Hess (Port Reading interconnect)  Middlesex Co., N.J.</v>
      </c>
      <c r="F531" t="str">
        <f>INDEX('Pipe Table'!$H$2:$H$8,MATCH('TE_OA_20200805_INTRDY_2020-08-0'!I512,'Pipe Table'!$G$2:$G$8,0))</f>
        <v>TETCO-M3</v>
      </c>
      <c r="G531" t="e">
        <f>INDEX(TeAllPoints!$D$2:$D$957,MATCH(Filter!B531,TeAllPoints!$B$2:$B$957,0))</f>
        <v>#N/A</v>
      </c>
      <c r="H531" t="e">
        <f>INDEX(TeAllPoints!$E$2:$E$957,MATCH(Filter!B531,TeAllPoints!$B$2:$B$957,0))</f>
        <v>#N/A</v>
      </c>
      <c r="I531">
        <f>INDEX('TE_OA_20200805_INTRDY_2020-08-0'!$Q$2:$Q$870,MATCH(Filter!B531,'TE_OA_20200805_INTRDY_2020-08-0'!$G$2:$G$870))</f>
        <v>60818</v>
      </c>
      <c r="J531">
        <f>INDEX('TE_OA_20200805_INTRDY_2020-08-0'!$R$2:$R$870,MATCH(Filter!B531,'TE_OA_20200805_INTRDY_2020-08-0'!$G$2:$G$870))</f>
        <v>0</v>
      </c>
    </row>
    <row r="532" spans="1:10" x14ac:dyDescent="0.25">
      <c r="A532" t="str">
        <f>INDEX('Pipe Table'!$E$2:$E$10,MATCH(INDEX('TE_OA_20200805_INTRDY_2020-08-0'!$T$2:$T$870,MATCH(Filter!B532,'TE_OA_20200805_INTRDY_2020-08-0'!$G$2:$G$870,0)),'Pipe Table'!$D$2:$D$10,0))</f>
        <v>TETCO</v>
      </c>
      <c r="B532">
        <v>73490</v>
      </c>
      <c r="C532" t="str">
        <f>INDEX('TE_OA_20200805_INTRDY_2020-08-0'!$J$2:$J$870,MATCH(Filter!B532,'TE_OA_20200805_INTRDY_2020-08-0'!$G$2:$G$870))</f>
        <v>Receipt</v>
      </c>
      <c r="D532" t="str">
        <f>INDEX('Pipe Table'!$B$2:$B$14,MATCH(INDEX(TeAllPoints!$I$2:$I$957,MATCH(Filter!B532,TeAllPoints!$B$2:$B$957,0)),'Pipe Table'!$A$2:$A$14,0))</f>
        <v>Wellhead</v>
      </c>
      <c r="E532" t="str">
        <f>INDEX('TE_OA_20200805_INTRDY_2020-08-0'!$H$2:$H$870,MATCH(Filter!B532,'TE_OA_20200805_INTRDY_2020-08-0'!$G$2:$G$870))</f>
        <v>Dominion E&amp;P - Brown Gathering-Orange Co., TX</v>
      </c>
      <c r="F532" t="str">
        <f>INDEX('Pipe Table'!$H$2:$H$8,MATCH('TE_OA_20200805_INTRDY_2020-08-0'!I513,'Pipe Table'!$G$2:$G$8,0))</f>
        <v>TETCO-WLA</v>
      </c>
      <c r="G532" t="str">
        <f>INDEX(TeAllPoints!$D$2:$D$957,MATCH(Filter!B532,TeAllPoints!$B$2:$B$957,0))</f>
        <v>TX</v>
      </c>
      <c r="H532" t="str">
        <f>INDEX(TeAllPoints!$E$2:$E$957,MATCH(Filter!B532,TeAllPoints!$B$2:$B$957,0))</f>
        <v>ORANGE</v>
      </c>
      <c r="I532">
        <f>INDEX('TE_OA_20200805_INTRDY_2020-08-0'!$Q$2:$Q$870,MATCH(Filter!B532,'TE_OA_20200805_INTRDY_2020-08-0'!$G$2:$G$870))</f>
        <v>39328</v>
      </c>
      <c r="J532">
        <f>INDEX('TE_OA_20200805_INTRDY_2020-08-0'!$R$2:$R$870,MATCH(Filter!B532,'TE_OA_20200805_INTRDY_2020-08-0'!$G$2:$G$870))</f>
        <v>10</v>
      </c>
    </row>
    <row r="533" spans="1:10" x14ac:dyDescent="0.25">
      <c r="A533" t="str">
        <f>INDEX('Pipe Table'!$E$2:$E$10,MATCH(INDEX('TE_OA_20200805_INTRDY_2020-08-0'!$T$2:$T$870,MATCH(Filter!B533,'TE_OA_20200805_INTRDY_2020-08-0'!$G$2:$G$870,0)),'Pipe Table'!$D$2:$D$10,0))</f>
        <v>TETCO</v>
      </c>
      <c r="B533">
        <v>73491</v>
      </c>
      <c r="C533" t="str">
        <f>INDEX('TE_OA_20200805_INTRDY_2020-08-0'!$J$2:$J$870,MATCH(Filter!B533,'TE_OA_20200805_INTRDY_2020-08-0'!$G$2:$G$870))</f>
        <v>Receipt</v>
      </c>
      <c r="D533" t="str">
        <f>INDEX('Pipe Table'!$B$2:$B$14,MATCH(INDEX(TeAllPoints!$I$2:$I$957,MATCH(Filter!B533,TeAllPoints!$B$2:$B$957,0)),'Pipe Table'!$A$2:$A$14,0))</f>
        <v>Wellhead</v>
      </c>
      <c r="E533" t="str">
        <f>INDEX('TE_OA_20200805_INTRDY_2020-08-0'!$H$2:$H$870,MATCH(Filter!B533,'TE_OA_20200805_INTRDY_2020-08-0'!$G$2:$G$870))</f>
        <v>Rovig Mineral-Lake Boeuf Field,LaFourche Parish, LA</v>
      </c>
      <c r="F533" t="str">
        <f>INDEX('Pipe Table'!$H$2:$H$8,MATCH('TE_OA_20200805_INTRDY_2020-08-0'!I514,'Pipe Table'!$G$2:$G$8,0))</f>
        <v>TETCO-ELA</v>
      </c>
      <c r="G533" t="str">
        <f>INDEX(TeAllPoints!$D$2:$D$957,MATCH(Filter!B533,TeAllPoints!$B$2:$B$957,0))</f>
        <v>LA</v>
      </c>
      <c r="H533" t="str">
        <f>INDEX(TeAllPoints!$E$2:$E$957,MATCH(Filter!B533,TeAllPoints!$B$2:$B$957,0))</f>
        <v>LAFOURCHE</v>
      </c>
      <c r="I533">
        <f>INDEX('TE_OA_20200805_INTRDY_2020-08-0'!$Q$2:$Q$870,MATCH(Filter!B533,'TE_OA_20200805_INTRDY_2020-08-0'!$G$2:$G$870))</f>
        <v>9712</v>
      </c>
      <c r="J533">
        <f>INDEX('TE_OA_20200805_INTRDY_2020-08-0'!$R$2:$R$870,MATCH(Filter!B533,'TE_OA_20200805_INTRDY_2020-08-0'!$G$2:$G$870))</f>
        <v>70</v>
      </c>
    </row>
    <row r="534" spans="1:10" x14ac:dyDescent="0.25">
      <c r="A534" t="str">
        <f>INDEX('Pipe Table'!$E$2:$E$10,MATCH(INDEX('TE_OA_20200805_INTRDY_2020-08-0'!$T$2:$T$870,MATCH(Filter!B534,'TE_OA_20200805_INTRDY_2020-08-0'!$G$2:$G$870,0)),'Pipe Table'!$D$2:$D$10,0))</f>
        <v>TETCO</v>
      </c>
      <c r="B534">
        <v>73502</v>
      </c>
      <c r="C534" t="str">
        <f>INDEX('TE_OA_20200805_INTRDY_2020-08-0'!$J$2:$J$870,MATCH(Filter!B534,'TE_OA_20200805_INTRDY_2020-08-0'!$G$2:$G$870))</f>
        <v>Receipt</v>
      </c>
      <c r="D534" t="str">
        <f>INDEX('Pipe Table'!$B$2:$B$14,MATCH(INDEX(TeAllPoints!$I$2:$I$957,MATCH(Filter!B534,TeAllPoints!$B$2:$B$957,0)),'Pipe Table'!$A$2:$A$14,0))</f>
        <v>Wellhead</v>
      </c>
      <c r="E534" t="str">
        <f>INDEX('TE_OA_20200805_INTRDY_2020-08-0'!$H$2:$H$870,MATCH(Filter!B534,'TE_OA_20200805_INTRDY_2020-08-0'!$G$2:$G$870))</f>
        <v>Buffco Production, Inc - Oak Hill Cotton Valley</v>
      </c>
      <c r="F534" t="str">
        <f>INDEX('Pipe Table'!$H$2:$H$8,MATCH('TE_OA_20200805_INTRDY_2020-08-0'!I515,'Pipe Table'!$G$2:$G$8,0))</f>
        <v>TETCO-ETX</v>
      </c>
      <c r="G534" t="str">
        <f>INDEX(TeAllPoints!$D$2:$D$957,MATCH(Filter!B534,TeAllPoints!$B$2:$B$957,0))</f>
        <v>TX</v>
      </c>
      <c r="H534" t="str">
        <f>INDEX(TeAllPoints!$E$2:$E$957,MATCH(Filter!B534,TeAllPoints!$B$2:$B$957,0))</f>
        <v>HARRISON</v>
      </c>
      <c r="I534">
        <f>INDEX('TE_OA_20200805_INTRDY_2020-08-0'!$Q$2:$Q$870,MATCH(Filter!B534,'TE_OA_20200805_INTRDY_2020-08-0'!$G$2:$G$870))</f>
        <v>17366</v>
      </c>
      <c r="J534">
        <f>INDEX('TE_OA_20200805_INTRDY_2020-08-0'!$R$2:$R$870,MATCH(Filter!B534,'TE_OA_20200805_INTRDY_2020-08-0'!$G$2:$G$870))</f>
        <v>4</v>
      </c>
    </row>
    <row r="535" spans="1:10" x14ac:dyDescent="0.25">
      <c r="A535" t="str">
        <f>INDEX('Pipe Table'!$E$2:$E$10,MATCH(INDEX('TE_OA_20200805_INTRDY_2020-08-0'!$T$2:$T$870,MATCH(Filter!B535,'TE_OA_20200805_INTRDY_2020-08-0'!$G$2:$G$870,0)),'Pipe Table'!$D$2:$D$10,0))</f>
        <v>TETCO</v>
      </c>
      <c r="B535">
        <v>73503</v>
      </c>
      <c r="C535" t="str">
        <f>INDEX('TE_OA_20200805_INTRDY_2020-08-0'!$J$2:$J$870,MATCH(Filter!B535,'TE_OA_20200805_INTRDY_2020-08-0'!$G$2:$G$870))</f>
        <v>Receipt</v>
      </c>
      <c r="D535" t="str">
        <f>INDEX('Pipe Table'!$B$2:$B$14,MATCH(INDEX(TeAllPoints!$I$2:$I$957,MATCH(Filter!B535,TeAllPoints!$B$2:$B$957,0)),'Pipe Table'!$A$2:$A$14,0))</f>
        <v>Wellhead</v>
      </c>
      <c r="E535" t="str">
        <f>INDEX('TE_OA_20200805_INTRDY_2020-08-0'!$H$2:$H$870,MATCH(Filter!B535,'TE_OA_20200805_INTRDY_2020-08-0'!$G$2:$G$870))</f>
        <v>Windrush Operator/Huff -Kleberg Co., TX</v>
      </c>
      <c r="F535" t="str">
        <f>INDEX('Pipe Table'!$H$2:$H$8,MATCH('TE_OA_20200805_INTRDY_2020-08-0'!I516,'Pipe Table'!$G$2:$G$8,0))</f>
        <v>TETCO-STX</v>
      </c>
      <c r="G535" t="str">
        <f>INDEX(TeAllPoints!$D$2:$D$957,MATCH(Filter!B535,TeAllPoints!$B$2:$B$957,0))</f>
        <v>TX</v>
      </c>
      <c r="H535" t="str">
        <f>INDEX(TeAllPoints!$E$2:$E$957,MATCH(Filter!B535,TeAllPoints!$B$2:$B$957,0))</f>
        <v>KLEBERG</v>
      </c>
      <c r="I535">
        <f>INDEX('TE_OA_20200805_INTRDY_2020-08-0'!$Q$2:$Q$870,MATCH(Filter!B535,'TE_OA_20200805_INTRDY_2020-08-0'!$G$2:$G$870))</f>
        <v>3580</v>
      </c>
      <c r="J535">
        <f>INDEX('TE_OA_20200805_INTRDY_2020-08-0'!$R$2:$R$870,MATCH(Filter!B535,'TE_OA_20200805_INTRDY_2020-08-0'!$G$2:$G$870))</f>
        <v>0</v>
      </c>
    </row>
    <row r="536" spans="1:10" x14ac:dyDescent="0.25">
      <c r="A536" t="str">
        <f>INDEX('Pipe Table'!$E$2:$E$10,MATCH(INDEX('TE_OA_20200805_INTRDY_2020-08-0'!$T$2:$T$870,MATCH(Filter!B536,'TE_OA_20200805_INTRDY_2020-08-0'!$G$2:$G$870,0)),'Pipe Table'!$D$2:$D$10,0))</f>
        <v>TETCO</v>
      </c>
      <c r="B536">
        <v>73504</v>
      </c>
      <c r="C536" t="str">
        <f>INDEX('TE_OA_20200805_INTRDY_2020-08-0'!$J$2:$J$870,MATCH(Filter!B536,'TE_OA_20200805_INTRDY_2020-08-0'!$G$2:$G$870))</f>
        <v>Receipt</v>
      </c>
      <c r="D536" t="str">
        <f>INDEX('Pipe Table'!$B$2:$B$14,MATCH(INDEX(TeAllPoints!$I$2:$I$957,MATCH(Filter!B536,TeAllPoints!$B$2:$B$957,0)),'Pipe Table'!$A$2:$A$14,0))</f>
        <v>Wellhead</v>
      </c>
      <c r="E536" t="str">
        <f>INDEX('TE_OA_20200805_INTRDY_2020-08-0'!$H$2:$H$870,MATCH(Filter!B536,'TE_OA_20200805_INTRDY_2020-08-0'!$G$2:$G$870))</f>
        <v>Walter Oil &amp; Gas-Kasman Gathering -  Matagorda Co., TX</v>
      </c>
      <c r="F536" t="str">
        <f>INDEX('Pipe Table'!$H$2:$H$8,MATCH('TE_OA_20200805_INTRDY_2020-08-0'!I517,'Pipe Table'!$G$2:$G$8,0))</f>
        <v>TETCO-STX</v>
      </c>
      <c r="G536" t="str">
        <f>INDEX(TeAllPoints!$D$2:$D$957,MATCH(Filter!B536,TeAllPoints!$B$2:$B$957,0))</f>
        <v>TX</v>
      </c>
      <c r="H536" t="str">
        <f>INDEX(TeAllPoints!$E$2:$E$957,MATCH(Filter!B536,TeAllPoints!$B$2:$B$957,0))</f>
        <v>MATAGORDA</v>
      </c>
      <c r="I536">
        <f>INDEX('TE_OA_20200805_INTRDY_2020-08-0'!$Q$2:$Q$870,MATCH(Filter!B536,'TE_OA_20200805_INTRDY_2020-08-0'!$G$2:$G$870))</f>
        <v>18527</v>
      </c>
      <c r="J536">
        <f>INDEX('TE_OA_20200805_INTRDY_2020-08-0'!$R$2:$R$870,MATCH(Filter!B536,'TE_OA_20200805_INTRDY_2020-08-0'!$G$2:$G$870))</f>
        <v>0</v>
      </c>
    </row>
    <row r="537" spans="1:10" x14ac:dyDescent="0.25">
      <c r="A537" t="str">
        <f>INDEX('Pipe Table'!$E$2:$E$10,MATCH(INDEX('TE_OA_20200805_INTRDY_2020-08-0'!$T$2:$T$870,MATCH(Filter!B537,'TE_OA_20200805_INTRDY_2020-08-0'!$G$2:$G$870,0)),'Pipe Table'!$D$2:$D$10,0))</f>
        <v>TETCO</v>
      </c>
      <c r="B537">
        <v>73505</v>
      </c>
      <c r="C537" t="str">
        <f>INDEX('TE_OA_20200805_INTRDY_2020-08-0'!$J$2:$J$870,MATCH(Filter!B537,'TE_OA_20200805_INTRDY_2020-08-0'!$G$2:$G$870))</f>
        <v>Receipt</v>
      </c>
      <c r="D537" t="str">
        <f>INDEX('Pipe Table'!$B$2:$B$14,MATCH(INDEX(TeAllPoints!$I$2:$I$957,MATCH(Filter!B537,TeAllPoints!$B$2:$B$957,0)),'Pipe Table'!$A$2:$A$14,0))</f>
        <v>Wellhead</v>
      </c>
      <c r="E537" t="str">
        <f>INDEX('TE_OA_20200805_INTRDY_2020-08-0'!$H$2:$H$870,MATCH(Filter!B537,'TE_OA_20200805_INTRDY_2020-08-0'!$G$2:$G$870))</f>
        <v>DESF-Angel City Gathering-Goliad Co. TX</v>
      </c>
      <c r="F537" t="str">
        <f>INDEX('Pipe Table'!$H$2:$H$8,MATCH('TE_OA_20200805_INTRDY_2020-08-0'!I518,'Pipe Table'!$G$2:$G$8,0))</f>
        <v>TETCO-STX</v>
      </c>
      <c r="G537" t="str">
        <f>INDEX(TeAllPoints!$D$2:$D$957,MATCH(Filter!B537,TeAllPoints!$B$2:$B$957,0))</f>
        <v>TX</v>
      </c>
      <c r="H537" t="str">
        <f>INDEX(TeAllPoints!$E$2:$E$957,MATCH(Filter!B537,TeAllPoints!$B$2:$B$957,0))</f>
        <v>GOLIAD</v>
      </c>
      <c r="I537">
        <f>INDEX('TE_OA_20200805_INTRDY_2020-08-0'!$Q$2:$Q$870,MATCH(Filter!B537,'TE_OA_20200805_INTRDY_2020-08-0'!$G$2:$G$870))</f>
        <v>68045</v>
      </c>
      <c r="J537">
        <f>INDEX('TE_OA_20200805_INTRDY_2020-08-0'!$R$2:$R$870,MATCH(Filter!B537,'TE_OA_20200805_INTRDY_2020-08-0'!$G$2:$G$870))</f>
        <v>0</v>
      </c>
    </row>
    <row r="538" spans="1:10" x14ac:dyDescent="0.25">
      <c r="A538" t="str">
        <f>INDEX('Pipe Table'!$E$2:$E$10,MATCH(INDEX('TE_OA_20200805_INTRDY_2020-08-0'!$T$2:$T$870,MATCH(Filter!B538,'TE_OA_20200805_INTRDY_2020-08-0'!$G$2:$G$870,0)),'Pipe Table'!$D$2:$D$10,0))</f>
        <v>TETCO</v>
      </c>
      <c r="B538">
        <v>73507</v>
      </c>
      <c r="C538" t="str">
        <f>INDEX('TE_OA_20200805_INTRDY_2020-08-0'!$J$2:$J$870,MATCH(Filter!B538,'TE_OA_20200805_INTRDY_2020-08-0'!$G$2:$G$870))</f>
        <v>Delivery</v>
      </c>
      <c r="D538" t="str">
        <f>INDEX('Pipe Table'!$B$2:$B$14,MATCH(INDEX(TeAllPoints!$I$2:$I$957,MATCH(Filter!B538,TeAllPoints!$B$2:$B$957,0)),'Pipe Table'!$A$2:$A$14,0))</f>
        <v>LDC</v>
      </c>
      <c r="E538" t="str">
        <f>INDEX('TE_OA_20200805_INTRDY_2020-08-0'!$H$2:$H$870,MATCH(Filter!B538,'TE_OA_20200805_INTRDY_2020-08-0'!$G$2:$G$870))</f>
        <v>PECO - Skippack Delivery - Montgomery, PA.</v>
      </c>
      <c r="F538" t="str">
        <f>INDEX('Pipe Table'!$H$2:$H$8,MATCH('TE_OA_20200805_INTRDY_2020-08-0'!I519,'Pipe Table'!$G$2:$G$8,0))</f>
        <v>TETCO-M3</v>
      </c>
      <c r="G538" t="str">
        <f>INDEX(TeAllPoints!$D$2:$D$957,MATCH(Filter!B538,TeAllPoints!$B$2:$B$957,0))</f>
        <v>PA</v>
      </c>
      <c r="H538" t="str">
        <f>INDEX(TeAllPoints!$E$2:$E$957,MATCH(Filter!B538,TeAllPoints!$B$2:$B$957,0))</f>
        <v>BERKS</v>
      </c>
      <c r="I538">
        <f>INDEX('TE_OA_20200805_INTRDY_2020-08-0'!$Q$2:$Q$870,MATCH(Filter!B538,'TE_OA_20200805_INTRDY_2020-08-0'!$G$2:$G$870))</f>
        <v>55650</v>
      </c>
      <c r="J538">
        <f>INDEX('TE_OA_20200805_INTRDY_2020-08-0'!$R$2:$R$870,MATCH(Filter!B538,'TE_OA_20200805_INTRDY_2020-08-0'!$G$2:$G$870))</f>
        <v>0</v>
      </c>
    </row>
    <row r="539" spans="1:10" x14ac:dyDescent="0.25">
      <c r="A539" t="str">
        <f>INDEX('Pipe Table'!$E$2:$E$10,MATCH(INDEX('TE_OA_20200805_INTRDY_2020-08-0'!$T$2:$T$870,MATCH(Filter!B539,'TE_OA_20200805_INTRDY_2020-08-0'!$G$2:$G$870,0)),'Pipe Table'!$D$2:$D$10,0))</f>
        <v>TETCO</v>
      </c>
      <c r="B539">
        <v>73508</v>
      </c>
      <c r="C539" t="str">
        <f>INDEX('TE_OA_20200805_INTRDY_2020-08-0'!$J$2:$J$870,MATCH(Filter!B539,'TE_OA_20200805_INTRDY_2020-08-0'!$G$2:$G$870))</f>
        <v>Delivery</v>
      </c>
      <c r="D539" t="str">
        <f>INDEX('Pipe Table'!$B$2:$B$14,MATCH(INDEX(TeAllPoints!$I$2:$I$957,MATCH(Filter!B539,TeAllPoints!$B$2:$B$957,0)),'Pipe Table'!$A$2:$A$14,0))</f>
        <v>LDC</v>
      </c>
      <c r="E539" t="str">
        <f>INDEX('TE_OA_20200805_INTRDY_2020-08-0'!$H$2:$H$870,MATCH(Filter!B539,'TE_OA_20200805_INTRDY_2020-08-0'!$G$2:$G$870))</f>
        <v>Atmos Energy/Roxie-Fayette Delivery-Franklin Co., MS</v>
      </c>
      <c r="F539" t="str">
        <f>INDEX('Pipe Table'!$H$2:$H$8,MATCH('TE_OA_20200805_INTRDY_2020-08-0'!I520,'Pipe Table'!$G$2:$G$8,0))</f>
        <v>TETCO-ELA</v>
      </c>
      <c r="G539" t="str">
        <f>INDEX(TeAllPoints!$D$2:$D$957,MATCH(Filter!B539,TeAllPoints!$B$2:$B$957,0))</f>
        <v>MS</v>
      </c>
      <c r="H539" t="str">
        <f>INDEX(TeAllPoints!$E$2:$E$957,MATCH(Filter!B539,TeAllPoints!$B$2:$B$957,0))</f>
        <v>FRANKLIN</v>
      </c>
      <c r="I539">
        <f>INDEX('TE_OA_20200805_INTRDY_2020-08-0'!$Q$2:$Q$870,MATCH(Filter!B539,'TE_OA_20200805_INTRDY_2020-08-0'!$G$2:$G$870))</f>
        <v>16864</v>
      </c>
      <c r="J539">
        <f>INDEX('TE_OA_20200805_INTRDY_2020-08-0'!$R$2:$R$870,MATCH(Filter!B539,'TE_OA_20200805_INTRDY_2020-08-0'!$G$2:$G$870))</f>
        <v>100</v>
      </c>
    </row>
    <row r="540" spans="1:10" x14ac:dyDescent="0.25">
      <c r="A540" t="str">
        <f>INDEX('Pipe Table'!$E$2:$E$10,MATCH(INDEX('TE_OA_20200805_INTRDY_2020-08-0'!$T$2:$T$870,MATCH(Filter!B540,'TE_OA_20200805_INTRDY_2020-08-0'!$G$2:$G$870,0)),'Pipe Table'!$D$2:$D$10,0))</f>
        <v>TETCO</v>
      </c>
      <c r="B540">
        <v>73512</v>
      </c>
      <c r="C540" t="str">
        <f>INDEX('TE_OA_20200805_INTRDY_2020-08-0'!$J$2:$J$870,MATCH(Filter!B540,'TE_OA_20200805_INTRDY_2020-08-0'!$G$2:$G$870))</f>
        <v>Receipt</v>
      </c>
      <c r="D540" t="str">
        <f>INDEX('Pipe Table'!$B$2:$B$14,MATCH(INDEX(TeAllPoints!$I$2:$I$957,MATCH(Filter!B540,TeAllPoints!$B$2:$B$957,0)),'Pipe Table'!$A$2:$A$14,0))</f>
        <v>Wellhead</v>
      </c>
      <c r="E540" t="str">
        <f>INDEX('TE_OA_20200805_INTRDY_2020-08-0'!$H$2:$H$870,MATCH(Filter!B540,'TE_OA_20200805_INTRDY_2020-08-0'!$G$2:$G$870))</f>
        <v>CNX Gas Co. LLC - Green Hill Field - Greene C0., PA</v>
      </c>
      <c r="F540" t="str">
        <f>INDEX('Pipe Table'!$H$2:$H$8,MATCH('TE_OA_20200805_INTRDY_2020-08-0'!I521,'Pipe Table'!$G$2:$G$8,0))</f>
        <v>TETCO-M2</v>
      </c>
      <c r="G540" t="str">
        <f>INDEX(TeAllPoints!$D$2:$D$957,MATCH(Filter!B540,TeAllPoints!$B$2:$B$957,0))</f>
        <v>PA</v>
      </c>
      <c r="H540" t="str">
        <f>INDEX(TeAllPoints!$E$2:$E$957,MATCH(Filter!B540,TeAllPoints!$B$2:$B$957,0))</f>
        <v>GREENE</v>
      </c>
      <c r="I540">
        <f>INDEX('TE_OA_20200805_INTRDY_2020-08-0'!$Q$2:$Q$870,MATCH(Filter!B540,'TE_OA_20200805_INTRDY_2020-08-0'!$G$2:$G$870))</f>
        <v>30500</v>
      </c>
      <c r="J540">
        <f>INDEX('TE_OA_20200805_INTRDY_2020-08-0'!$R$2:$R$870,MATCH(Filter!B540,'TE_OA_20200805_INTRDY_2020-08-0'!$G$2:$G$870))</f>
        <v>0</v>
      </c>
    </row>
    <row r="541" spans="1:10" x14ac:dyDescent="0.25">
      <c r="A541" t="str">
        <f>INDEX('Pipe Table'!$E$2:$E$10,MATCH(INDEX('TE_OA_20200805_INTRDY_2020-08-0'!$T$2:$T$870,MATCH(Filter!B541,'TE_OA_20200805_INTRDY_2020-08-0'!$G$2:$G$870,0)),'Pipe Table'!$D$2:$D$10,0))</f>
        <v>TETCO</v>
      </c>
      <c r="B541">
        <v>73515</v>
      </c>
      <c r="C541" t="str">
        <f>INDEX('TE_OA_20200805_INTRDY_2020-08-0'!$J$2:$J$870,MATCH(Filter!B541,'TE_OA_20200805_INTRDY_2020-08-0'!$G$2:$G$870))</f>
        <v>Receipt</v>
      </c>
      <c r="D541" t="str">
        <f>INDEX('Pipe Table'!$B$2:$B$14,MATCH(INDEX(TeAllPoints!$I$2:$I$957,MATCH(Filter!B541,TeAllPoints!$B$2:$B$957,0)),'Pipe Table'!$A$2:$A$14,0))</f>
        <v>Wellhead</v>
      </c>
      <c r="E541" t="str">
        <f>INDEX('TE_OA_20200805_INTRDY_2020-08-0'!$H$2:$H$870,MATCH(Filter!B541,'TE_OA_20200805_INTRDY_2020-08-0'!$G$2:$G$870))</f>
        <v>Palmer Petroleum Inc.-Lumber Gathering - Angelina Co., TX</v>
      </c>
      <c r="F541" t="str">
        <f>INDEX('Pipe Table'!$H$2:$H$8,MATCH('TE_OA_20200805_INTRDY_2020-08-0'!I522,'Pipe Table'!$G$2:$G$8,0))</f>
        <v>TETCO-ETX</v>
      </c>
      <c r="G541" t="str">
        <f>INDEX(TeAllPoints!$D$2:$D$957,MATCH(Filter!B541,TeAllPoints!$B$2:$B$957,0))</f>
        <v>TX</v>
      </c>
      <c r="H541" t="str">
        <f>INDEX(TeAllPoints!$E$2:$E$957,MATCH(Filter!B541,TeAllPoints!$B$2:$B$957,0))</f>
        <v>ANGELINA</v>
      </c>
      <c r="I541">
        <f>INDEX('TE_OA_20200805_INTRDY_2020-08-0'!$Q$2:$Q$870,MATCH(Filter!B541,'TE_OA_20200805_INTRDY_2020-08-0'!$G$2:$G$870))</f>
        <v>10090</v>
      </c>
      <c r="J541">
        <f>INDEX('TE_OA_20200805_INTRDY_2020-08-0'!$R$2:$R$870,MATCH(Filter!B541,'TE_OA_20200805_INTRDY_2020-08-0'!$G$2:$G$870))</f>
        <v>179</v>
      </c>
    </row>
    <row r="542" spans="1:10" x14ac:dyDescent="0.25">
      <c r="A542" t="str">
        <f>INDEX('Pipe Table'!$E$2:$E$10,MATCH(INDEX('TE_OA_20200805_INTRDY_2020-08-0'!$T$2:$T$870,MATCH(Filter!B542,'TE_OA_20200805_INTRDY_2020-08-0'!$G$2:$G$870,0)),'Pipe Table'!$D$2:$D$10,0))</f>
        <v>TETCO</v>
      </c>
      <c r="B542">
        <v>73517</v>
      </c>
      <c r="C542" t="str">
        <f>INDEX('TE_OA_20200805_INTRDY_2020-08-0'!$J$2:$J$870,MATCH(Filter!B542,'TE_OA_20200805_INTRDY_2020-08-0'!$G$2:$G$870))</f>
        <v>Receipt</v>
      </c>
      <c r="D542" t="str">
        <f>INDEX('Pipe Table'!$B$2:$B$14,MATCH(INDEX(TeAllPoints!$I$2:$I$957,MATCH(Filter!B542,TeAllPoints!$B$2:$B$957,0)),'Pipe Table'!$A$2:$A$14,0))</f>
        <v>Wellhead</v>
      </c>
      <c r="E542" t="str">
        <f>INDEX('TE_OA_20200805_INTRDY_2020-08-0'!$H$2:$H$870,MATCH(Filter!B542,'TE_OA_20200805_INTRDY_2020-08-0'!$G$2:$G$870))</f>
        <v>Encana O&amp;G Inc. - Green Gathering - Nacogdoches Co.,TX</v>
      </c>
      <c r="F542" t="str">
        <f>INDEX('Pipe Table'!$H$2:$H$8,MATCH('TE_OA_20200805_INTRDY_2020-08-0'!I523,'Pipe Table'!$G$2:$G$8,0))</f>
        <v>TETCO-ETX</v>
      </c>
      <c r="G542" t="str">
        <f>INDEX(TeAllPoints!$D$2:$D$957,MATCH(Filter!B542,TeAllPoints!$B$2:$B$957,0))</f>
        <v>TX</v>
      </c>
      <c r="H542" t="str">
        <f>INDEX(TeAllPoints!$E$2:$E$957,MATCH(Filter!B542,TeAllPoints!$B$2:$B$957,0))</f>
        <v>NACOGDOCHES</v>
      </c>
      <c r="I542">
        <f>INDEX('TE_OA_20200805_INTRDY_2020-08-0'!$Q$2:$Q$870,MATCH(Filter!B542,'TE_OA_20200805_INTRDY_2020-08-0'!$G$2:$G$870))</f>
        <v>17354</v>
      </c>
      <c r="J542">
        <f>INDEX('TE_OA_20200805_INTRDY_2020-08-0'!$R$2:$R$870,MATCH(Filter!B542,'TE_OA_20200805_INTRDY_2020-08-0'!$G$2:$G$870))</f>
        <v>0</v>
      </c>
    </row>
    <row r="543" spans="1:10" x14ac:dyDescent="0.25">
      <c r="A543" t="str">
        <f>INDEX('Pipe Table'!$E$2:$E$10,MATCH(INDEX('TE_OA_20200805_INTRDY_2020-08-0'!$T$2:$T$870,MATCH(Filter!B543,'TE_OA_20200805_INTRDY_2020-08-0'!$G$2:$G$870,0)),'Pipe Table'!$D$2:$D$10,0))</f>
        <v>TETCO</v>
      </c>
      <c r="B543">
        <v>73519</v>
      </c>
      <c r="C543" t="str">
        <f>INDEX('TE_OA_20200805_INTRDY_2020-08-0'!$J$2:$J$870,MATCH(Filter!B543,'TE_OA_20200805_INTRDY_2020-08-0'!$G$2:$G$870))</f>
        <v>Receipt</v>
      </c>
      <c r="D543" t="str">
        <f>INDEX('Pipe Table'!$B$2:$B$14,MATCH(INDEX(TeAllPoints!$I$2:$I$957,MATCH(Filter!B543,TeAllPoints!$B$2:$B$957,0)),'Pipe Table'!$A$2:$A$14,0))</f>
        <v>Wellhead</v>
      </c>
      <c r="E543" t="str">
        <f>INDEX('TE_OA_20200805_INTRDY_2020-08-0'!$H$2:$H$870,MATCH(Filter!B543,'TE_OA_20200805_INTRDY_2020-08-0'!$G$2:$G$870))</f>
        <v>Fossil Resources-Cardinal Gathering-Nacogdoches Co., TX</v>
      </c>
      <c r="F543" t="str">
        <f>INDEX('Pipe Table'!$H$2:$H$8,MATCH('TE_OA_20200805_INTRDY_2020-08-0'!I524,'Pipe Table'!$G$2:$G$8,0))</f>
        <v>TETCO-ETX</v>
      </c>
      <c r="G543" t="str">
        <f>INDEX(TeAllPoints!$D$2:$D$957,MATCH(Filter!B543,TeAllPoints!$B$2:$B$957,0))</f>
        <v>TX</v>
      </c>
      <c r="H543" t="str">
        <f>INDEX(TeAllPoints!$E$2:$E$957,MATCH(Filter!B543,TeAllPoints!$B$2:$B$957,0))</f>
        <v>NACOGDOCHES</v>
      </c>
      <c r="I543">
        <f>INDEX('TE_OA_20200805_INTRDY_2020-08-0'!$Q$2:$Q$870,MATCH(Filter!B543,'TE_OA_20200805_INTRDY_2020-08-0'!$G$2:$G$870))</f>
        <v>15677</v>
      </c>
      <c r="J543">
        <f>INDEX('TE_OA_20200805_INTRDY_2020-08-0'!$R$2:$R$870,MATCH(Filter!B543,'TE_OA_20200805_INTRDY_2020-08-0'!$G$2:$G$870))</f>
        <v>700</v>
      </c>
    </row>
    <row r="544" spans="1:10" x14ac:dyDescent="0.25">
      <c r="A544" t="str">
        <f>INDEX('Pipe Table'!$E$2:$E$10,MATCH(INDEX('TE_OA_20200805_INTRDY_2020-08-0'!$T$2:$T$870,MATCH(Filter!B544,'TE_OA_20200805_INTRDY_2020-08-0'!$G$2:$G$870,0)),'Pipe Table'!$D$2:$D$10,0))</f>
        <v>TETCO</v>
      </c>
      <c r="B544">
        <v>73521</v>
      </c>
      <c r="C544" t="str">
        <f>INDEX('TE_OA_20200805_INTRDY_2020-08-0'!$J$2:$J$870,MATCH(Filter!B544,'TE_OA_20200805_INTRDY_2020-08-0'!$G$2:$G$870))</f>
        <v>Receipt</v>
      </c>
      <c r="D544" t="str">
        <f>INDEX('Pipe Table'!$B$2:$B$14,MATCH(INDEX(TeAllPoints!$I$2:$I$957,MATCH(Filter!B544,TeAllPoints!$B$2:$B$957,0)),'Pipe Table'!$A$2:$A$14,0))</f>
        <v>Wellhead</v>
      </c>
      <c r="E544" t="str">
        <f>INDEX('TE_OA_20200805_INTRDY_2020-08-0'!$H$2:$H$870,MATCH(Filter!B544,'TE_OA_20200805_INTRDY_2020-08-0'!$G$2:$G$870))</f>
        <v>Palmer Petroleum-Angelina #2-Angelina Co., TX</v>
      </c>
      <c r="F544" t="str">
        <f>INDEX('Pipe Table'!$H$2:$H$8,MATCH('TE_OA_20200805_INTRDY_2020-08-0'!I525,'Pipe Table'!$G$2:$G$8,0))</f>
        <v>TETCO-ETX</v>
      </c>
      <c r="G544" t="str">
        <f>INDEX(TeAllPoints!$D$2:$D$957,MATCH(Filter!B544,TeAllPoints!$B$2:$B$957,0))</f>
        <v>TX</v>
      </c>
      <c r="H544" t="str">
        <f>INDEX(TeAllPoints!$E$2:$E$957,MATCH(Filter!B544,TeAllPoints!$B$2:$B$957,0))</f>
        <v>ANGELINA</v>
      </c>
      <c r="I544">
        <f>INDEX('TE_OA_20200805_INTRDY_2020-08-0'!$Q$2:$Q$870,MATCH(Filter!B544,'TE_OA_20200805_INTRDY_2020-08-0'!$G$2:$G$870))</f>
        <v>10090</v>
      </c>
      <c r="J544">
        <f>INDEX('TE_OA_20200805_INTRDY_2020-08-0'!$R$2:$R$870,MATCH(Filter!B544,'TE_OA_20200805_INTRDY_2020-08-0'!$G$2:$G$870))</f>
        <v>0</v>
      </c>
    </row>
    <row r="545" spans="1:10" x14ac:dyDescent="0.25">
      <c r="A545" t="str">
        <f>INDEX('Pipe Table'!$E$2:$E$10,MATCH(INDEX('TE_OA_20200805_INTRDY_2020-08-0'!$T$2:$T$870,MATCH(Filter!B545,'TE_OA_20200805_INTRDY_2020-08-0'!$G$2:$G$870,0)),'Pipe Table'!$D$2:$D$10,0))</f>
        <v>TETCO</v>
      </c>
      <c r="B545">
        <v>73523</v>
      </c>
      <c r="C545" t="str">
        <f>INDEX('TE_OA_20200805_INTRDY_2020-08-0'!$J$2:$J$870,MATCH(Filter!B545,'TE_OA_20200805_INTRDY_2020-08-0'!$G$2:$G$870))</f>
        <v>Receipt</v>
      </c>
      <c r="D545" t="str">
        <f>INDEX('Pipe Table'!$B$2:$B$14,MATCH(INDEX(TeAllPoints!$I$2:$I$957,MATCH(Filter!B545,TeAllPoints!$B$2:$B$957,0)),'Pipe Table'!$A$2:$A$14,0))</f>
        <v>Intrcnnct</v>
      </c>
      <c r="E545" t="str">
        <f>INDEX('TE_OA_20200805_INTRDY_2020-08-0'!$H$2:$H$870,MATCH(Filter!B545,'TE_OA_20200805_INTRDY_2020-08-0'!$G$2:$G$870))</f>
        <v>Enterprise Gathering LLC/Bethany-Desoto Parish, LA-Run 1</v>
      </c>
      <c r="F545" t="str">
        <f>INDEX('Pipe Table'!$H$2:$H$8,MATCH('TE_OA_20200805_INTRDY_2020-08-0'!I526,'Pipe Table'!$G$2:$G$8,0))</f>
        <v>TETCO-ETX</v>
      </c>
      <c r="G545" t="str">
        <f>INDEX(TeAllPoints!$D$2:$D$957,MATCH(Filter!B545,TeAllPoints!$B$2:$B$957,0))</f>
        <v>LA</v>
      </c>
      <c r="H545" t="str">
        <f>INDEX(TeAllPoints!$E$2:$E$957,MATCH(Filter!B545,TeAllPoints!$B$2:$B$957,0))</f>
        <v>DE SOTO</v>
      </c>
      <c r="I545">
        <f>INDEX('TE_OA_20200805_INTRDY_2020-08-0'!$Q$2:$Q$870,MATCH(Filter!B545,'TE_OA_20200805_INTRDY_2020-08-0'!$G$2:$G$870))</f>
        <v>42001</v>
      </c>
      <c r="J545">
        <f>INDEX('TE_OA_20200805_INTRDY_2020-08-0'!$R$2:$R$870,MATCH(Filter!B545,'TE_OA_20200805_INTRDY_2020-08-0'!$G$2:$G$870))</f>
        <v>0</v>
      </c>
    </row>
    <row r="546" spans="1:10" x14ac:dyDescent="0.25">
      <c r="A546" t="str">
        <f>INDEX('Pipe Table'!$E$2:$E$10,MATCH(INDEX('TE_OA_20200805_INTRDY_2020-08-0'!$T$2:$T$870,MATCH(Filter!B546,'TE_OA_20200805_INTRDY_2020-08-0'!$G$2:$G$870,0)),'Pipe Table'!$D$2:$D$10,0))</f>
        <v>TETCO</v>
      </c>
      <c r="B546">
        <v>73538</v>
      </c>
      <c r="C546" t="str">
        <f>INDEX('TE_OA_20200805_INTRDY_2020-08-0'!$J$2:$J$870,MATCH(Filter!B546,'TE_OA_20200805_INTRDY_2020-08-0'!$G$2:$G$870))</f>
        <v>Delivery</v>
      </c>
      <c r="D546" t="str">
        <f>INDEX('Pipe Table'!$B$2:$B$14,MATCH(INDEX(TeAllPoints!$I$2:$I$957,MATCH(Filter!B546,TeAllPoints!$B$2:$B$957,0)),'Pipe Table'!$A$2:$A$14,0))</f>
        <v>EndUsr</v>
      </c>
      <c r="E546" t="str">
        <f>INDEX('TE_OA_20200805_INTRDY_2020-08-0'!$H$2:$H$870,MATCH(Filter!B546,'TE_OA_20200805_INTRDY_2020-08-0'!$G$2:$G$870))</f>
        <v>Aspect Energy - Bintliff #3 Buy Back-Brazoria Co., TX</v>
      </c>
      <c r="F546" t="str">
        <f>INDEX('Pipe Table'!$H$2:$H$8,MATCH('TE_OA_20200805_INTRDY_2020-08-0'!I527,'Pipe Table'!$G$2:$G$8,0))</f>
        <v>TETCO-STX</v>
      </c>
      <c r="G546" t="str">
        <f>INDEX(TeAllPoints!$D$2:$D$957,MATCH(Filter!B546,TeAllPoints!$B$2:$B$957,0))</f>
        <v>TX</v>
      </c>
      <c r="H546" t="str">
        <f>INDEX(TeAllPoints!$E$2:$E$957,MATCH(Filter!B546,TeAllPoints!$B$2:$B$957,0))</f>
        <v>BRAZORIA</v>
      </c>
      <c r="I546">
        <f>INDEX('TE_OA_20200805_INTRDY_2020-08-0'!$Q$2:$Q$870,MATCH(Filter!B546,'TE_OA_20200805_INTRDY_2020-08-0'!$G$2:$G$870))</f>
        <v>4594</v>
      </c>
      <c r="J546">
        <f>INDEX('TE_OA_20200805_INTRDY_2020-08-0'!$R$2:$R$870,MATCH(Filter!B546,'TE_OA_20200805_INTRDY_2020-08-0'!$G$2:$G$870))</f>
        <v>0</v>
      </c>
    </row>
    <row r="547" spans="1:10" x14ac:dyDescent="0.25">
      <c r="A547" t="str">
        <f>INDEX('Pipe Table'!$E$2:$E$10,MATCH(INDEX('TE_OA_20200805_INTRDY_2020-08-0'!$T$2:$T$870,MATCH(Filter!B547,'TE_OA_20200805_INTRDY_2020-08-0'!$G$2:$G$870,0)),'Pipe Table'!$D$2:$D$10,0))</f>
        <v>TETCO</v>
      </c>
      <c r="B547">
        <v>73539</v>
      </c>
      <c r="C547" t="str">
        <f>INDEX('TE_OA_20200805_INTRDY_2020-08-0'!$J$2:$J$870,MATCH(Filter!B547,'TE_OA_20200805_INTRDY_2020-08-0'!$G$2:$G$870))</f>
        <v>Delivery</v>
      </c>
      <c r="D547" t="str">
        <f>INDEX('Pipe Table'!$B$2:$B$14,MATCH(INDEX(TeAllPoints!$I$2:$I$957,MATCH(Filter!B547,TeAllPoints!$B$2:$B$957,0)),'Pipe Table'!$A$2:$A$14,0))</f>
        <v>Intrcnnct</v>
      </c>
      <c r="E547" t="str">
        <f>INDEX('TE_OA_20200805_INTRDY_2020-08-0'!$H$2:$H$870,MATCH(Filter!B547,'TE_OA_20200805_INTRDY_2020-08-0'!$G$2:$G$870))</f>
        <v>NET LP - Monument Pipeline - Harris County, TX</v>
      </c>
      <c r="F547" t="str">
        <f>INDEX('Pipe Table'!$H$2:$H$8,MATCH('TE_OA_20200805_INTRDY_2020-08-0'!I528,'Pipe Table'!$G$2:$G$8,0))</f>
        <v>TETCO-STX</v>
      </c>
      <c r="G547" t="str">
        <f>INDEX(TeAllPoints!$D$2:$D$957,MATCH(Filter!B547,TeAllPoints!$B$2:$B$957,0))</f>
        <v>TX</v>
      </c>
      <c r="H547" t="str">
        <f>INDEX(TeAllPoints!$E$2:$E$957,MATCH(Filter!B547,TeAllPoints!$B$2:$B$957,0))</f>
        <v>HARRIS</v>
      </c>
      <c r="I547">
        <f>INDEX('TE_OA_20200805_INTRDY_2020-08-0'!$Q$2:$Q$870,MATCH(Filter!B547,'TE_OA_20200805_INTRDY_2020-08-0'!$G$2:$G$870))</f>
        <v>95139</v>
      </c>
      <c r="J547">
        <f>INDEX('TE_OA_20200805_INTRDY_2020-08-0'!$R$2:$R$870,MATCH(Filter!B547,'TE_OA_20200805_INTRDY_2020-08-0'!$G$2:$G$870))</f>
        <v>0</v>
      </c>
    </row>
    <row r="548" spans="1:10" x14ac:dyDescent="0.25">
      <c r="A548" t="str">
        <f>INDEX('Pipe Table'!$E$2:$E$10,MATCH(INDEX('TE_OA_20200805_INTRDY_2020-08-0'!$T$2:$T$870,MATCH(Filter!B548,'TE_OA_20200805_INTRDY_2020-08-0'!$G$2:$G$870,0)),'Pipe Table'!$D$2:$D$10,0))</f>
        <v>TETCO</v>
      </c>
      <c r="B548">
        <v>73542</v>
      </c>
      <c r="C548" t="str">
        <f>INDEX('TE_OA_20200805_INTRDY_2020-08-0'!$J$2:$J$870,MATCH(Filter!B548,'TE_OA_20200805_INTRDY_2020-08-0'!$G$2:$G$870))</f>
        <v>Receipt</v>
      </c>
      <c r="D548" t="str">
        <f>INDEX('Pipe Table'!$B$2:$B$14,MATCH(INDEX(TeAllPoints!$I$2:$I$957,MATCH(Filter!B548,TeAllPoints!$B$2:$B$957,0)),'Pipe Table'!$A$2:$A$14,0))</f>
        <v>Wellhead</v>
      </c>
      <c r="E548" t="str">
        <f>INDEX('TE_OA_20200805_INTRDY_2020-08-0'!$H$2:$H$870,MATCH(Filter!B548,'TE_OA_20200805_INTRDY_2020-08-0'!$G$2:$G$870))</f>
        <v>Blackhawk Energy, LLC -  Entriken Interconnect, PA</v>
      </c>
      <c r="F548" t="str">
        <f>INDEX('Pipe Table'!$H$2:$H$8,MATCH('TE_OA_20200805_INTRDY_2020-08-0'!I529,'Pipe Table'!$G$2:$G$8,0))</f>
        <v>TETCO-M3</v>
      </c>
      <c r="G548" t="str">
        <f>INDEX(TeAllPoints!$D$2:$D$957,MATCH(Filter!B548,TeAllPoints!$B$2:$B$957,0))</f>
        <v>PA</v>
      </c>
      <c r="H548" t="str">
        <f>INDEX(TeAllPoints!$E$2:$E$957,MATCH(Filter!B548,TeAllPoints!$B$2:$B$957,0))</f>
        <v>HUNTINGDON</v>
      </c>
      <c r="I548">
        <f>INDEX('TE_OA_20200805_INTRDY_2020-08-0'!$Q$2:$Q$870,MATCH(Filter!B548,'TE_OA_20200805_INTRDY_2020-08-0'!$G$2:$G$870))</f>
        <v>8076</v>
      </c>
      <c r="J548">
        <f>INDEX('TE_OA_20200805_INTRDY_2020-08-0'!$R$2:$R$870,MATCH(Filter!B548,'TE_OA_20200805_INTRDY_2020-08-0'!$G$2:$G$870))</f>
        <v>330</v>
      </c>
    </row>
    <row r="549" spans="1:10" x14ac:dyDescent="0.25">
      <c r="A549" t="str">
        <f>INDEX('Pipe Table'!$E$2:$E$10,MATCH(INDEX('TE_OA_20200805_INTRDY_2020-08-0'!$T$2:$T$870,MATCH(Filter!B549,'TE_OA_20200805_INTRDY_2020-08-0'!$G$2:$G$870,0)),'Pipe Table'!$D$2:$D$10,0))</f>
        <v>TETCO</v>
      </c>
      <c r="B549">
        <v>73543</v>
      </c>
      <c r="C549" t="str">
        <f>INDEX('TE_OA_20200805_INTRDY_2020-08-0'!$J$2:$J$870,MATCH(Filter!B549,'TE_OA_20200805_INTRDY_2020-08-0'!$G$2:$G$870))</f>
        <v>Receipt</v>
      </c>
      <c r="D549" t="str">
        <f>INDEX('Pipe Table'!$B$2:$B$14,MATCH(INDEX(TeAllPoints!$I$2:$I$957,MATCH(Filter!B549,TeAllPoints!$B$2:$B$957,0)),'Pipe Table'!$A$2:$A$14,0))</f>
        <v>Wellhead</v>
      </c>
      <c r="E549" t="str">
        <f>INDEX('TE_OA_20200805_INTRDY_2020-08-0'!$H$2:$H$870,MATCH(Filter!B549,'TE_OA_20200805_INTRDY_2020-08-0'!$G$2:$G$870))</f>
        <v>Alliance Petroleum Corp - East Wheatfield Interconnect - Cambria C</v>
      </c>
      <c r="F549" t="str">
        <f>INDEX('Pipe Table'!$H$2:$H$8,MATCH('TE_OA_20200805_INTRDY_2020-08-0'!I530,'Pipe Table'!$G$2:$G$8,0))</f>
        <v>TETCO-M3</v>
      </c>
      <c r="G549" t="str">
        <f>INDEX(TeAllPoints!$D$2:$D$957,MATCH(Filter!B549,TeAllPoints!$B$2:$B$957,0))</f>
        <v>PA</v>
      </c>
      <c r="H549" t="str">
        <f>INDEX(TeAllPoints!$E$2:$E$957,MATCH(Filter!B549,TeAllPoints!$B$2:$B$957,0))</f>
        <v>CAMBRIA</v>
      </c>
      <c r="I549">
        <f>INDEX('TE_OA_20200805_INTRDY_2020-08-0'!$Q$2:$Q$870,MATCH(Filter!B549,'TE_OA_20200805_INTRDY_2020-08-0'!$G$2:$G$870))</f>
        <v>18526</v>
      </c>
      <c r="J549">
        <f>INDEX('TE_OA_20200805_INTRDY_2020-08-0'!$R$2:$R$870,MATCH(Filter!B549,'TE_OA_20200805_INTRDY_2020-08-0'!$G$2:$G$870))</f>
        <v>1050</v>
      </c>
    </row>
    <row r="550" spans="1:10" x14ac:dyDescent="0.25">
      <c r="A550" t="str">
        <f>INDEX('Pipe Table'!$E$2:$E$10,MATCH(INDEX('TE_OA_20200805_INTRDY_2020-08-0'!$T$2:$T$870,MATCH(Filter!B550,'TE_OA_20200805_INTRDY_2020-08-0'!$G$2:$G$870,0)),'Pipe Table'!$D$2:$D$10,0))</f>
        <v>TETCO</v>
      </c>
      <c r="B550">
        <v>73546</v>
      </c>
      <c r="C550" t="str">
        <f>INDEX('TE_OA_20200805_INTRDY_2020-08-0'!$J$2:$J$870,MATCH(Filter!B550,'TE_OA_20200805_INTRDY_2020-08-0'!$G$2:$G$870))</f>
        <v>Receipt</v>
      </c>
      <c r="D550" t="str">
        <f>INDEX('Pipe Table'!$B$2:$B$14,MATCH(INDEX(TeAllPoints!$I$2:$I$957,MATCH(Filter!B550,TeAllPoints!$B$2:$B$957,0)),'Pipe Table'!$A$2:$A$14,0))</f>
        <v>Wellhead</v>
      </c>
      <c r="E550" t="str">
        <f>INDEX('TE_OA_20200805_INTRDY_2020-08-0'!$H$2:$H$870,MATCH(Filter!B550,'TE_OA_20200805_INTRDY_2020-08-0'!$G$2:$G$870))</f>
        <v>Sheridan Holding Company III,LLC-Shelby Gathering-Shelby Co., TX</v>
      </c>
      <c r="F550" t="str">
        <f>INDEX('Pipe Table'!$H$2:$H$8,MATCH('TE_OA_20200805_INTRDY_2020-08-0'!I531,'Pipe Table'!$G$2:$G$8,0))</f>
        <v>TETCO-ETX</v>
      </c>
      <c r="G550" t="str">
        <f>INDEX(TeAllPoints!$D$2:$D$957,MATCH(Filter!B550,TeAllPoints!$B$2:$B$957,0))</f>
        <v>TX</v>
      </c>
      <c r="H550" t="str">
        <f>INDEX(TeAllPoints!$E$2:$E$957,MATCH(Filter!B550,TeAllPoints!$B$2:$B$957,0))</f>
        <v>SHELBY</v>
      </c>
      <c r="I550">
        <f>INDEX('TE_OA_20200805_INTRDY_2020-08-0'!$Q$2:$Q$870,MATCH(Filter!B550,'TE_OA_20200805_INTRDY_2020-08-0'!$G$2:$G$870))</f>
        <v>39306</v>
      </c>
      <c r="J550">
        <f>INDEX('TE_OA_20200805_INTRDY_2020-08-0'!$R$2:$R$870,MATCH(Filter!B550,'TE_OA_20200805_INTRDY_2020-08-0'!$G$2:$G$870))</f>
        <v>3495</v>
      </c>
    </row>
    <row r="551" spans="1:10" x14ac:dyDescent="0.25">
      <c r="A551" t="str">
        <f>INDEX('Pipe Table'!$E$2:$E$10,MATCH(INDEX('TE_OA_20200805_INTRDY_2020-08-0'!$T$2:$T$870,MATCH(Filter!B551,'TE_OA_20200805_INTRDY_2020-08-0'!$G$2:$G$870,0)),'Pipe Table'!$D$2:$D$10,0))</f>
        <v>TETCO</v>
      </c>
      <c r="B551">
        <v>73549</v>
      </c>
      <c r="C551" t="str">
        <f>INDEX('TE_OA_20200805_INTRDY_2020-08-0'!$J$2:$J$870,MATCH(Filter!B551,'TE_OA_20200805_INTRDY_2020-08-0'!$G$2:$G$870))</f>
        <v>Receipt</v>
      </c>
      <c r="D551" t="str">
        <f>INDEX('Pipe Table'!$B$2:$B$14,MATCH(INDEX(TeAllPoints!$I$2:$I$957,MATCH(Filter!B551,TeAllPoints!$B$2:$B$957,0)),'Pipe Table'!$A$2:$A$14,0))</f>
        <v>Wellhead</v>
      </c>
      <c r="E551" t="str">
        <f>INDEX('TE_OA_20200805_INTRDY_2020-08-0'!$H$2:$H$870,MATCH(Filter!B551,'TE_OA_20200805_INTRDY_2020-08-0'!$G$2:$G$870))</f>
        <v>Noble Energy-Oliver Creek-Shelby Co., TX</v>
      </c>
      <c r="F551" t="str">
        <f>INDEX('Pipe Table'!$H$2:$H$8,MATCH('TE_OA_20200805_INTRDY_2020-08-0'!I532,'Pipe Table'!$G$2:$G$8,0))</f>
        <v>TETCO-ETX</v>
      </c>
      <c r="G551" t="str">
        <f>INDEX(TeAllPoints!$D$2:$D$957,MATCH(Filter!B551,TeAllPoints!$B$2:$B$957,0))</f>
        <v>TX</v>
      </c>
      <c r="H551" t="str">
        <f>INDEX(TeAllPoints!$E$2:$E$957,MATCH(Filter!B551,TeAllPoints!$B$2:$B$957,0))</f>
        <v>SHELBY</v>
      </c>
      <c r="I551">
        <f>INDEX('TE_OA_20200805_INTRDY_2020-08-0'!$Q$2:$Q$870,MATCH(Filter!B551,'TE_OA_20200805_INTRDY_2020-08-0'!$G$2:$G$870))</f>
        <v>17354</v>
      </c>
      <c r="J551">
        <f>INDEX('TE_OA_20200805_INTRDY_2020-08-0'!$R$2:$R$870,MATCH(Filter!B551,'TE_OA_20200805_INTRDY_2020-08-0'!$G$2:$G$870))</f>
        <v>100</v>
      </c>
    </row>
    <row r="552" spans="1:10" x14ac:dyDescent="0.25">
      <c r="A552" t="str">
        <f>INDEX('Pipe Table'!$E$2:$E$10,MATCH(INDEX('TE_OA_20200805_INTRDY_2020-08-0'!$T$2:$T$870,MATCH(Filter!B552,'TE_OA_20200805_INTRDY_2020-08-0'!$G$2:$G$870,0)),'Pipe Table'!$D$2:$D$10,0))</f>
        <v>TETCO</v>
      </c>
      <c r="B552">
        <v>73556</v>
      </c>
      <c r="C552" t="str">
        <f>INDEX('TE_OA_20200805_INTRDY_2020-08-0'!$J$2:$J$870,MATCH(Filter!B552,'TE_OA_20200805_INTRDY_2020-08-0'!$G$2:$G$870))</f>
        <v>Receipt</v>
      </c>
      <c r="D552" t="str">
        <f>INDEX('Pipe Table'!$B$2:$B$14,MATCH(INDEX(TeAllPoints!$I$2:$I$957,MATCH(Filter!B552,TeAllPoints!$B$2:$B$957,0)),'Pipe Table'!$A$2:$A$14,0))</f>
        <v>Intrcnnct</v>
      </c>
      <c r="E552" t="str">
        <f>INDEX('TE_OA_20200805_INTRDY_2020-08-0'!$H$2:$H$870,MATCH(Filter!B552,'TE_OA_20200805_INTRDY_2020-08-0'!$G$2:$G$870))</f>
        <v>Golden Pass Pipeline - Calcasieu Parish,  LA</v>
      </c>
      <c r="F552" t="str">
        <f>INDEX('Pipe Table'!$H$2:$H$8,MATCH('TE_OA_20200805_INTRDY_2020-08-0'!I533,'Pipe Table'!$G$2:$G$8,0))</f>
        <v>TETCO-WLA</v>
      </c>
      <c r="G552" t="str">
        <f>INDEX(TeAllPoints!$D$2:$D$957,MATCH(Filter!B552,TeAllPoints!$B$2:$B$957,0))</f>
        <v>LA</v>
      </c>
      <c r="H552" t="str">
        <f>INDEX(TeAllPoints!$E$2:$E$957,MATCH(Filter!B552,TeAllPoints!$B$2:$B$957,0))</f>
        <v>CALCASIEU</v>
      </c>
      <c r="I552">
        <f>INDEX('TE_OA_20200805_INTRDY_2020-08-0'!$Q$2:$Q$870,MATCH(Filter!B552,'TE_OA_20200805_INTRDY_2020-08-0'!$G$2:$G$870))</f>
        <v>600000</v>
      </c>
      <c r="J552">
        <f>INDEX('TE_OA_20200805_INTRDY_2020-08-0'!$R$2:$R$870,MATCH(Filter!B552,'TE_OA_20200805_INTRDY_2020-08-0'!$G$2:$G$870))</f>
        <v>0</v>
      </c>
    </row>
    <row r="553" spans="1:10" x14ac:dyDescent="0.25">
      <c r="A553" t="str">
        <f>INDEX('Pipe Table'!$E$2:$E$10,MATCH(INDEX('TE_OA_20200805_INTRDY_2020-08-0'!$T$2:$T$870,MATCH(Filter!B553,'TE_OA_20200805_INTRDY_2020-08-0'!$G$2:$G$870,0)),'Pipe Table'!$D$2:$D$10,0))</f>
        <v>TETCO</v>
      </c>
      <c r="B553">
        <v>73560</v>
      </c>
      <c r="C553" t="str">
        <f>INDEX('TE_OA_20200805_INTRDY_2020-08-0'!$J$2:$J$870,MATCH(Filter!B553,'TE_OA_20200805_INTRDY_2020-08-0'!$G$2:$G$870))</f>
        <v>Receipt</v>
      </c>
      <c r="D553" t="str">
        <f>INDEX('Pipe Table'!$B$2:$B$14,MATCH(INDEX(TeAllPoints!$I$2:$I$957,MATCH(Filter!B553,TeAllPoints!$B$2:$B$957,0)),'Pipe Table'!$A$2:$A$14,0))</f>
        <v>Intrcnnct</v>
      </c>
      <c r="E553" t="str">
        <f>INDEX('TE_OA_20200805_INTRDY_2020-08-0'!$H$2:$H$870,MATCH(Filter!B553,'TE_OA_20200805_INTRDY_2020-08-0'!$G$2:$G$870))</f>
        <v>Gulf South Hinds/Raymond</v>
      </c>
      <c r="F553" t="str">
        <f>INDEX('Pipe Table'!$H$2:$H$8,MATCH('TE_OA_20200805_INTRDY_2020-08-0'!I534,'Pipe Table'!$G$2:$G$8,0))</f>
        <v>TETCO-ELA</v>
      </c>
      <c r="G553" t="str">
        <f>INDEX(TeAllPoints!$D$2:$D$957,MATCH(Filter!B553,TeAllPoints!$B$2:$B$957,0))</f>
        <v>MS</v>
      </c>
      <c r="H553" t="str">
        <f>INDEX(TeAllPoints!$E$2:$E$957,MATCH(Filter!B553,TeAllPoints!$B$2:$B$957,0))</f>
        <v>HINDS</v>
      </c>
      <c r="I553">
        <f>INDEX('TE_OA_20200805_INTRDY_2020-08-0'!$Q$2:$Q$870,MATCH(Filter!B553,'TE_OA_20200805_INTRDY_2020-08-0'!$G$2:$G$870))</f>
        <v>665581</v>
      </c>
      <c r="J553">
        <f>INDEX('TE_OA_20200805_INTRDY_2020-08-0'!$R$2:$R$870,MATCH(Filter!B553,'TE_OA_20200805_INTRDY_2020-08-0'!$G$2:$G$870))</f>
        <v>28800</v>
      </c>
    </row>
    <row r="554" spans="1:10" x14ac:dyDescent="0.25">
      <c r="A554" t="str">
        <f>INDEX('Pipe Table'!$E$2:$E$10,MATCH(INDEX('TE_OA_20200805_INTRDY_2020-08-0'!$T$2:$T$870,MATCH(Filter!B554,'TE_OA_20200805_INTRDY_2020-08-0'!$G$2:$G$870,0)),'Pipe Table'!$D$2:$D$10,0))</f>
        <v>TETCO</v>
      </c>
      <c r="B554">
        <v>73561</v>
      </c>
      <c r="C554" t="str">
        <f>INDEX('TE_OA_20200805_INTRDY_2020-08-0'!$J$2:$J$870,MATCH(Filter!B554,'TE_OA_20200805_INTRDY_2020-08-0'!$G$2:$G$870))</f>
        <v>Receipt</v>
      </c>
      <c r="D554" t="str">
        <f>INDEX('Pipe Table'!$B$2:$B$14,MATCH(INDEX(TeAllPoints!$I$2:$I$957,MATCH(Filter!B554,TeAllPoints!$B$2:$B$957,0)),'Pipe Table'!$A$2:$A$14,0))</f>
        <v>Wellhead</v>
      </c>
      <c r="E554" t="str">
        <f>INDEX('TE_OA_20200805_INTRDY_2020-08-0'!$H$2:$H$870,MATCH(Filter!B554,'TE_OA_20200805_INTRDY_2020-08-0'!$G$2:$G$870))</f>
        <v>Compressed Energy Systems LLC  - Saline Co., IL</v>
      </c>
      <c r="F554" t="str">
        <f>INDEX('Pipe Table'!$H$2:$H$8,MATCH('TE_OA_20200805_INTRDY_2020-08-0'!I535,'Pipe Table'!$G$2:$G$8,0))</f>
        <v>TETCO-M1</v>
      </c>
      <c r="G554" t="str">
        <f>INDEX(TeAllPoints!$D$2:$D$957,MATCH(Filter!B554,TeAllPoints!$B$2:$B$957,0))</f>
        <v>IL</v>
      </c>
      <c r="H554" t="str">
        <f>INDEX(TeAllPoints!$E$2:$E$957,MATCH(Filter!B554,TeAllPoints!$B$2:$B$957,0))</f>
        <v>SALINE</v>
      </c>
      <c r="I554">
        <f>INDEX('TE_OA_20200805_INTRDY_2020-08-0'!$Q$2:$Q$870,MATCH(Filter!B554,'TE_OA_20200805_INTRDY_2020-08-0'!$G$2:$G$870))</f>
        <v>3328</v>
      </c>
      <c r="J554">
        <f>INDEX('TE_OA_20200805_INTRDY_2020-08-0'!$R$2:$R$870,MATCH(Filter!B554,'TE_OA_20200805_INTRDY_2020-08-0'!$G$2:$G$870))</f>
        <v>0</v>
      </c>
    </row>
    <row r="555" spans="1:10" x14ac:dyDescent="0.25">
      <c r="A555" t="str">
        <f>INDEX('Pipe Table'!$E$2:$E$10,MATCH(INDEX('TE_OA_20200805_INTRDY_2020-08-0'!$T$2:$T$870,MATCH(Filter!B555,'TE_OA_20200805_INTRDY_2020-08-0'!$G$2:$G$870,0)),'Pipe Table'!$D$2:$D$10,0))</f>
        <v>TETCO</v>
      </c>
      <c r="B555">
        <v>73562</v>
      </c>
      <c r="C555" t="str">
        <f>INDEX('TE_OA_20200805_INTRDY_2020-08-0'!$J$2:$J$870,MATCH(Filter!B555,'TE_OA_20200805_INTRDY_2020-08-0'!$G$2:$G$870))</f>
        <v>Receipt</v>
      </c>
      <c r="D555" t="e">
        <f>INDEX('Pipe Table'!$B$2:$B$14,MATCH(INDEX(TeAllPoints!$I$2:$I$957,MATCH(Filter!B555,TeAllPoints!$B$2:$B$957,0)),'Pipe Table'!$A$2:$A$14,0))</f>
        <v>#N/A</v>
      </c>
      <c r="E555" t="str">
        <f>INDEX('TE_OA_20200805_INTRDY_2020-08-0'!$H$2:$H$870,MATCH(Filter!B555,'TE_OA_20200805_INTRDY_2020-08-0'!$G$2:$G$870))</f>
        <v>Samson Resources - Cherokee Oak Hill -Low Flow</v>
      </c>
      <c r="F555" t="str">
        <f>INDEX('Pipe Table'!$H$2:$H$8,MATCH('TE_OA_20200805_INTRDY_2020-08-0'!I536,'Pipe Table'!$G$2:$G$8,0))</f>
        <v>TETCO-ETX</v>
      </c>
      <c r="G555" t="e">
        <f>INDEX(TeAllPoints!$D$2:$D$957,MATCH(Filter!B555,TeAllPoints!$B$2:$B$957,0))</f>
        <v>#N/A</v>
      </c>
      <c r="H555" t="e">
        <f>INDEX(TeAllPoints!$E$2:$E$957,MATCH(Filter!B555,TeAllPoints!$B$2:$B$957,0))</f>
        <v>#N/A</v>
      </c>
      <c r="I555">
        <f>INDEX('TE_OA_20200805_INTRDY_2020-08-0'!$Q$2:$Q$870,MATCH(Filter!B555,'TE_OA_20200805_INTRDY_2020-08-0'!$G$2:$G$870))</f>
        <v>10111</v>
      </c>
      <c r="J555">
        <f>INDEX('TE_OA_20200805_INTRDY_2020-08-0'!$R$2:$R$870,MATCH(Filter!B555,'TE_OA_20200805_INTRDY_2020-08-0'!$G$2:$G$870))</f>
        <v>0</v>
      </c>
    </row>
    <row r="556" spans="1:10" x14ac:dyDescent="0.25">
      <c r="A556" t="str">
        <f>INDEX('Pipe Table'!$E$2:$E$10,MATCH(INDEX('TE_OA_20200805_INTRDY_2020-08-0'!$T$2:$T$870,MATCH(Filter!B556,'TE_OA_20200805_INTRDY_2020-08-0'!$G$2:$G$870,0)),'Pipe Table'!$D$2:$D$10,0))</f>
        <v>TETCO</v>
      </c>
      <c r="B556">
        <v>73564</v>
      </c>
      <c r="C556" t="str">
        <f>INDEX('TE_OA_20200805_INTRDY_2020-08-0'!$J$2:$J$870,MATCH(Filter!B556,'TE_OA_20200805_INTRDY_2020-08-0'!$G$2:$G$870))</f>
        <v>Receipt</v>
      </c>
      <c r="D556" t="str">
        <f>INDEX('Pipe Table'!$B$2:$B$14,MATCH(INDEX(TeAllPoints!$I$2:$I$957,MATCH(Filter!B556,TeAllPoints!$B$2:$B$957,0)),'Pipe Table'!$A$2:$A$14,0))</f>
        <v>Wellhead</v>
      </c>
      <c r="E556" t="str">
        <f>INDEX('TE_OA_20200805_INTRDY_2020-08-0'!$H$2:$H$870,MATCH(Filter!B556,'TE_OA_20200805_INTRDY_2020-08-0'!$G$2:$G$870))</f>
        <v>Tanos Exploration II,LLC/Parmer Gathering</v>
      </c>
      <c r="F556" t="str">
        <f>INDEX('Pipe Table'!$H$2:$H$8,MATCH('TE_OA_20200805_INTRDY_2020-08-0'!I537,'Pipe Table'!$G$2:$G$8,0))</f>
        <v>TETCO-ETX</v>
      </c>
      <c r="G556" t="str">
        <f>INDEX(TeAllPoints!$D$2:$D$957,MATCH(Filter!B556,TeAllPoints!$B$2:$B$957,0))</f>
        <v>TX</v>
      </c>
      <c r="H556" t="str">
        <f>INDEX(TeAllPoints!$E$2:$E$957,MATCH(Filter!B556,TeAllPoints!$B$2:$B$957,0))</f>
        <v>NACOGDOCHES</v>
      </c>
      <c r="I556">
        <f>INDEX('TE_OA_20200805_INTRDY_2020-08-0'!$Q$2:$Q$870,MATCH(Filter!B556,'TE_OA_20200805_INTRDY_2020-08-0'!$G$2:$G$870))</f>
        <v>4038</v>
      </c>
      <c r="J556">
        <f>INDEX('TE_OA_20200805_INTRDY_2020-08-0'!$R$2:$R$870,MATCH(Filter!B556,'TE_OA_20200805_INTRDY_2020-08-0'!$G$2:$G$870))</f>
        <v>106</v>
      </c>
    </row>
    <row r="557" spans="1:10" x14ac:dyDescent="0.25">
      <c r="A557" t="str">
        <f>INDEX('Pipe Table'!$E$2:$E$10,MATCH(INDEX('TE_OA_20200805_INTRDY_2020-08-0'!$T$2:$T$870,MATCH(Filter!B557,'TE_OA_20200805_INTRDY_2020-08-0'!$G$2:$G$870,0)),'Pipe Table'!$D$2:$D$10,0))</f>
        <v>TETCO</v>
      </c>
      <c r="B557">
        <v>73568</v>
      </c>
      <c r="C557" t="str">
        <f>INDEX('TE_OA_20200805_INTRDY_2020-08-0'!$J$2:$J$870,MATCH(Filter!B557,'TE_OA_20200805_INTRDY_2020-08-0'!$G$2:$G$870))</f>
        <v>Receipt</v>
      </c>
      <c r="D557" t="str">
        <f>INDEX('Pipe Table'!$B$2:$B$14,MATCH(INDEX(TeAllPoints!$I$2:$I$957,MATCH(Filter!B557,TeAllPoints!$B$2:$B$957,0)),'Pipe Table'!$A$2:$A$14,0))</f>
        <v>LNG</v>
      </c>
      <c r="E557" t="str">
        <f>INDEX('TE_OA_20200805_INTRDY_2020-08-0'!$H$2:$H$870,MATCH(Filter!B557,'TE_OA_20200805_INTRDY_2020-08-0'!$G$2:$G$870))</f>
        <v>Kinder Morgan LNG</v>
      </c>
      <c r="F557" t="str">
        <f>INDEX('Pipe Table'!$H$2:$H$8,MATCH('TE_OA_20200805_INTRDY_2020-08-0'!I538,'Pipe Table'!$G$2:$G$8,0))</f>
        <v>TETCO-WLA</v>
      </c>
      <c r="G557" t="str">
        <f>INDEX(TeAllPoints!$D$2:$D$957,MATCH(Filter!B557,TeAllPoints!$B$2:$B$957,0))</f>
        <v>LA</v>
      </c>
      <c r="H557" t="str">
        <f>INDEX(TeAllPoints!$E$2:$E$957,MATCH(Filter!B557,TeAllPoints!$B$2:$B$957,0))</f>
        <v>EVANGELINE</v>
      </c>
      <c r="I557">
        <f>INDEX('TE_OA_20200805_INTRDY_2020-08-0'!$Q$2:$Q$870,MATCH(Filter!B557,'TE_OA_20200805_INTRDY_2020-08-0'!$G$2:$G$870))</f>
        <v>574801</v>
      </c>
      <c r="J557">
        <f>INDEX('TE_OA_20200805_INTRDY_2020-08-0'!$R$2:$R$870,MATCH(Filter!B557,'TE_OA_20200805_INTRDY_2020-08-0'!$G$2:$G$870))</f>
        <v>0</v>
      </c>
    </row>
    <row r="558" spans="1:10" x14ac:dyDescent="0.25">
      <c r="A558" t="str">
        <f>INDEX('Pipe Table'!$E$2:$E$10,MATCH(INDEX('TE_OA_20200805_INTRDY_2020-08-0'!$T$2:$T$870,MATCH(Filter!B558,'TE_OA_20200805_INTRDY_2020-08-0'!$G$2:$G$870,0)),'Pipe Table'!$D$2:$D$10,0))</f>
        <v>TETCO</v>
      </c>
      <c r="B558">
        <v>73569</v>
      </c>
      <c r="C558" t="str">
        <f>INDEX('TE_OA_20200805_INTRDY_2020-08-0'!$J$2:$J$870,MATCH(Filter!B558,'TE_OA_20200805_INTRDY_2020-08-0'!$G$2:$G$870))</f>
        <v>Receipt</v>
      </c>
      <c r="D558" t="str">
        <f>INDEX('Pipe Table'!$B$2:$B$14,MATCH(INDEX(TeAllPoints!$I$2:$I$957,MATCH(Filter!B558,TeAllPoints!$B$2:$B$957,0)),'Pipe Table'!$A$2:$A$14,0))</f>
        <v>Intrcnnct</v>
      </c>
      <c r="E558" t="str">
        <f>INDEX('TE_OA_20200805_INTRDY_2020-08-0'!$H$2:$H$870,MATCH(Filter!B558,'TE_OA_20200805_INTRDY_2020-08-0'!$G$2:$G$870))</f>
        <v>Midcontinent Express</v>
      </c>
      <c r="F558" t="str">
        <f>INDEX('Pipe Table'!$H$2:$H$8,MATCH('TE_OA_20200805_INTRDY_2020-08-0'!I539,'Pipe Table'!$G$2:$G$8,0))</f>
        <v>TETCO-ELA</v>
      </c>
      <c r="G558" t="str">
        <f>INDEX(TeAllPoints!$D$2:$D$957,MATCH(Filter!B558,TeAllPoints!$B$2:$B$957,0))</f>
        <v>MS</v>
      </c>
      <c r="H558" t="str">
        <f>INDEX(TeAllPoints!$E$2:$E$957,MATCH(Filter!B558,TeAllPoints!$B$2:$B$957,0))</f>
        <v>HINDS</v>
      </c>
      <c r="I558">
        <f>INDEX('TE_OA_20200805_INTRDY_2020-08-0'!$Q$2:$Q$870,MATCH(Filter!B558,'TE_OA_20200805_INTRDY_2020-08-0'!$G$2:$G$870))</f>
        <v>665581</v>
      </c>
      <c r="J558">
        <f>INDEX('TE_OA_20200805_INTRDY_2020-08-0'!$R$2:$R$870,MATCH(Filter!B558,'TE_OA_20200805_INTRDY_2020-08-0'!$G$2:$G$870))</f>
        <v>0</v>
      </c>
    </row>
    <row r="559" spans="1:10" x14ac:dyDescent="0.25">
      <c r="A559" t="str">
        <f>INDEX('Pipe Table'!$E$2:$E$10,MATCH(INDEX('TE_OA_20200805_INTRDY_2020-08-0'!$T$2:$T$870,MATCH(Filter!B559,'TE_OA_20200805_INTRDY_2020-08-0'!$G$2:$G$870,0)),'Pipe Table'!$D$2:$D$10,0))</f>
        <v>TETCO</v>
      </c>
      <c r="B559">
        <v>73573</v>
      </c>
      <c r="C559" t="str">
        <f>INDEX('TE_OA_20200805_INTRDY_2020-08-0'!$J$2:$J$870,MATCH(Filter!B559,'TE_OA_20200805_INTRDY_2020-08-0'!$G$2:$G$870))</f>
        <v>Receipt</v>
      </c>
      <c r="D559" t="str">
        <f>INDEX('Pipe Table'!$B$2:$B$14,MATCH(INDEX(TeAllPoints!$I$2:$I$957,MATCH(Filter!B559,TeAllPoints!$B$2:$B$957,0)),'Pipe Table'!$A$2:$A$14,0))</f>
        <v>Wellhead</v>
      </c>
      <c r="E559" t="str">
        <f>INDEX('TE_OA_20200805_INTRDY_2020-08-0'!$H$2:$H$870,MATCH(Filter!B559,'TE_OA_20200805_INTRDY_2020-08-0'!$G$2:$G$870))</f>
        <v>GIBRALTER ENERGY COMPANY/BLACK WARRIOR</v>
      </c>
      <c r="F559" t="str">
        <f>INDEX('Pipe Table'!$H$2:$H$8,MATCH('TE_OA_20200805_INTRDY_2020-08-0'!I540,'Pipe Table'!$G$2:$G$8,0))</f>
        <v>TETCO-M1</v>
      </c>
      <c r="G559" t="str">
        <f>INDEX(TeAllPoints!$D$2:$D$957,MATCH(Filter!B559,TeAllPoints!$B$2:$B$957,0))</f>
        <v>MS</v>
      </c>
      <c r="H559" t="str">
        <f>INDEX(TeAllPoints!$E$2:$E$957,MATCH(Filter!B559,TeAllPoints!$B$2:$B$957,0))</f>
        <v>CLAY</v>
      </c>
      <c r="I559">
        <f>INDEX('TE_OA_20200805_INTRDY_2020-08-0'!$Q$2:$Q$870,MATCH(Filter!B559,'TE_OA_20200805_INTRDY_2020-08-0'!$G$2:$G$870))</f>
        <v>3991</v>
      </c>
      <c r="J559">
        <f>INDEX('TE_OA_20200805_INTRDY_2020-08-0'!$R$2:$R$870,MATCH(Filter!B559,'TE_OA_20200805_INTRDY_2020-08-0'!$G$2:$G$870))</f>
        <v>0</v>
      </c>
    </row>
    <row r="560" spans="1:10" x14ac:dyDescent="0.25">
      <c r="A560" t="str">
        <f>INDEX('Pipe Table'!$E$2:$E$10,MATCH(INDEX('TE_OA_20200805_INTRDY_2020-08-0'!$T$2:$T$870,MATCH(Filter!B560,'TE_OA_20200805_INTRDY_2020-08-0'!$G$2:$G$870,0)),'Pipe Table'!$D$2:$D$10,0))</f>
        <v>TETCO</v>
      </c>
      <c r="B560">
        <v>73575</v>
      </c>
      <c r="C560" t="str">
        <f>INDEX('TE_OA_20200805_INTRDY_2020-08-0'!$J$2:$J$870,MATCH(Filter!B560,'TE_OA_20200805_INTRDY_2020-08-0'!$G$2:$G$870))</f>
        <v>Receipt</v>
      </c>
      <c r="D560" t="str">
        <f>INDEX('Pipe Table'!$B$2:$B$14,MATCH(INDEX(TeAllPoints!$I$2:$I$957,MATCH(Filter!B560,TeAllPoints!$B$2:$B$957,0)),'Pipe Table'!$A$2:$A$14,0))</f>
        <v>Wellhead</v>
      </c>
      <c r="E560" t="str">
        <f>INDEX('TE_OA_20200805_INTRDY_2020-08-0'!$H$2:$H$870,MATCH(Filter!B560,'TE_OA_20200805_INTRDY_2020-08-0'!$G$2:$G$870))</f>
        <v>DCP/SARITA GATHERING-KENEDY CO., TX</v>
      </c>
      <c r="F560" t="str">
        <f>INDEX('Pipe Table'!$H$2:$H$8,MATCH('TE_OA_20200805_INTRDY_2020-08-0'!I541,'Pipe Table'!$G$2:$G$8,0))</f>
        <v>TETCO-STX</v>
      </c>
      <c r="G560" t="str">
        <f>INDEX(TeAllPoints!$D$2:$D$957,MATCH(Filter!B560,TeAllPoints!$B$2:$B$957,0))</f>
        <v>TX</v>
      </c>
      <c r="H560" t="str">
        <f>INDEX(TeAllPoints!$E$2:$E$957,MATCH(Filter!B560,TeAllPoints!$B$2:$B$957,0))</f>
        <v>KENEDY</v>
      </c>
      <c r="I560">
        <f>INDEX('TE_OA_20200805_INTRDY_2020-08-0'!$Q$2:$Q$870,MATCH(Filter!B560,'TE_OA_20200805_INTRDY_2020-08-0'!$G$2:$G$870))</f>
        <v>37304</v>
      </c>
      <c r="J560">
        <f>INDEX('TE_OA_20200805_INTRDY_2020-08-0'!$R$2:$R$870,MATCH(Filter!B560,'TE_OA_20200805_INTRDY_2020-08-0'!$G$2:$G$870))</f>
        <v>0</v>
      </c>
    </row>
    <row r="561" spans="1:10" x14ac:dyDescent="0.25">
      <c r="A561" t="str">
        <f>INDEX('Pipe Table'!$E$2:$E$10,MATCH(INDEX('TE_OA_20200805_INTRDY_2020-08-0'!$T$2:$T$870,MATCH(Filter!B561,'TE_OA_20200805_INTRDY_2020-08-0'!$G$2:$G$870,0)),'Pipe Table'!$D$2:$D$10,0))</f>
        <v>TETCO</v>
      </c>
      <c r="B561">
        <v>73576</v>
      </c>
      <c r="C561" t="str">
        <f>INDEX('TE_OA_20200805_INTRDY_2020-08-0'!$J$2:$J$870,MATCH(Filter!B561,'TE_OA_20200805_INTRDY_2020-08-0'!$G$2:$G$870))</f>
        <v>Receipt</v>
      </c>
      <c r="D561" t="str">
        <f>INDEX('Pipe Table'!$B$2:$B$14,MATCH(INDEX(TeAllPoints!$I$2:$I$957,MATCH(Filter!B561,TeAllPoints!$B$2:$B$957,0)),'Pipe Table'!$A$2:$A$14,0))</f>
        <v>Intrcnnct</v>
      </c>
      <c r="E561" t="str">
        <f>INDEX('TE_OA_20200805_INTRDY_2020-08-0'!$H$2:$H$870,MATCH(Filter!B561,'TE_OA_20200805_INTRDY_2020-08-0'!$G$2:$G$870))</f>
        <v>Texas Gas- Kosciusko, MS</v>
      </c>
      <c r="F561" t="str">
        <f>INDEX('Pipe Table'!$H$2:$H$8,MATCH('TE_OA_20200805_INTRDY_2020-08-0'!I542,'Pipe Table'!$G$2:$G$8,0))</f>
        <v>TETCO-M1</v>
      </c>
      <c r="G561" t="str">
        <f>INDEX(TeAllPoints!$D$2:$D$957,MATCH(Filter!B561,TeAllPoints!$B$2:$B$957,0))</f>
        <v>MS</v>
      </c>
      <c r="H561" t="str">
        <f>INDEX(TeAllPoints!$E$2:$E$957,MATCH(Filter!B561,TeAllPoints!$B$2:$B$957,0))</f>
        <v>ATTALA</v>
      </c>
      <c r="I561">
        <f>INDEX('TE_OA_20200805_INTRDY_2020-08-0'!$Q$2:$Q$870,MATCH(Filter!B561,'TE_OA_20200805_INTRDY_2020-08-0'!$G$2:$G$870))</f>
        <v>1400000</v>
      </c>
      <c r="J561">
        <f>INDEX('TE_OA_20200805_INTRDY_2020-08-0'!$R$2:$R$870,MATCH(Filter!B561,'TE_OA_20200805_INTRDY_2020-08-0'!$G$2:$G$870))</f>
        <v>69579</v>
      </c>
    </row>
    <row r="562" spans="1:10" x14ac:dyDescent="0.25">
      <c r="A562" t="str">
        <f>INDEX('Pipe Table'!$E$2:$E$10,MATCH(INDEX('TE_OA_20200805_INTRDY_2020-08-0'!$T$2:$T$870,MATCH(Filter!B562,'TE_OA_20200805_INTRDY_2020-08-0'!$G$2:$G$870,0)),'Pipe Table'!$D$2:$D$10,0))</f>
        <v>TETCO</v>
      </c>
      <c r="B562">
        <v>73577</v>
      </c>
      <c r="C562" t="str">
        <f>INDEX('TE_OA_20200805_INTRDY_2020-08-0'!$J$2:$J$870,MATCH(Filter!B562,'TE_OA_20200805_INTRDY_2020-08-0'!$G$2:$G$870))</f>
        <v>Receipt</v>
      </c>
      <c r="D562" t="str">
        <f>INDEX('Pipe Table'!$B$2:$B$14,MATCH(INDEX(TeAllPoints!$I$2:$I$957,MATCH(Filter!B562,TeAllPoints!$B$2:$B$957,0)),'Pipe Table'!$A$2:$A$14,0))</f>
        <v>Intrcnnct</v>
      </c>
      <c r="E562" t="str">
        <f>INDEX('TE_OA_20200805_INTRDY_2020-08-0'!$H$2:$H$870,MATCH(Filter!B562,'TE_OA_20200805_INTRDY_2020-08-0'!$G$2:$G$870))</f>
        <v>Texas Gas/Fayetville, AR.</v>
      </c>
      <c r="F562" t="str">
        <f>INDEX('Pipe Table'!$H$2:$H$8,MATCH('TE_OA_20200805_INTRDY_2020-08-0'!I543,'Pipe Table'!$G$2:$G$8,0))</f>
        <v>TETCO-M1</v>
      </c>
      <c r="G562" t="str">
        <f>INDEX(TeAllPoints!$D$2:$D$957,MATCH(Filter!B562,TeAllPoints!$B$2:$B$957,0))</f>
        <v>AR</v>
      </c>
      <c r="H562" t="str">
        <f>INDEX(TeAllPoints!$E$2:$E$957,MATCH(Filter!B562,TeAllPoints!$B$2:$B$957,0))</f>
        <v>WHITE</v>
      </c>
      <c r="I562">
        <f>INDEX('TE_OA_20200805_INTRDY_2020-08-0'!$Q$2:$Q$870,MATCH(Filter!B562,'TE_OA_20200805_INTRDY_2020-08-0'!$G$2:$G$870))</f>
        <v>332791</v>
      </c>
      <c r="J562">
        <f>INDEX('TE_OA_20200805_INTRDY_2020-08-0'!$R$2:$R$870,MATCH(Filter!B562,'TE_OA_20200805_INTRDY_2020-08-0'!$G$2:$G$870))</f>
        <v>21321</v>
      </c>
    </row>
    <row r="563" spans="1:10" x14ac:dyDescent="0.25">
      <c r="A563" t="str">
        <f>INDEX('Pipe Table'!$E$2:$E$10,MATCH(INDEX('TE_OA_20200805_INTRDY_2020-08-0'!$T$2:$T$870,MATCH(Filter!B563,'TE_OA_20200805_INTRDY_2020-08-0'!$G$2:$G$870,0)),'Pipe Table'!$D$2:$D$10,0))</f>
        <v>TETCO</v>
      </c>
      <c r="B563">
        <v>73580</v>
      </c>
      <c r="C563" t="str">
        <f>INDEX('TE_OA_20200805_INTRDY_2020-08-0'!$J$2:$J$870,MATCH(Filter!B563,'TE_OA_20200805_INTRDY_2020-08-0'!$G$2:$G$870))</f>
        <v>Receipt</v>
      </c>
      <c r="D563" t="str">
        <f>INDEX('Pipe Table'!$B$2:$B$14,MATCH(INDEX(TeAllPoints!$I$2:$I$957,MATCH(Filter!B563,TeAllPoints!$B$2:$B$957,0)),'Pipe Table'!$A$2:$A$14,0))</f>
        <v>Intrcnnct</v>
      </c>
      <c r="E563" t="str">
        <f>INDEX('TE_OA_20200805_INTRDY_2020-08-0'!$H$2:$H$870,MATCH(Filter!B563,'TE_OA_20200805_INTRDY_2020-08-0'!$G$2:$G$870))</f>
        <v>REX Clarington, Monroe Co., OH</v>
      </c>
      <c r="F563" t="str">
        <f>INDEX('Pipe Table'!$H$2:$H$8,MATCH('TE_OA_20200805_INTRDY_2020-08-0'!I544,'Pipe Table'!$G$2:$G$8,0))</f>
        <v>TETCO-M2</v>
      </c>
      <c r="G563" t="str">
        <f>INDEX(TeAllPoints!$D$2:$D$957,MATCH(Filter!B563,TeAllPoints!$B$2:$B$957,0))</f>
        <v>OH</v>
      </c>
      <c r="H563" t="str">
        <f>INDEX(TeAllPoints!$E$2:$E$957,MATCH(Filter!B563,TeAllPoints!$B$2:$B$957,0))</f>
        <v>MONROE</v>
      </c>
      <c r="I563">
        <f>INDEX('TE_OA_20200805_INTRDY_2020-08-0'!$Q$2:$Q$870,MATCH(Filter!B563,'TE_OA_20200805_INTRDY_2020-08-0'!$G$2:$G$870))</f>
        <v>1331162</v>
      </c>
      <c r="J563">
        <f>INDEX('TE_OA_20200805_INTRDY_2020-08-0'!$R$2:$R$870,MATCH(Filter!B563,'TE_OA_20200805_INTRDY_2020-08-0'!$G$2:$G$870))</f>
        <v>0</v>
      </c>
    </row>
    <row r="564" spans="1:10" x14ac:dyDescent="0.25">
      <c r="A564" t="str">
        <f>INDEX('Pipe Table'!$E$2:$E$10,MATCH(INDEX('TE_OA_20200805_INTRDY_2020-08-0'!$T$2:$T$870,MATCH(Filter!B564,'TE_OA_20200805_INTRDY_2020-08-0'!$G$2:$G$870,0)),'Pipe Table'!$D$2:$D$10,0))</f>
        <v>TETCO</v>
      </c>
      <c r="B564">
        <v>73581</v>
      </c>
      <c r="C564" t="str">
        <f>INDEX('TE_OA_20200805_INTRDY_2020-08-0'!$J$2:$J$870,MATCH(Filter!B564,'TE_OA_20200805_INTRDY_2020-08-0'!$G$2:$G$870))</f>
        <v>Receipt</v>
      </c>
      <c r="D564" t="str">
        <f>INDEX('Pipe Table'!$B$2:$B$14,MATCH(INDEX(TeAllPoints!$I$2:$I$957,MATCH(Filter!B564,TeAllPoints!$B$2:$B$957,0)),'Pipe Table'!$A$2:$A$14,0))</f>
        <v>Intrcnnct</v>
      </c>
      <c r="E564" t="str">
        <f>INDEX('TE_OA_20200805_INTRDY_2020-08-0'!$H$2:$H$870,MATCH(Filter!B564,'TE_OA_20200805_INTRDY_2020-08-0'!$G$2:$G$870))</f>
        <v>REX Lebanon (REC), Warren Co., OH</v>
      </c>
      <c r="F564" t="str">
        <f>INDEX('Pipe Table'!$H$2:$H$8,MATCH('TE_OA_20200805_INTRDY_2020-08-0'!I545,'Pipe Table'!$G$2:$G$8,0))</f>
        <v>TETCO-M2</v>
      </c>
      <c r="G564" t="str">
        <f>INDEX(TeAllPoints!$D$2:$D$957,MATCH(Filter!B564,TeAllPoints!$B$2:$B$957,0))</f>
        <v>OH</v>
      </c>
      <c r="H564" t="str">
        <f>INDEX(TeAllPoints!$E$2:$E$957,MATCH(Filter!B564,TeAllPoints!$B$2:$B$957,0))</f>
        <v>WARREN</v>
      </c>
      <c r="I564">
        <f>INDEX('TE_OA_20200805_INTRDY_2020-08-0'!$Q$2:$Q$870,MATCH(Filter!B564,'TE_OA_20200805_INTRDY_2020-08-0'!$G$2:$G$870))</f>
        <v>916711</v>
      </c>
      <c r="J564">
        <f>INDEX('TE_OA_20200805_INTRDY_2020-08-0'!$R$2:$R$870,MATCH(Filter!B564,'TE_OA_20200805_INTRDY_2020-08-0'!$G$2:$G$870))</f>
        <v>270</v>
      </c>
    </row>
    <row r="565" spans="1:10" x14ac:dyDescent="0.25">
      <c r="A565" t="str">
        <f>INDEX('Pipe Table'!$E$2:$E$10,MATCH(INDEX('TE_OA_20200805_INTRDY_2020-08-0'!$T$2:$T$870,MATCH(Filter!B565,'TE_OA_20200805_INTRDY_2020-08-0'!$G$2:$G$870,0)),'Pipe Table'!$D$2:$D$10,0))</f>
        <v>TETCO</v>
      </c>
      <c r="B565">
        <v>73582</v>
      </c>
      <c r="C565" t="str">
        <f>INDEX('TE_OA_20200805_INTRDY_2020-08-0'!$J$2:$J$870,MATCH(Filter!B565,'TE_OA_20200805_INTRDY_2020-08-0'!$G$2:$G$870))</f>
        <v>Receipt</v>
      </c>
      <c r="D565" t="str">
        <f>INDEX('Pipe Table'!$B$2:$B$14,MATCH(INDEX(TeAllPoints!$I$2:$I$957,MATCH(Filter!B565,TeAllPoints!$B$2:$B$957,0)),'Pipe Table'!$A$2:$A$14,0))</f>
        <v>Wellhead</v>
      </c>
      <c r="E565" t="str">
        <f>INDEX('TE_OA_20200805_INTRDY_2020-08-0'!$H$2:$H$870,MATCH(Filter!B565,'TE_OA_20200805_INTRDY_2020-08-0'!$G$2:$G$870))</f>
        <v>Samson Lonestar - Herrera #3, Nacogdoches Co., TX</v>
      </c>
      <c r="F565" t="str">
        <f>INDEX('Pipe Table'!$H$2:$H$8,MATCH('TE_OA_20200805_INTRDY_2020-08-0'!I546,'Pipe Table'!$G$2:$G$8,0))</f>
        <v>TETCO-ETX</v>
      </c>
      <c r="G565" t="str">
        <f>INDEX(TeAllPoints!$D$2:$D$957,MATCH(Filter!B565,TeAllPoints!$B$2:$B$957,0))</f>
        <v>TX</v>
      </c>
      <c r="H565" t="str">
        <f>INDEX(TeAllPoints!$E$2:$E$957,MATCH(Filter!B565,TeAllPoints!$B$2:$B$957,0))</f>
        <v>NACOGDOCHES</v>
      </c>
      <c r="I565">
        <f>INDEX('TE_OA_20200805_INTRDY_2020-08-0'!$Q$2:$Q$870,MATCH(Filter!B565,'TE_OA_20200805_INTRDY_2020-08-0'!$G$2:$G$870))</f>
        <v>17354</v>
      </c>
      <c r="J565">
        <f>INDEX('TE_OA_20200805_INTRDY_2020-08-0'!$R$2:$R$870,MATCH(Filter!B565,'TE_OA_20200805_INTRDY_2020-08-0'!$G$2:$G$870))</f>
        <v>0</v>
      </c>
    </row>
    <row r="566" spans="1:10" x14ac:dyDescent="0.25">
      <c r="A566" t="str">
        <f>INDEX('Pipe Table'!$E$2:$E$10,MATCH(INDEX('TE_OA_20200805_INTRDY_2020-08-0'!$T$2:$T$870,MATCH(Filter!B566,'TE_OA_20200805_INTRDY_2020-08-0'!$G$2:$G$870,0)),'Pipe Table'!$D$2:$D$10,0))</f>
        <v>TETCO</v>
      </c>
      <c r="B566">
        <v>73590</v>
      </c>
      <c r="C566" t="str">
        <f>INDEX('TE_OA_20200805_INTRDY_2020-08-0'!$J$2:$J$870,MATCH(Filter!B566,'TE_OA_20200805_INTRDY_2020-08-0'!$G$2:$G$870))</f>
        <v>Delivery</v>
      </c>
      <c r="D566" t="str">
        <f>INDEX('Pipe Table'!$B$2:$B$14,MATCH(INDEX(TeAllPoints!$I$2:$I$957,MATCH(Filter!B566,TeAllPoints!$B$2:$B$957,0)),'Pipe Table'!$A$2:$A$14,0))</f>
        <v>EndUsr</v>
      </c>
      <c r="E566" t="str">
        <f>INDEX('TE_OA_20200805_INTRDY_2020-08-0'!$H$2:$H$870,MATCH(Filter!B566,'TE_OA_20200805_INTRDY_2020-08-0'!$G$2:$G$870))</f>
        <v>NRG - Cedar Bayou</v>
      </c>
      <c r="F566" t="str">
        <f>INDEX('Pipe Table'!$H$2:$H$8,MATCH('TE_OA_20200805_INTRDY_2020-08-0'!I547,'Pipe Table'!$G$2:$G$8,0))</f>
        <v>TETCO-STX</v>
      </c>
      <c r="G566" t="str">
        <f>INDEX(TeAllPoints!$D$2:$D$957,MATCH(Filter!B566,TeAllPoints!$B$2:$B$957,0))</f>
        <v>TX</v>
      </c>
      <c r="H566" t="str">
        <f>INDEX(TeAllPoints!$E$2:$E$957,MATCH(Filter!B566,TeAllPoints!$B$2:$B$957,0))</f>
        <v>CHAMBERS</v>
      </c>
      <c r="I566">
        <f>INDEX('TE_OA_20200805_INTRDY_2020-08-0'!$Q$2:$Q$870,MATCH(Filter!B566,'TE_OA_20200805_INTRDY_2020-08-0'!$G$2:$G$870))</f>
        <v>711000</v>
      </c>
      <c r="J566">
        <f>INDEX('TE_OA_20200805_INTRDY_2020-08-0'!$R$2:$R$870,MATCH(Filter!B566,'TE_OA_20200805_INTRDY_2020-08-0'!$G$2:$G$870))</f>
        <v>103245</v>
      </c>
    </row>
    <row r="567" spans="1:10" x14ac:dyDescent="0.25">
      <c r="A567" t="str">
        <f>INDEX('Pipe Table'!$E$2:$E$10,MATCH(INDEX('TE_OA_20200805_INTRDY_2020-08-0'!$T$2:$T$870,MATCH(Filter!B567,'TE_OA_20200805_INTRDY_2020-08-0'!$G$2:$G$870,0)),'Pipe Table'!$D$2:$D$10,0))</f>
        <v>TETCO</v>
      </c>
      <c r="B567">
        <v>73594</v>
      </c>
      <c r="C567" t="str">
        <f>INDEX('TE_OA_20200805_INTRDY_2020-08-0'!$J$2:$J$870,MATCH(Filter!B567,'TE_OA_20200805_INTRDY_2020-08-0'!$G$2:$G$870))</f>
        <v>Receipt</v>
      </c>
      <c r="D567" t="str">
        <f>INDEX('Pipe Table'!$B$2:$B$14,MATCH(INDEX(TeAllPoints!$I$2:$I$957,MATCH(Filter!B567,TeAllPoints!$B$2:$B$957,0)),'Pipe Table'!$A$2:$A$14,0))</f>
        <v>Wellhead</v>
      </c>
      <c r="E567" t="str">
        <f>INDEX('TE_OA_20200805_INTRDY_2020-08-0'!$H$2:$H$870,MATCH(Filter!B567,'TE_OA_20200805_INTRDY_2020-08-0'!$G$2:$G$870))</f>
        <v>Energy XXI - MP 107</v>
      </c>
      <c r="F567" t="str">
        <f>INDEX('Pipe Table'!$H$2:$H$8,MATCH('TE_OA_20200805_INTRDY_2020-08-0'!I548,'Pipe Table'!$G$2:$G$8,0))</f>
        <v>TETCO-ELA</v>
      </c>
      <c r="G567" t="str">
        <f>INDEX(TeAllPoints!$D$2:$D$957,MATCH(Filter!B567,TeAllPoints!$B$2:$B$957,0))</f>
        <v>OF</v>
      </c>
      <c r="H567" t="str">
        <f>INDEX(TeAllPoints!$E$2:$E$957,MATCH(Filter!B567,TeAllPoints!$B$2:$B$957,0))</f>
        <v>MAIN PASS</v>
      </c>
      <c r="I567">
        <f>INDEX('TE_OA_20200805_INTRDY_2020-08-0'!$Q$2:$Q$870,MATCH(Filter!B567,'TE_OA_20200805_INTRDY_2020-08-0'!$G$2:$G$870))</f>
        <v>117688</v>
      </c>
      <c r="J567">
        <f>INDEX('TE_OA_20200805_INTRDY_2020-08-0'!$R$2:$R$870,MATCH(Filter!B567,'TE_OA_20200805_INTRDY_2020-08-0'!$G$2:$G$870))</f>
        <v>0</v>
      </c>
    </row>
    <row r="568" spans="1:10" x14ac:dyDescent="0.25">
      <c r="A568" t="str">
        <f>INDEX('Pipe Table'!$E$2:$E$10,MATCH(INDEX('TE_OA_20200805_INTRDY_2020-08-0'!$T$2:$T$870,MATCH(Filter!B568,'TE_OA_20200805_INTRDY_2020-08-0'!$G$2:$G$870,0)),'Pipe Table'!$D$2:$D$10,0))</f>
        <v>TETCO</v>
      </c>
      <c r="B568">
        <v>73597</v>
      </c>
      <c r="C568" t="str">
        <f>INDEX('TE_OA_20200805_INTRDY_2020-08-0'!$J$2:$J$870,MATCH(Filter!B568,'TE_OA_20200805_INTRDY_2020-08-0'!$G$2:$G$870))</f>
        <v>Receipt</v>
      </c>
      <c r="D568" t="str">
        <f>INDEX('Pipe Table'!$B$2:$B$14,MATCH(INDEX(TeAllPoints!$I$2:$I$957,MATCH(Filter!B568,TeAllPoints!$B$2:$B$957,0)),'Pipe Table'!$A$2:$A$14,0))</f>
        <v>Wellhead</v>
      </c>
      <c r="E568" t="str">
        <f>INDEX('TE_OA_20200805_INTRDY_2020-08-0'!$H$2:$H$870,MATCH(Filter!B568,'TE_OA_20200805_INTRDY_2020-08-0'!$G$2:$G$870))</f>
        <v>Fossil Resources/Cardinal II Gathering-Nacogdoches Co., TX</v>
      </c>
      <c r="F568" t="str">
        <f>INDEX('Pipe Table'!$H$2:$H$8,MATCH('TE_OA_20200805_INTRDY_2020-08-0'!I549,'Pipe Table'!$G$2:$G$8,0))</f>
        <v>TETCO-ETX</v>
      </c>
      <c r="G568" t="str">
        <f>INDEX(TeAllPoints!$D$2:$D$957,MATCH(Filter!B568,TeAllPoints!$B$2:$B$957,0))</f>
        <v>TX</v>
      </c>
      <c r="H568" t="str">
        <f>INDEX(TeAllPoints!$E$2:$E$957,MATCH(Filter!B568,TeAllPoints!$B$2:$B$957,0))</f>
        <v>NACOGDOCHES</v>
      </c>
      <c r="I568">
        <f>INDEX('TE_OA_20200805_INTRDY_2020-08-0'!$Q$2:$Q$870,MATCH(Filter!B568,'TE_OA_20200805_INTRDY_2020-08-0'!$G$2:$G$870))</f>
        <v>38469</v>
      </c>
      <c r="J568">
        <f>INDEX('TE_OA_20200805_INTRDY_2020-08-0'!$R$2:$R$870,MATCH(Filter!B568,'TE_OA_20200805_INTRDY_2020-08-0'!$G$2:$G$870))</f>
        <v>0</v>
      </c>
    </row>
    <row r="569" spans="1:10" x14ac:dyDescent="0.25">
      <c r="A569" t="str">
        <f>INDEX('Pipe Table'!$E$2:$E$10,MATCH(INDEX('TE_OA_20200805_INTRDY_2020-08-0'!$T$2:$T$870,MATCH(Filter!B569,'TE_OA_20200805_INTRDY_2020-08-0'!$G$2:$G$870,0)),'Pipe Table'!$D$2:$D$10,0))</f>
        <v>TETCO</v>
      </c>
      <c r="B569">
        <v>73600</v>
      </c>
      <c r="C569" t="str">
        <f>INDEX('TE_OA_20200805_INTRDY_2020-08-0'!$J$2:$J$870,MATCH(Filter!B569,'TE_OA_20200805_INTRDY_2020-08-0'!$G$2:$G$870))</f>
        <v>Receipt</v>
      </c>
      <c r="D569" t="str">
        <f>INDEX('Pipe Table'!$B$2:$B$14,MATCH(INDEX(TeAllPoints!$I$2:$I$957,MATCH(Filter!B569,TeAllPoints!$B$2:$B$957,0)),'Pipe Table'!$A$2:$A$14,0))</f>
        <v>Wellhead</v>
      </c>
      <c r="E569" t="str">
        <f>INDEX('TE_OA_20200805_INTRDY_2020-08-0'!$H$2:$H$870,MATCH(Filter!B569,'TE_OA_20200805_INTRDY_2020-08-0'!$G$2:$G$870))</f>
        <v>Fortune Resources LLC/TARANTULA GATHERING</v>
      </c>
      <c r="F569" t="str">
        <f>INDEX('Pipe Table'!$H$2:$H$8,MATCH('TE_OA_20200805_INTRDY_2020-08-0'!I550,'Pipe Table'!$G$2:$G$8,0))</f>
        <v>TETCO-ETX</v>
      </c>
      <c r="G569" t="str">
        <f>INDEX(TeAllPoints!$D$2:$D$957,MATCH(Filter!B569,TeAllPoints!$B$2:$B$957,0))</f>
        <v>TX</v>
      </c>
      <c r="H569" t="str">
        <f>INDEX(TeAllPoints!$E$2:$E$957,MATCH(Filter!B569,TeAllPoints!$B$2:$B$957,0))</f>
        <v>SHELBY</v>
      </c>
      <c r="I569">
        <f>INDEX('TE_OA_20200805_INTRDY_2020-08-0'!$Q$2:$Q$870,MATCH(Filter!B569,'TE_OA_20200805_INTRDY_2020-08-0'!$G$2:$G$870))</f>
        <v>17124</v>
      </c>
      <c r="J569">
        <f>INDEX('TE_OA_20200805_INTRDY_2020-08-0'!$R$2:$R$870,MATCH(Filter!B569,'TE_OA_20200805_INTRDY_2020-08-0'!$G$2:$G$870))</f>
        <v>1</v>
      </c>
    </row>
    <row r="570" spans="1:10" x14ac:dyDescent="0.25">
      <c r="A570" t="str">
        <f>INDEX('Pipe Table'!$E$2:$E$10,MATCH(INDEX('TE_OA_20200805_INTRDY_2020-08-0'!$T$2:$T$870,MATCH(Filter!B570,'TE_OA_20200805_INTRDY_2020-08-0'!$G$2:$G$870,0)),'Pipe Table'!$D$2:$D$10,0))</f>
        <v>TETCO</v>
      </c>
      <c r="B570">
        <v>73601</v>
      </c>
      <c r="C570" t="str">
        <f>INDEX('TE_OA_20200805_INTRDY_2020-08-0'!$J$2:$J$870,MATCH(Filter!B570,'TE_OA_20200805_INTRDY_2020-08-0'!$G$2:$G$870))</f>
        <v>Delivery</v>
      </c>
      <c r="D570" t="str">
        <f>INDEX('Pipe Table'!$B$2:$B$14,MATCH(INDEX(TeAllPoints!$I$2:$I$957,MATCH(Filter!B570,TeAllPoints!$B$2:$B$957,0)),'Pipe Table'!$A$2:$A$14,0))</f>
        <v>EndUsr</v>
      </c>
      <c r="E570" t="str">
        <f>INDEX('TE_OA_20200805_INTRDY_2020-08-0'!$H$2:$H$870,MATCH(Filter!B570,'TE_OA_20200805_INTRDY_2020-08-0'!$G$2:$G$870))</f>
        <v>Targa Louisiana Field Services, LLC-Calcasieu, LA</v>
      </c>
      <c r="F570" t="str">
        <f>INDEX('Pipe Table'!$H$2:$H$8,MATCH('TE_OA_20200805_INTRDY_2020-08-0'!I551,'Pipe Table'!$G$2:$G$8,0))</f>
        <v>TETCO-WLA</v>
      </c>
      <c r="G570" t="str">
        <f>INDEX(TeAllPoints!$D$2:$D$957,MATCH(Filter!B570,TeAllPoints!$B$2:$B$957,0))</f>
        <v>LA</v>
      </c>
      <c r="H570" t="str">
        <f>INDEX(TeAllPoints!$E$2:$E$957,MATCH(Filter!B570,TeAllPoints!$B$2:$B$957,0))</f>
        <v>CALCASIEU</v>
      </c>
      <c r="I570">
        <f>INDEX('TE_OA_20200805_INTRDY_2020-08-0'!$Q$2:$Q$870,MATCH(Filter!B570,'TE_OA_20200805_INTRDY_2020-08-0'!$G$2:$G$870))</f>
        <v>152550</v>
      </c>
      <c r="J570">
        <f>INDEX('TE_OA_20200805_INTRDY_2020-08-0'!$R$2:$R$870,MATCH(Filter!B570,'TE_OA_20200805_INTRDY_2020-08-0'!$G$2:$G$870))</f>
        <v>0</v>
      </c>
    </row>
    <row r="571" spans="1:10" x14ac:dyDescent="0.25">
      <c r="A571" t="str">
        <f>INDEX('Pipe Table'!$E$2:$E$10,MATCH(INDEX('TE_OA_20200805_INTRDY_2020-08-0'!$T$2:$T$870,MATCH(Filter!B571,'TE_OA_20200805_INTRDY_2020-08-0'!$G$2:$G$870,0)),'Pipe Table'!$D$2:$D$10,0))</f>
        <v>TETCO</v>
      </c>
      <c r="B571">
        <v>73603</v>
      </c>
      <c r="C571" t="str">
        <f>INDEX('TE_OA_20200805_INTRDY_2020-08-0'!$J$2:$J$870,MATCH(Filter!B571,'TE_OA_20200805_INTRDY_2020-08-0'!$G$2:$G$870))</f>
        <v>Receipt</v>
      </c>
      <c r="D571" t="str">
        <f>INDEX('Pipe Table'!$B$2:$B$14,MATCH(INDEX(TeAllPoints!$I$2:$I$957,MATCH(Filter!B571,TeAllPoints!$B$2:$B$957,0)),'Pipe Table'!$A$2:$A$14,0))</f>
        <v>Wellhead</v>
      </c>
      <c r="E571" t="str">
        <f>INDEX('TE_OA_20200805_INTRDY_2020-08-0'!$H$2:$H$870,MATCH(Filter!B571,'TE_OA_20200805_INTRDY_2020-08-0'!$G$2:$G$870))</f>
        <v>NFR Energy/Gatlin Gathering, Harrison Co. TX</v>
      </c>
      <c r="F571" t="str">
        <f>INDEX('Pipe Table'!$H$2:$H$8,MATCH('TE_OA_20200805_INTRDY_2020-08-0'!I552,'Pipe Table'!$G$2:$G$8,0))</f>
        <v>TETCO-ETX</v>
      </c>
      <c r="G571" t="str">
        <f>INDEX(TeAllPoints!$D$2:$D$957,MATCH(Filter!B571,TeAllPoints!$B$2:$B$957,0))</f>
        <v>TX</v>
      </c>
      <c r="H571" t="str">
        <f>INDEX(TeAllPoints!$E$2:$E$957,MATCH(Filter!B571,TeAllPoints!$B$2:$B$957,0))</f>
        <v>HARRISON</v>
      </c>
      <c r="I571">
        <f>INDEX('TE_OA_20200805_INTRDY_2020-08-0'!$Q$2:$Q$870,MATCH(Filter!B571,'TE_OA_20200805_INTRDY_2020-08-0'!$G$2:$G$870))</f>
        <v>9369</v>
      </c>
      <c r="J571">
        <f>INDEX('TE_OA_20200805_INTRDY_2020-08-0'!$R$2:$R$870,MATCH(Filter!B571,'TE_OA_20200805_INTRDY_2020-08-0'!$G$2:$G$870))</f>
        <v>0</v>
      </c>
    </row>
    <row r="572" spans="1:10" x14ac:dyDescent="0.25">
      <c r="A572" t="str">
        <f>INDEX('Pipe Table'!$E$2:$E$10,MATCH(INDEX('TE_OA_20200805_INTRDY_2020-08-0'!$T$2:$T$870,MATCH(Filter!B572,'TE_OA_20200805_INTRDY_2020-08-0'!$G$2:$G$870,0)),'Pipe Table'!$D$2:$D$10,0))</f>
        <v>TETCO</v>
      </c>
      <c r="B572">
        <v>73604</v>
      </c>
      <c r="C572" t="str">
        <f>INDEX('TE_OA_20200805_INTRDY_2020-08-0'!$J$2:$J$870,MATCH(Filter!B572,'TE_OA_20200805_INTRDY_2020-08-0'!$G$2:$G$870))</f>
        <v>Receipt</v>
      </c>
      <c r="D572" t="str">
        <f>INDEX('Pipe Table'!$B$2:$B$14,MATCH(INDEX(TeAllPoints!$I$2:$I$957,MATCH(Filter!B572,TeAllPoints!$B$2:$B$957,0)),'Pipe Table'!$A$2:$A$14,0))</f>
        <v>Wellhead</v>
      </c>
      <c r="E572" t="str">
        <f>INDEX('TE_OA_20200805_INTRDY_2020-08-0'!$H$2:$H$870,MATCH(Filter!B572,'TE_OA_20200805_INTRDY_2020-08-0'!$G$2:$G$870))</f>
        <v>Flint Interests, LLC/Wright Materials-Goliad Co., TX</v>
      </c>
      <c r="F572" t="str">
        <f>INDEX('Pipe Table'!$H$2:$H$8,MATCH('TE_OA_20200805_INTRDY_2020-08-0'!I553,'Pipe Table'!$G$2:$G$8,0))</f>
        <v>TETCO-STX</v>
      </c>
      <c r="G572" t="str">
        <f>INDEX(TeAllPoints!$D$2:$D$957,MATCH(Filter!B572,TeAllPoints!$B$2:$B$957,0))</f>
        <v>TX</v>
      </c>
      <c r="H572" t="str">
        <f>INDEX(TeAllPoints!$E$2:$E$957,MATCH(Filter!B572,TeAllPoints!$B$2:$B$957,0))</f>
        <v>GOLIAD</v>
      </c>
      <c r="I572">
        <f>INDEX('TE_OA_20200805_INTRDY_2020-08-0'!$Q$2:$Q$870,MATCH(Filter!B572,'TE_OA_20200805_INTRDY_2020-08-0'!$G$2:$G$870))</f>
        <v>41107</v>
      </c>
      <c r="J572">
        <f>INDEX('TE_OA_20200805_INTRDY_2020-08-0'!$R$2:$R$870,MATCH(Filter!B572,'TE_OA_20200805_INTRDY_2020-08-0'!$G$2:$G$870))</f>
        <v>1000</v>
      </c>
    </row>
    <row r="573" spans="1:10" x14ac:dyDescent="0.25">
      <c r="A573" t="str">
        <f>INDEX('Pipe Table'!$E$2:$E$10,MATCH(INDEX('TE_OA_20200805_INTRDY_2020-08-0'!$T$2:$T$870,MATCH(Filter!B573,'TE_OA_20200805_INTRDY_2020-08-0'!$G$2:$G$870,0)),'Pipe Table'!$D$2:$D$10,0))</f>
        <v>TETCO</v>
      </c>
      <c r="B573">
        <v>73608</v>
      </c>
      <c r="C573" t="str">
        <f>INDEX('TE_OA_20200805_INTRDY_2020-08-0'!$J$2:$J$870,MATCH(Filter!B573,'TE_OA_20200805_INTRDY_2020-08-0'!$G$2:$G$870))</f>
        <v>Receipt</v>
      </c>
      <c r="D573" t="str">
        <f>INDEX('Pipe Table'!$B$2:$B$14,MATCH(INDEX(TeAllPoints!$I$2:$I$957,MATCH(Filter!B573,TeAllPoints!$B$2:$B$957,0)),'Pipe Table'!$A$2:$A$14,0))</f>
        <v>Wellhead</v>
      </c>
      <c r="E573" t="str">
        <f>INDEX('TE_OA_20200805_INTRDY_2020-08-0'!$H$2:$H$870,MATCH(Filter!B573,'TE_OA_20200805_INTRDY_2020-08-0'!$G$2:$G$870))</f>
        <v>TGG Pipeline - Central Delivery Point</v>
      </c>
      <c r="F573" t="str">
        <f>INDEX('Pipe Table'!$H$2:$H$8,MATCH('TE_OA_20200805_INTRDY_2020-08-0'!I554,'Pipe Table'!$G$2:$G$8,0))</f>
        <v>TETCO-ETX</v>
      </c>
      <c r="G573" t="str">
        <f>INDEX(TeAllPoints!$D$2:$D$957,MATCH(Filter!B573,TeAllPoints!$B$2:$B$957,0))</f>
        <v>TX</v>
      </c>
      <c r="H573" t="str">
        <f>INDEX(TeAllPoints!$E$2:$E$957,MATCH(Filter!B573,TeAllPoints!$B$2:$B$957,0))</f>
        <v>SAN AUGUSTINE</v>
      </c>
      <c r="I573">
        <f>INDEX('TE_OA_20200805_INTRDY_2020-08-0'!$Q$2:$Q$870,MATCH(Filter!B573,'TE_OA_20200805_INTRDY_2020-08-0'!$G$2:$G$870))</f>
        <v>63450</v>
      </c>
      <c r="J573">
        <f>INDEX('TE_OA_20200805_INTRDY_2020-08-0'!$R$2:$R$870,MATCH(Filter!B573,'TE_OA_20200805_INTRDY_2020-08-0'!$G$2:$G$870))</f>
        <v>9000</v>
      </c>
    </row>
    <row r="574" spans="1:10" x14ac:dyDescent="0.25">
      <c r="A574" t="str">
        <f>INDEX('Pipe Table'!$E$2:$E$10,MATCH(INDEX('TE_OA_20200805_INTRDY_2020-08-0'!$T$2:$T$870,MATCH(Filter!B574,'TE_OA_20200805_INTRDY_2020-08-0'!$G$2:$G$870,0)),'Pipe Table'!$D$2:$D$10,0))</f>
        <v>TETCO</v>
      </c>
      <c r="B574">
        <v>73609</v>
      </c>
      <c r="C574" t="str">
        <f>INDEX('TE_OA_20200805_INTRDY_2020-08-0'!$J$2:$J$870,MATCH(Filter!B574,'TE_OA_20200805_INTRDY_2020-08-0'!$G$2:$G$870))</f>
        <v>Receipt</v>
      </c>
      <c r="D574" t="str">
        <f>INDEX('Pipe Table'!$B$2:$B$14,MATCH(INDEX(TeAllPoints!$I$2:$I$957,MATCH(Filter!B574,TeAllPoints!$B$2:$B$957,0)),'Pipe Table'!$A$2:$A$14,0))</f>
        <v>Wellhead</v>
      </c>
      <c r="E574" t="str">
        <f>INDEX('TE_OA_20200805_INTRDY_2020-08-0'!$H$2:$H$870,MATCH(Filter!B574,'TE_OA_20200805_INTRDY_2020-08-0'!$G$2:$G$870))</f>
        <v>Williams - LMM Davis (Valley View Rd Interconnect)  Greene Co., PA</v>
      </c>
      <c r="F574" t="str">
        <f>INDEX('Pipe Table'!$H$2:$H$8,MATCH('TE_OA_20200805_INTRDY_2020-08-0'!I555,'Pipe Table'!$G$2:$G$8,0))</f>
        <v>TETCO-M2</v>
      </c>
      <c r="G574" t="str">
        <f>INDEX(TeAllPoints!$D$2:$D$957,MATCH(Filter!B574,TeAllPoints!$B$2:$B$957,0))</f>
        <v>PA</v>
      </c>
      <c r="H574" t="str">
        <f>INDEX(TeAllPoints!$E$2:$E$957,MATCH(Filter!B574,TeAllPoints!$B$2:$B$957,0))</f>
        <v>GREENE</v>
      </c>
      <c r="I574">
        <f>INDEX('TE_OA_20200805_INTRDY_2020-08-0'!$Q$2:$Q$870,MATCH(Filter!B574,'TE_OA_20200805_INTRDY_2020-08-0'!$G$2:$G$870))</f>
        <v>39437</v>
      </c>
      <c r="J574">
        <f>INDEX('TE_OA_20200805_INTRDY_2020-08-0'!$R$2:$R$870,MATCH(Filter!B574,'TE_OA_20200805_INTRDY_2020-08-0'!$G$2:$G$870))</f>
        <v>5425</v>
      </c>
    </row>
    <row r="575" spans="1:10" x14ac:dyDescent="0.25">
      <c r="A575" t="str">
        <f>INDEX('Pipe Table'!$E$2:$E$10,MATCH(INDEX('TE_OA_20200805_INTRDY_2020-08-0'!$T$2:$T$870,MATCH(Filter!B575,'TE_OA_20200805_INTRDY_2020-08-0'!$G$2:$G$870,0)),'Pipe Table'!$D$2:$D$10,0))</f>
        <v>TETCO</v>
      </c>
      <c r="B575">
        <v>73610</v>
      </c>
      <c r="C575" t="str">
        <f>INDEX('TE_OA_20200805_INTRDY_2020-08-0'!$J$2:$J$870,MATCH(Filter!B575,'TE_OA_20200805_INTRDY_2020-08-0'!$G$2:$G$870))</f>
        <v>Receipt</v>
      </c>
      <c r="D575" t="str">
        <f>INDEX('Pipe Table'!$B$2:$B$14,MATCH(INDEX(TeAllPoints!$I$2:$I$957,MATCH(Filter!B575,TeAllPoints!$B$2:$B$957,0)),'Pipe Table'!$A$2:$A$14,0))</f>
        <v>Wellhead</v>
      </c>
      <c r="E575" t="str">
        <f>INDEX('TE_OA_20200805_INTRDY_2020-08-0'!$H$2:$H$870,MATCH(Filter!B575,'TE_OA_20200805_INTRDY_2020-08-0'!$G$2:$G$870))</f>
        <v>CNX Gas Co. LLC - McQuay, Locust Hill I, Greene Co., PA</v>
      </c>
      <c r="F575" t="str">
        <f>INDEX('Pipe Table'!$H$2:$H$8,MATCH('TE_OA_20200805_INTRDY_2020-08-0'!I556,'Pipe Table'!$G$2:$G$8,0))</f>
        <v>TETCO-M2</v>
      </c>
      <c r="G575" t="str">
        <f>INDEX(TeAllPoints!$D$2:$D$957,MATCH(Filter!B575,TeAllPoints!$B$2:$B$957,0))</f>
        <v>PA</v>
      </c>
      <c r="H575" t="str">
        <f>INDEX(TeAllPoints!$E$2:$E$957,MATCH(Filter!B575,TeAllPoints!$B$2:$B$957,0))</f>
        <v>GREENE</v>
      </c>
      <c r="I575">
        <f>INDEX('TE_OA_20200805_INTRDY_2020-08-0'!$Q$2:$Q$870,MATCH(Filter!B575,'TE_OA_20200805_INTRDY_2020-08-0'!$G$2:$G$870))</f>
        <v>91238</v>
      </c>
      <c r="J575">
        <f>INDEX('TE_OA_20200805_INTRDY_2020-08-0'!$R$2:$R$870,MATCH(Filter!B575,'TE_OA_20200805_INTRDY_2020-08-0'!$G$2:$G$870))</f>
        <v>0</v>
      </c>
    </row>
    <row r="576" spans="1:10" x14ac:dyDescent="0.25">
      <c r="A576" t="str">
        <f>INDEX('Pipe Table'!$E$2:$E$10,MATCH(INDEX('TE_OA_20200805_INTRDY_2020-08-0'!$T$2:$T$870,MATCH(Filter!B576,'TE_OA_20200805_INTRDY_2020-08-0'!$G$2:$G$870,0)),'Pipe Table'!$D$2:$D$10,0))</f>
        <v>TETCO</v>
      </c>
      <c r="B576">
        <v>73612</v>
      </c>
      <c r="C576" t="str">
        <f>INDEX('TE_OA_20200805_INTRDY_2020-08-0'!$J$2:$J$870,MATCH(Filter!B576,'TE_OA_20200805_INTRDY_2020-08-0'!$G$2:$G$870))</f>
        <v>Receipt</v>
      </c>
      <c r="D576" t="str">
        <f>INDEX('Pipe Table'!$B$2:$B$14,MATCH(INDEX(TeAllPoints!$I$2:$I$957,MATCH(Filter!B576,TeAllPoints!$B$2:$B$957,0)),'Pipe Table'!$A$2:$A$14,0))</f>
        <v>Wellhead</v>
      </c>
      <c r="E576" t="str">
        <f>INDEX('TE_OA_20200805_INTRDY_2020-08-0'!$H$2:$H$870,MATCH(Filter!B576,'TE_OA_20200805_INTRDY_2020-08-0'!$G$2:$G$870))</f>
        <v>Buffco Prod./Jo Allison #1-Harrison Co., TX</v>
      </c>
      <c r="F576" t="str">
        <f>INDEX('Pipe Table'!$H$2:$H$8,MATCH('TE_OA_20200805_INTRDY_2020-08-0'!I557,'Pipe Table'!$G$2:$G$8,0))</f>
        <v>TETCO-ETX</v>
      </c>
      <c r="G576" t="str">
        <f>INDEX(TeAllPoints!$D$2:$D$957,MATCH(Filter!B576,TeAllPoints!$B$2:$B$957,0))</f>
        <v>TX</v>
      </c>
      <c r="H576" t="str">
        <f>INDEX(TeAllPoints!$E$2:$E$957,MATCH(Filter!B576,TeAllPoints!$B$2:$B$957,0))</f>
        <v>HARRISON</v>
      </c>
      <c r="I576">
        <f>INDEX('TE_OA_20200805_INTRDY_2020-08-0'!$Q$2:$Q$870,MATCH(Filter!B576,'TE_OA_20200805_INTRDY_2020-08-0'!$G$2:$G$870))</f>
        <v>4299</v>
      </c>
      <c r="J576">
        <f>INDEX('TE_OA_20200805_INTRDY_2020-08-0'!$R$2:$R$870,MATCH(Filter!B576,'TE_OA_20200805_INTRDY_2020-08-0'!$G$2:$G$870))</f>
        <v>35</v>
      </c>
    </row>
    <row r="577" spans="1:10" x14ac:dyDescent="0.25">
      <c r="A577" t="str">
        <f>INDEX('Pipe Table'!$E$2:$E$10,MATCH(INDEX('TE_OA_20200805_INTRDY_2020-08-0'!$T$2:$T$870,MATCH(Filter!B577,'TE_OA_20200805_INTRDY_2020-08-0'!$G$2:$G$870,0)),'Pipe Table'!$D$2:$D$10,0))</f>
        <v>TETCO</v>
      </c>
      <c r="B577">
        <v>73613</v>
      </c>
      <c r="C577" t="str">
        <f>INDEX('TE_OA_20200805_INTRDY_2020-08-0'!$J$2:$J$870,MATCH(Filter!B577,'TE_OA_20200805_INTRDY_2020-08-0'!$G$2:$G$870))</f>
        <v>Receipt</v>
      </c>
      <c r="D577" t="str">
        <f>INDEX('Pipe Table'!$B$2:$B$14,MATCH(INDEX(TeAllPoints!$I$2:$I$957,MATCH(Filter!B577,TeAllPoints!$B$2:$B$957,0)),'Pipe Table'!$A$2:$A$14,0))</f>
        <v>Wellhead</v>
      </c>
      <c r="E577" t="str">
        <f>INDEX('TE_OA_20200805_INTRDY_2020-08-0'!$H$2:$H$870,MATCH(Filter!B577,'TE_OA_20200805_INTRDY_2020-08-0'!$G$2:$G$870))</f>
        <v>Buffco Prod./Southern Egg Ranch-Shelby Co., TX</v>
      </c>
      <c r="F577" t="str">
        <f>INDEX('Pipe Table'!$H$2:$H$8,MATCH('TE_OA_20200805_INTRDY_2020-08-0'!I558,'Pipe Table'!$G$2:$G$8,0))</f>
        <v>TETCO-ETX</v>
      </c>
      <c r="G577" t="str">
        <f>INDEX(TeAllPoints!$D$2:$D$957,MATCH(Filter!B577,TeAllPoints!$B$2:$B$957,0))</f>
        <v>TX</v>
      </c>
      <c r="H577" t="str">
        <f>INDEX(TeAllPoints!$E$2:$E$957,MATCH(Filter!B577,TeAllPoints!$B$2:$B$957,0))</f>
        <v>SHELBY</v>
      </c>
      <c r="I577">
        <f>INDEX('TE_OA_20200805_INTRDY_2020-08-0'!$Q$2:$Q$870,MATCH(Filter!B577,'TE_OA_20200805_INTRDY_2020-08-0'!$G$2:$G$870))</f>
        <v>9647</v>
      </c>
      <c r="J577">
        <f>INDEX('TE_OA_20200805_INTRDY_2020-08-0'!$R$2:$R$870,MATCH(Filter!B577,'TE_OA_20200805_INTRDY_2020-08-0'!$G$2:$G$870))</f>
        <v>4</v>
      </c>
    </row>
    <row r="578" spans="1:10" x14ac:dyDescent="0.25">
      <c r="A578" t="str">
        <f>INDEX('Pipe Table'!$E$2:$E$10,MATCH(INDEX('TE_OA_20200805_INTRDY_2020-08-0'!$T$2:$T$870,MATCH(Filter!B578,'TE_OA_20200805_INTRDY_2020-08-0'!$G$2:$G$870,0)),'Pipe Table'!$D$2:$D$10,0))</f>
        <v>TETCO</v>
      </c>
      <c r="B578">
        <v>73617</v>
      </c>
      <c r="C578" t="str">
        <f>INDEX('TE_OA_20200805_INTRDY_2020-08-0'!$J$2:$J$870,MATCH(Filter!B578,'TE_OA_20200805_INTRDY_2020-08-0'!$G$2:$G$870))</f>
        <v>Delivery</v>
      </c>
      <c r="D578" t="str">
        <f>INDEX('Pipe Table'!$B$2:$B$14,MATCH(INDEX(TeAllPoints!$I$2:$I$957,MATCH(Filter!B578,TeAllPoints!$B$2:$B$957,0)),'Pipe Table'!$A$2:$A$14,0))</f>
        <v>LDC</v>
      </c>
      <c r="E578" t="str">
        <f>INDEX('TE_OA_20200805_INTRDY_2020-08-0'!$H$2:$H$870,MATCH(Filter!B578,'TE_OA_20200805_INTRDY_2020-08-0'!$G$2:$G$870))</f>
        <v>Kinder Morgan Tejas- Nueces Bay</v>
      </c>
      <c r="F578" t="str">
        <f>INDEX('Pipe Table'!$H$2:$H$8,MATCH('TE_OA_20200805_INTRDY_2020-08-0'!I559,'Pipe Table'!$G$2:$G$8,0))</f>
        <v>TETCO-STX</v>
      </c>
      <c r="G578" t="str">
        <f>INDEX(TeAllPoints!$D$2:$D$957,MATCH(Filter!B578,TeAllPoints!$B$2:$B$957,0))</f>
        <v>TX</v>
      </c>
      <c r="H578" t="str">
        <f>INDEX(TeAllPoints!$E$2:$E$957,MATCH(Filter!B578,TeAllPoints!$B$2:$B$957,0))</f>
        <v>SAN PATRICIO</v>
      </c>
      <c r="I578">
        <f>INDEX('TE_OA_20200805_INTRDY_2020-08-0'!$Q$2:$Q$870,MATCH(Filter!B578,'TE_OA_20200805_INTRDY_2020-08-0'!$G$2:$G$870))</f>
        <v>252372</v>
      </c>
      <c r="J578">
        <f>INDEX('TE_OA_20200805_INTRDY_2020-08-0'!$R$2:$R$870,MATCH(Filter!B578,'TE_OA_20200805_INTRDY_2020-08-0'!$G$2:$G$870))</f>
        <v>50382</v>
      </c>
    </row>
    <row r="579" spans="1:10" x14ac:dyDescent="0.25">
      <c r="A579" t="str">
        <f>INDEX('Pipe Table'!$E$2:$E$10,MATCH(INDEX('TE_OA_20200805_INTRDY_2020-08-0'!$T$2:$T$870,MATCH(Filter!B579,'TE_OA_20200805_INTRDY_2020-08-0'!$G$2:$G$870,0)),'Pipe Table'!$D$2:$D$10,0))</f>
        <v>TETCO</v>
      </c>
      <c r="B579">
        <v>73618</v>
      </c>
      <c r="C579" t="str">
        <f>INDEX('TE_OA_20200805_INTRDY_2020-08-0'!$J$2:$J$870,MATCH(Filter!B579,'TE_OA_20200805_INTRDY_2020-08-0'!$G$2:$G$870))</f>
        <v>Delivery</v>
      </c>
      <c r="D579" t="str">
        <f>INDEX('Pipe Table'!$B$2:$B$14,MATCH(INDEX(TeAllPoints!$I$2:$I$957,MATCH(Filter!B579,TeAllPoints!$B$2:$B$957,0)),'Pipe Table'!$A$2:$A$14,0))</f>
        <v>EndUsr</v>
      </c>
      <c r="E579" t="str">
        <f>INDEX('TE_OA_20200805_INTRDY_2020-08-0'!$H$2:$H$870,MATCH(Filter!B579,'TE_OA_20200805_INTRDY_2020-08-0'!$G$2:$G$870))</f>
        <v>Kinder Morgan Tejas- Barney Davis</v>
      </c>
      <c r="F579" t="str">
        <f>INDEX('Pipe Table'!$H$2:$H$8,MATCH('TE_OA_20200805_INTRDY_2020-08-0'!I560,'Pipe Table'!$G$2:$G$8,0))</f>
        <v>TETCO-STX</v>
      </c>
      <c r="G579" t="str">
        <f>INDEX(TeAllPoints!$D$2:$D$957,MATCH(Filter!B579,TeAllPoints!$B$2:$B$957,0))</f>
        <v>TX</v>
      </c>
      <c r="H579" t="str">
        <f>INDEX(TeAllPoints!$E$2:$E$957,MATCH(Filter!B579,TeAllPoints!$B$2:$B$957,0))</f>
        <v>NUECES</v>
      </c>
      <c r="I579">
        <f>INDEX('TE_OA_20200805_INTRDY_2020-08-0'!$Q$2:$Q$870,MATCH(Filter!B579,'TE_OA_20200805_INTRDY_2020-08-0'!$G$2:$G$870))</f>
        <v>392068</v>
      </c>
      <c r="J579">
        <f>INDEX('TE_OA_20200805_INTRDY_2020-08-0'!$R$2:$R$870,MATCH(Filter!B579,'TE_OA_20200805_INTRDY_2020-08-0'!$G$2:$G$870))</f>
        <v>76170</v>
      </c>
    </row>
    <row r="580" spans="1:10" x14ac:dyDescent="0.25">
      <c r="A580" t="str">
        <f>INDEX('Pipe Table'!$E$2:$E$10,MATCH(INDEX('TE_OA_20200805_INTRDY_2020-08-0'!$T$2:$T$870,MATCH(Filter!B580,'TE_OA_20200805_INTRDY_2020-08-0'!$G$2:$G$870,0)),'Pipe Table'!$D$2:$D$10,0))</f>
        <v>TETCO</v>
      </c>
      <c r="B580">
        <v>73619</v>
      </c>
      <c r="C580" t="str">
        <f>INDEX('TE_OA_20200805_INTRDY_2020-08-0'!$J$2:$J$870,MATCH(Filter!B580,'TE_OA_20200805_INTRDY_2020-08-0'!$G$2:$G$870))</f>
        <v>Receipt</v>
      </c>
      <c r="D580" t="e">
        <f>INDEX('Pipe Table'!$B$2:$B$14,MATCH(INDEX(TeAllPoints!$I$2:$I$957,MATCH(Filter!B580,TeAllPoints!$B$2:$B$957,0)),'Pipe Table'!$A$2:$A$14,0))</f>
        <v>#N/A</v>
      </c>
      <c r="E580" t="str">
        <f>INDEX('TE_OA_20200805_INTRDY_2020-08-0'!$H$2:$H$870,MATCH(Filter!B580,'TE_OA_20200805_INTRDY_2020-08-0'!$G$2:$G$870))</f>
        <v>AB-Fayette-Nelson Rd Interconnect, PA.</v>
      </c>
      <c r="F580" t="str">
        <f>INDEX('Pipe Table'!$H$2:$H$8,MATCH('TE_OA_20200805_INTRDY_2020-08-0'!I561,'Pipe Table'!$G$2:$G$8,0))</f>
        <v>TETCO-M2</v>
      </c>
      <c r="G580" t="e">
        <f>INDEX(TeAllPoints!$D$2:$D$957,MATCH(Filter!B580,TeAllPoints!$B$2:$B$957,0))</f>
        <v>#N/A</v>
      </c>
      <c r="H580" t="e">
        <f>INDEX(TeAllPoints!$E$2:$E$957,MATCH(Filter!B580,TeAllPoints!$B$2:$B$957,0))</f>
        <v>#N/A</v>
      </c>
      <c r="I580">
        <f>INDEX('TE_OA_20200805_INTRDY_2020-08-0'!$Q$2:$Q$870,MATCH(Filter!B580,'TE_OA_20200805_INTRDY_2020-08-0'!$G$2:$G$870))</f>
        <v>15901</v>
      </c>
      <c r="J580">
        <f>INDEX('TE_OA_20200805_INTRDY_2020-08-0'!$R$2:$R$870,MATCH(Filter!B580,'TE_OA_20200805_INTRDY_2020-08-0'!$G$2:$G$870))</f>
        <v>0</v>
      </c>
    </row>
    <row r="581" spans="1:10" x14ac:dyDescent="0.25">
      <c r="A581" t="str">
        <f>INDEX('Pipe Table'!$E$2:$E$10,MATCH(INDEX('TE_OA_20200805_INTRDY_2020-08-0'!$T$2:$T$870,MATCH(Filter!B581,'TE_OA_20200805_INTRDY_2020-08-0'!$G$2:$G$870,0)),'Pipe Table'!$D$2:$D$10,0))</f>
        <v>TETCO</v>
      </c>
      <c r="B581">
        <v>73620</v>
      </c>
      <c r="C581" t="str">
        <f>INDEX('TE_OA_20200805_INTRDY_2020-08-0'!$J$2:$J$870,MATCH(Filter!B581,'TE_OA_20200805_INTRDY_2020-08-0'!$G$2:$G$870))</f>
        <v>Receipt</v>
      </c>
      <c r="D581" t="str">
        <f>INDEX('Pipe Table'!$B$2:$B$14,MATCH(INDEX(TeAllPoints!$I$2:$I$957,MATCH(Filter!B581,TeAllPoints!$B$2:$B$957,0)),'Pipe Table'!$A$2:$A$14,0))</f>
        <v>Wellhead</v>
      </c>
      <c r="E581" t="str">
        <f>INDEX('TE_OA_20200805_INTRDY_2020-08-0'!$H$2:$H$870,MATCH(Filter!B581,'TE_OA_20200805_INTRDY_2020-08-0'!$G$2:$G$870))</f>
        <v>Williams - LMM Clark Rd.,  PA.</v>
      </c>
      <c r="F581" t="str">
        <f>INDEX('Pipe Table'!$H$2:$H$8,MATCH('TE_OA_20200805_INTRDY_2020-08-0'!I562,'Pipe Table'!$G$2:$G$8,0))</f>
        <v>TETCO-M2</v>
      </c>
      <c r="G581" t="str">
        <f>INDEX(TeAllPoints!$D$2:$D$957,MATCH(Filter!B581,TeAllPoints!$B$2:$B$957,0))</f>
        <v>PA</v>
      </c>
      <c r="H581" t="str">
        <f>INDEX(TeAllPoints!$E$2:$E$957,MATCH(Filter!B581,TeAllPoints!$B$2:$B$957,0))</f>
        <v>FAYETTE</v>
      </c>
      <c r="I581">
        <f>INDEX('TE_OA_20200805_INTRDY_2020-08-0'!$Q$2:$Q$870,MATCH(Filter!B581,'TE_OA_20200805_INTRDY_2020-08-0'!$G$2:$G$870))</f>
        <v>37793</v>
      </c>
      <c r="J581">
        <f>INDEX('TE_OA_20200805_INTRDY_2020-08-0'!$R$2:$R$870,MATCH(Filter!B581,'TE_OA_20200805_INTRDY_2020-08-0'!$G$2:$G$870))</f>
        <v>1400</v>
      </c>
    </row>
    <row r="582" spans="1:10" x14ac:dyDescent="0.25">
      <c r="A582" t="str">
        <f>INDEX('Pipe Table'!$E$2:$E$10,MATCH(INDEX('TE_OA_20200805_INTRDY_2020-08-0'!$T$2:$T$870,MATCH(Filter!B582,'TE_OA_20200805_INTRDY_2020-08-0'!$G$2:$G$870,0)),'Pipe Table'!$D$2:$D$10,0))</f>
        <v>TETCO</v>
      </c>
      <c r="B582">
        <v>73621</v>
      </c>
      <c r="C582" t="str">
        <f>INDEX('TE_OA_20200805_INTRDY_2020-08-0'!$J$2:$J$870,MATCH(Filter!B582,'TE_OA_20200805_INTRDY_2020-08-0'!$G$2:$G$870))</f>
        <v>Receipt</v>
      </c>
      <c r="D582" t="str">
        <f>INDEX('Pipe Table'!$B$2:$B$14,MATCH(INDEX(TeAllPoints!$I$2:$I$957,MATCH(Filter!B582,TeAllPoints!$B$2:$B$957,0)),'Pipe Table'!$A$2:$A$14,0))</f>
        <v>Wellhead</v>
      </c>
      <c r="E582" t="str">
        <f>INDEX('TE_OA_20200805_INTRDY_2020-08-0'!$H$2:$H$870,MATCH(Filter!B582,'TE_OA_20200805_INTRDY_2020-08-0'!$G$2:$G$870))</f>
        <v>Williams Mid-Penn Midstream- Clyde- HORSE THIEF RD., Indiana  Co.,</v>
      </c>
      <c r="F582" t="str">
        <f>INDEX('Pipe Table'!$H$2:$H$8,MATCH('TE_OA_20200805_INTRDY_2020-08-0'!I563,'Pipe Table'!$G$2:$G$8,0))</f>
        <v>TETCO-M3</v>
      </c>
      <c r="G582" t="str">
        <f>INDEX(TeAllPoints!$D$2:$D$957,MATCH(Filter!B582,TeAllPoints!$B$2:$B$957,0))</f>
        <v>PA</v>
      </c>
      <c r="H582" t="str">
        <f>INDEX(TeAllPoints!$E$2:$E$957,MATCH(Filter!B582,TeAllPoints!$B$2:$B$957,0))</f>
        <v>INDIANA</v>
      </c>
      <c r="I582">
        <f>INDEX('TE_OA_20200805_INTRDY_2020-08-0'!$Q$2:$Q$870,MATCH(Filter!B582,'TE_OA_20200805_INTRDY_2020-08-0'!$G$2:$G$870))</f>
        <v>15649</v>
      </c>
      <c r="J582">
        <f>INDEX('TE_OA_20200805_INTRDY_2020-08-0'!$R$2:$R$870,MATCH(Filter!B582,'TE_OA_20200805_INTRDY_2020-08-0'!$G$2:$G$870))</f>
        <v>1190</v>
      </c>
    </row>
    <row r="583" spans="1:10" x14ac:dyDescent="0.25">
      <c r="A583" t="str">
        <f>INDEX('Pipe Table'!$E$2:$E$10,MATCH(INDEX('TE_OA_20200805_INTRDY_2020-08-0'!$T$2:$T$870,MATCH(Filter!B583,'TE_OA_20200805_INTRDY_2020-08-0'!$G$2:$G$870,0)),'Pipe Table'!$D$2:$D$10,0))</f>
        <v>TETCO</v>
      </c>
      <c r="B583">
        <v>73623</v>
      </c>
      <c r="C583" t="str">
        <f>INDEX('TE_OA_20200805_INTRDY_2020-08-0'!$J$2:$J$870,MATCH(Filter!B583,'TE_OA_20200805_INTRDY_2020-08-0'!$G$2:$G$870))</f>
        <v>Receipt</v>
      </c>
      <c r="D583" t="e">
        <f>INDEX('Pipe Table'!$B$2:$B$14,MATCH(INDEX(TeAllPoints!$I$2:$I$957,MATCH(Filter!B583,TeAllPoints!$B$2:$B$957,0)),'Pipe Table'!$A$2:$A$14,0))</f>
        <v>#N/A</v>
      </c>
      <c r="E583" t="str">
        <f>INDEX('TE_OA_20200805_INTRDY_2020-08-0'!$H$2:$H$870,MATCH(Filter!B583,'TE_OA_20200805_INTRDY_2020-08-0'!$G$2:$G$870))</f>
        <v>Dominion - Cryane School Rd., Greene Co., PA.</v>
      </c>
      <c r="F583" t="str">
        <f>INDEX('Pipe Table'!$H$2:$H$8,MATCH('TE_OA_20200805_INTRDY_2020-08-0'!I564,'Pipe Table'!$G$2:$G$8,0))</f>
        <v>TETCO-M2</v>
      </c>
      <c r="G583" t="e">
        <f>INDEX(TeAllPoints!$D$2:$D$957,MATCH(Filter!B583,TeAllPoints!$B$2:$B$957,0))</f>
        <v>#N/A</v>
      </c>
      <c r="H583" t="e">
        <f>INDEX(TeAllPoints!$E$2:$E$957,MATCH(Filter!B583,TeAllPoints!$B$2:$B$957,0))</f>
        <v>#N/A</v>
      </c>
      <c r="I583">
        <f>INDEX('TE_OA_20200805_INTRDY_2020-08-0'!$Q$2:$Q$870,MATCH(Filter!B583,'TE_OA_20200805_INTRDY_2020-08-0'!$G$2:$G$870))</f>
        <v>4193</v>
      </c>
      <c r="J583">
        <f>INDEX('TE_OA_20200805_INTRDY_2020-08-0'!$R$2:$R$870,MATCH(Filter!B583,'TE_OA_20200805_INTRDY_2020-08-0'!$G$2:$G$870))</f>
        <v>0</v>
      </c>
    </row>
    <row r="584" spans="1:10" x14ac:dyDescent="0.25">
      <c r="A584" t="str">
        <f>INDEX('Pipe Table'!$E$2:$E$10,MATCH(INDEX('TE_OA_20200805_INTRDY_2020-08-0'!$T$2:$T$870,MATCH(Filter!B584,'TE_OA_20200805_INTRDY_2020-08-0'!$G$2:$G$870,0)),'Pipe Table'!$D$2:$D$10,0))</f>
        <v>TETCO</v>
      </c>
      <c r="B584">
        <v>73626</v>
      </c>
      <c r="C584" t="str">
        <f>INDEX('TE_OA_20200805_INTRDY_2020-08-0'!$J$2:$J$870,MATCH(Filter!B584,'TE_OA_20200805_INTRDY_2020-08-0'!$G$2:$G$870))</f>
        <v>Receipt</v>
      </c>
      <c r="D584" t="str">
        <f>INDEX('Pipe Table'!$B$2:$B$14,MATCH(INDEX(TeAllPoints!$I$2:$I$957,MATCH(Filter!B584,TeAllPoints!$B$2:$B$957,0)),'Pipe Table'!$A$2:$A$14,0))</f>
        <v>Wellhead</v>
      </c>
      <c r="E584" t="str">
        <f>INDEX('TE_OA_20200805_INTRDY_2020-08-0'!$H$2:$H$870,MATCH(Filter!B584,'TE_OA_20200805_INTRDY_2020-08-0'!$G$2:$G$870))</f>
        <v>Davis Southern/Bintliff #1</v>
      </c>
      <c r="F584" t="str">
        <f>INDEX('Pipe Table'!$H$2:$H$8,MATCH('TE_OA_20200805_INTRDY_2020-08-0'!I565,'Pipe Table'!$G$2:$G$8,0))</f>
        <v>TETCO-STX</v>
      </c>
      <c r="G584" t="str">
        <f>INDEX(TeAllPoints!$D$2:$D$957,MATCH(Filter!B584,TeAllPoints!$B$2:$B$957,0))</f>
        <v>TX</v>
      </c>
      <c r="H584" t="str">
        <f>INDEX(TeAllPoints!$E$2:$E$957,MATCH(Filter!B584,TeAllPoints!$B$2:$B$957,0))</f>
        <v>BRAZORIA</v>
      </c>
      <c r="I584">
        <f>INDEX('TE_OA_20200805_INTRDY_2020-08-0'!$Q$2:$Q$870,MATCH(Filter!B584,'TE_OA_20200805_INTRDY_2020-08-0'!$G$2:$G$870))</f>
        <v>16114</v>
      </c>
      <c r="J584">
        <f>INDEX('TE_OA_20200805_INTRDY_2020-08-0'!$R$2:$R$870,MATCH(Filter!B584,'TE_OA_20200805_INTRDY_2020-08-0'!$G$2:$G$870))</f>
        <v>0</v>
      </c>
    </row>
    <row r="585" spans="1:10" x14ac:dyDescent="0.25">
      <c r="A585" t="str">
        <f>INDEX('Pipe Table'!$E$2:$E$10,MATCH(INDEX('TE_OA_20200805_INTRDY_2020-08-0'!$T$2:$T$870,MATCH(Filter!B585,'TE_OA_20200805_INTRDY_2020-08-0'!$G$2:$G$870,0)),'Pipe Table'!$D$2:$D$10,0))</f>
        <v>TETCO</v>
      </c>
      <c r="B585">
        <v>73628</v>
      </c>
      <c r="C585" t="str">
        <f>INDEX('TE_OA_20200805_INTRDY_2020-08-0'!$J$2:$J$870,MATCH(Filter!B585,'TE_OA_20200805_INTRDY_2020-08-0'!$G$2:$G$870))</f>
        <v>Delivery</v>
      </c>
      <c r="D585" t="str">
        <f>INDEX('Pipe Table'!$B$2:$B$14,MATCH(INDEX(TeAllPoints!$I$2:$I$957,MATCH(Filter!B585,TeAllPoints!$B$2:$B$957,0)),'Pipe Table'!$A$2:$A$14,0))</f>
        <v>Intrcnnct</v>
      </c>
      <c r="E585" t="str">
        <f>INDEX('TE_OA_20200805_INTRDY_2020-08-0'!$H$2:$H$870,MATCH(Filter!B585,'TE_OA_20200805_INTRDY_2020-08-0'!$G$2:$G$870))</f>
        <v>Acadian/False River - Baton Rouge, LA</v>
      </c>
      <c r="F585" t="str">
        <f>INDEX('Pipe Table'!$H$2:$H$8,MATCH('TE_OA_20200805_INTRDY_2020-08-0'!I566,'Pipe Table'!$G$2:$G$8,0))</f>
        <v>TETCO-ELA</v>
      </c>
      <c r="G585" t="str">
        <f>INDEX(TeAllPoints!$D$2:$D$957,MATCH(Filter!B585,TeAllPoints!$B$2:$B$957,0))</f>
        <v>LA</v>
      </c>
      <c r="H585" t="str">
        <f>INDEX(TeAllPoints!$E$2:$E$957,MATCH(Filter!B585,TeAllPoints!$B$2:$B$957,0))</f>
        <v>WEST BATON ROUGE</v>
      </c>
      <c r="I585">
        <f>INDEX('TE_OA_20200805_INTRDY_2020-08-0'!$Q$2:$Q$870,MATCH(Filter!B585,'TE_OA_20200805_INTRDY_2020-08-0'!$G$2:$G$870))</f>
        <v>64691</v>
      </c>
      <c r="J585">
        <f>INDEX('TE_OA_20200805_INTRDY_2020-08-0'!$R$2:$R$870,MATCH(Filter!B585,'TE_OA_20200805_INTRDY_2020-08-0'!$G$2:$G$870))</f>
        <v>5000</v>
      </c>
    </row>
    <row r="586" spans="1:10" x14ac:dyDescent="0.25">
      <c r="A586" t="str">
        <f>INDEX('Pipe Table'!$E$2:$E$10,MATCH(INDEX('TE_OA_20200805_INTRDY_2020-08-0'!$T$2:$T$870,MATCH(Filter!B586,'TE_OA_20200805_INTRDY_2020-08-0'!$G$2:$G$870,0)),'Pipe Table'!$D$2:$D$10,0))</f>
        <v>TETCO</v>
      </c>
      <c r="B586">
        <v>73632</v>
      </c>
      <c r="C586" t="str">
        <f>INDEX('TE_OA_20200805_INTRDY_2020-08-0'!$J$2:$J$870,MATCH(Filter!B586,'TE_OA_20200805_INTRDY_2020-08-0'!$G$2:$G$870))</f>
        <v>Receipt</v>
      </c>
      <c r="D586" t="str">
        <f>INDEX('Pipe Table'!$B$2:$B$14,MATCH(INDEX(TeAllPoints!$I$2:$I$957,MATCH(Filter!B586,TeAllPoints!$B$2:$B$957,0)),'Pipe Table'!$A$2:$A$14,0))</f>
        <v>Wellhead</v>
      </c>
      <c r="E586" t="str">
        <f>INDEX('TE_OA_20200805_INTRDY_2020-08-0'!$H$2:$H$870,MATCH(Filter!B586,'TE_OA_20200805_INTRDY_2020-08-0'!$G$2:$G$870))</f>
        <v>Fieldwood Energy</v>
      </c>
      <c r="F586" t="str">
        <f>INDEX('Pipe Table'!$H$2:$H$8,MATCH('TE_OA_20200805_INTRDY_2020-08-0'!I567,'Pipe Table'!$G$2:$G$8,0))</f>
        <v>TETCO-WLA</v>
      </c>
      <c r="G586" t="str">
        <f>INDEX(TeAllPoints!$D$2:$D$957,MATCH(Filter!B586,TeAllPoints!$B$2:$B$957,0))</f>
        <v>OF</v>
      </c>
      <c r="H586" t="str">
        <f>INDEX(TeAllPoints!$E$2:$E$957,MATCH(Filter!B586,TeAllPoints!$B$2:$B$957,0))</f>
        <v>EAST CAMERON</v>
      </c>
      <c r="I586">
        <f>INDEX('TE_OA_20200805_INTRDY_2020-08-0'!$Q$2:$Q$870,MATCH(Filter!B586,'TE_OA_20200805_INTRDY_2020-08-0'!$G$2:$G$870))</f>
        <v>87307</v>
      </c>
      <c r="J586">
        <f>INDEX('TE_OA_20200805_INTRDY_2020-08-0'!$R$2:$R$870,MATCH(Filter!B586,'TE_OA_20200805_INTRDY_2020-08-0'!$G$2:$G$870))</f>
        <v>0</v>
      </c>
    </row>
    <row r="587" spans="1:10" x14ac:dyDescent="0.25">
      <c r="A587" t="str">
        <f>INDEX('Pipe Table'!$E$2:$E$10,MATCH(INDEX('TE_OA_20200805_INTRDY_2020-08-0'!$T$2:$T$870,MATCH(Filter!B587,'TE_OA_20200805_INTRDY_2020-08-0'!$G$2:$G$870,0)),'Pipe Table'!$D$2:$D$10,0))</f>
        <v>TETCO</v>
      </c>
      <c r="B587">
        <v>73633</v>
      </c>
      <c r="C587" t="str">
        <f>INDEX('TE_OA_20200805_INTRDY_2020-08-0'!$J$2:$J$870,MATCH(Filter!B587,'TE_OA_20200805_INTRDY_2020-08-0'!$G$2:$G$870))</f>
        <v>Receipt</v>
      </c>
      <c r="D587" t="str">
        <f>INDEX('Pipe Table'!$B$2:$B$14,MATCH(INDEX(TeAllPoints!$I$2:$I$957,MATCH(Filter!B587,TeAllPoints!$B$2:$B$957,0)),'Pipe Table'!$A$2:$A$14,0))</f>
        <v>Wellhead</v>
      </c>
      <c r="E587" t="str">
        <f>INDEX('TE_OA_20200805_INTRDY_2020-08-0'!$H$2:$H$870,MATCH(Filter!B587,'TE_OA_20200805_INTRDY_2020-08-0'!$G$2:$G$870))</f>
        <v>Sawtooth Oil and Gas/Biggs Gathering Receipt</v>
      </c>
      <c r="F587" t="str">
        <f>INDEX('Pipe Table'!$H$2:$H$8,MATCH('TE_OA_20200805_INTRDY_2020-08-0'!I568,'Pipe Table'!$G$2:$G$8,0))</f>
        <v>TETCO-STX</v>
      </c>
      <c r="G587" t="str">
        <f>INDEX(TeAllPoints!$D$2:$D$957,MATCH(Filter!B587,TeAllPoints!$B$2:$B$957,0))</f>
        <v>TX</v>
      </c>
      <c r="H587" t="str">
        <f>INDEX(TeAllPoints!$E$2:$E$957,MATCH(Filter!B587,TeAllPoints!$B$2:$B$957,0))</f>
        <v>CHAMBERS</v>
      </c>
      <c r="I587">
        <f>INDEX('TE_OA_20200805_INTRDY_2020-08-0'!$Q$2:$Q$870,MATCH(Filter!B587,'TE_OA_20200805_INTRDY_2020-08-0'!$G$2:$G$870))</f>
        <v>8601</v>
      </c>
      <c r="J587">
        <f>INDEX('TE_OA_20200805_INTRDY_2020-08-0'!$R$2:$R$870,MATCH(Filter!B587,'TE_OA_20200805_INTRDY_2020-08-0'!$G$2:$G$870))</f>
        <v>10</v>
      </c>
    </row>
    <row r="588" spans="1:10" x14ac:dyDescent="0.25">
      <c r="A588" t="str">
        <f>INDEX('Pipe Table'!$E$2:$E$10,MATCH(INDEX('TE_OA_20200805_INTRDY_2020-08-0'!$T$2:$T$870,MATCH(Filter!B588,'TE_OA_20200805_INTRDY_2020-08-0'!$G$2:$G$870,0)),'Pipe Table'!$D$2:$D$10,0))</f>
        <v>TETCO</v>
      </c>
      <c r="B588">
        <v>73636</v>
      </c>
      <c r="C588" t="str">
        <f>INDEX('TE_OA_20200805_INTRDY_2020-08-0'!$J$2:$J$870,MATCH(Filter!B588,'TE_OA_20200805_INTRDY_2020-08-0'!$G$2:$G$870))</f>
        <v>Receipt</v>
      </c>
      <c r="D588" t="str">
        <f>INDEX('Pipe Table'!$B$2:$B$14,MATCH(INDEX(TeAllPoints!$I$2:$I$957,MATCH(Filter!B588,TeAllPoints!$B$2:$B$957,0)),'Pipe Table'!$A$2:$A$14,0))</f>
        <v>Wellhead</v>
      </c>
      <c r="E588" t="str">
        <f>INDEX('TE_OA_20200805_INTRDY_2020-08-0'!$H$2:$H$870,MATCH(Filter!B588,'TE_OA_20200805_INTRDY_2020-08-0'!$G$2:$G$870))</f>
        <v>Sanchez Oil and Gas/Patman Gathering, Jackson Co., TX</v>
      </c>
      <c r="F588" t="str">
        <f>INDEX('Pipe Table'!$H$2:$H$8,MATCH('TE_OA_20200805_INTRDY_2020-08-0'!I569,'Pipe Table'!$G$2:$G$8,0))</f>
        <v>TETCO-STX</v>
      </c>
      <c r="G588" t="str">
        <f>INDEX(TeAllPoints!$D$2:$D$957,MATCH(Filter!B588,TeAllPoints!$B$2:$B$957,0))</f>
        <v>TX</v>
      </c>
      <c r="H588" t="str">
        <f>INDEX(TeAllPoints!$E$2:$E$957,MATCH(Filter!B588,TeAllPoints!$B$2:$B$957,0))</f>
        <v>JACKSON</v>
      </c>
      <c r="I588">
        <f>INDEX('TE_OA_20200805_INTRDY_2020-08-0'!$Q$2:$Q$870,MATCH(Filter!B588,'TE_OA_20200805_INTRDY_2020-08-0'!$G$2:$G$870))</f>
        <v>8601</v>
      </c>
      <c r="J588">
        <f>INDEX('TE_OA_20200805_INTRDY_2020-08-0'!$R$2:$R$870,MATCH(Filter!B588,'TE_OA_20200805_INTRDY_2020-08-0'!$G$2:$G$870))</f>
        <v>0</v>
      </c>
    </row>
    <row r="589" spans="1:10" x14ac:dyDescent="0.25">
      <c r="A589" t="str">
        <f>INDEX('Pipe Table'!$E$2:$E$10,MATCH(INDEX('TE_OA_20200805_INTRDY_2020-08-0'!$T$2:$T$870,MATCH(Filter!B589,'TE_OA_20200805_INTRDY_2020-08-0'!$G$2:$G$870,0)),'Pipe Table'!$D$2:$D$10,0))</f>
        <v>TETCO</v>
      </c>
      <c r="B589">
        <v>73637</v>
      </c>
      <c r="C589" t="str">
        <f>INDEX('TE_OA_20200805_INTRDY_2020-08-0'!$J$2:$J$870,MATCH(Filter!B589,'TE_OA_20200805_INTRDY_2020-08-0'!$G$2:$G$870))</f>
        <v>Receipt</v>
      </c>
      <c r="D589" t="e">
        <f>INDEX('Pipe Table'!$B$2:$B$14,MATCH(INDEX(TeAllPoints!$I$2:$I$957,MATCH(Filter!B589,TeAllPoints!$B$2:$B$957,0)),'Pipe Table'!$A$2:$A$14,0))</f>
        <v>#N/A</v>
      </c>
      <c r="E589" t="str">
        <f>INDEX('TE_OA_20200805_INTRDY_2020-08-0'!$H$2:$H$870,MATCH(Filter!B589,'TE_OA_20200805_INTRDY_2020-08-0'!$G$2:$G$870))</f>
        <v>Enerquest/Scott Gathering</v>
      </c>
      <c r="F589" t="str">
        <f>INDEX('Pipe Table'!$H$2:$H$8,MATCH('TE_OA_20200805_INTRDY_2020-08-0'!I570,'Pipe Table'!$G$2:$G$8,0))</f>
        <v>TETCO-ETX</v>
      </c>
      <c r="G589" t="e">
        <f>INDEX(TeAllPoints!$D$2:$D$957,MATCH(Filter!B589,TeAllPoints!$B$2:$B$957,0))</f>
        <v>#N/A</v>
      </c>
      <c r="H589" t="e">
        <f>INDEX(TeAllPoints!$E$2:$E$957,MATCH(Filter!B589,TeAllPoints!$B$2:$B$957,0))</f>
        <v>#N/A</v>
      </c>
      <c r="I589">
        <f>INDEX('TE_OA_20200805_INTRDY_2020-08-0'!$Q$2:$Q$870,MATCH(Filter!B589,'TE_OA_20200805_INTRDY_2020-08-0'!$G$2:$G$870))</f>
        <v>15901</v>
      </c>
      <c r="J589">
        <f>INDEX('TE_OA_20200805_INTRDY_2020-08-0'!$R$2:$R$870,MATCH(Filter!B589,'TE_OA_20200805_INTRDY_2020-08-0'!$G$2:$G$870))</f>
        <v>0</v>
      </c>
    </row>
    <row r="590" spans="1:10" x14ac:dyDescent="0.25">
      <c r="A590" t="str">
        <f>INDEX('Pipe Table'!$E$2:$E$10,MATCH(INDEX('TE_OA_20200805_INTRDY_2020-08-0'!$T$2:$T$870,MATCH(Filter!B590,'TE_OA_20200805_INTRDY_2020-08-0'!$G$2:$G$870,0)),'Pipe Table'!$D$2:$D$10,0))</f>
        <v>TETCO</v>
      </c>
      <c r="B590">
        <v>73639</v>
      </c>
      <c r="C590" t="str">
        <f>INDEX('TE_OA_20200805_INTRDY_2020-08-0'!$J$2:$J$870,MATCH(Filter!B590,'TE_OA_20200805_INTRDY_2020-08-0'!$G$2:$G$870))</f>
        <v>Receipt</v>
      </c>
      <c r="D590" t="str">
        <f>INDEX('Pipe Table'!$B$2:$B$14,MATCH(INDEX(TeAllPoints!$I$2:$I$957,MATCH(Filter!B590,TeAllPoints!$B$2:$B$957,0)),'Pipe Table'!$A$2:$A$14,0))</f>
        <v>Wellhead</v>
      </c>
      <c r="E590" t="str">
        <f>INDEX('TE_OA_20200805_INTRDY_2020-08-0'!$H$2:$H$870,MATCH(Filter!B590,'TE_OA_20200805_INTRDY_2020-08-0'!$G$2:$G$870))</f>
        <v>Southwestern Energy/Jebel Gathering</v>
      </c>
      <c r="F590" t="str">
        <f>INDEX('Pipe Table'!$H$2:$H$8,MATCH('TE_OA_20200805_INTRDY_2020-08-0'!I571,'Pipe Table'!$G$2:$G$8,0))</f>
        <v>TETCO-ETX</v>
      </c>
      <c r="G590" t="str">
        <f>INDEX(TeAllPoints!$D$2:$D$957,MATCH(Filter!B590,TeAllPoints!$B$2:$B$957,0))</f>
        <v>TX</v>
      </c>
      <c r="H590" t="str">
        <f>INDEX(TeAllPoints!$E$2:$E$957,MATCH(Filter!B590,TeAllPoints!$B$2:$B$957,0))</f>
        <v>SAN AUGUSTINE</v>
      </c>
      <c r="I590">
        <f>INDEX('TE_OA_20200805_INTRDY_2020-08-0'!$Q$2:$Q$870,MATCH(Filter!B590,'TE_OA_20200805_INTRDY_2020-08-0'!$G$2:$G$870))</f>
        <v>57648</v>
      </c>
      <c r="J590">
        <f>INDEX('TE_OA_20200805_INTRDY_2020-08-0'!$R$2:$R$870,MATCH(Filter!B590,'TE_OA_20200805_INTRDY_2020-08-0'!$G$2:$G$870))</f>
        <v>4580</v>
      </c>
    </row>
    <row r="591" spans="1:10" x14ac:dyDescent="0.25">
      <c r="A591" t="str">
        <f>INDEX('Pipe Table'!$E$2:$E$10,MATCH(INDEX('TE_OA_20200805_INTRDY_2020-08-0'!$T$2:$T$870,MATCH(Filter!B591,'TE_OA_20200805_INTRDY_2020-08-0'!$G$2:$G$870,0)),'Pipe Table'!$D$2:$D$10,0))</f>
        <v>TETCO</v>
      </c>
      <c r="B591">
        <v>73640</v>
      </c>
      <c r="C591" t="str">
        <f>INDEX('TE_OA_20200805_INTRDY_2020-08-0'!$J$2:$J$870,MATCH(Filter!B591,'TE_OA_20200805_INTRDY_2020-08-0'!$G$2:$G$870))</f>
        <v>Receipt</v>
      </c>
      <c r="D591" t="str">
        <f>INDEX('Pipe Table'!$B$2:$B$14,MATCH(INDEX(TeAllPoints!$I$2:$I$957,MATCH(Filter!B591,TeAllPoints!$B$2:$B$957,0)),'Pipe Table'!$A$2:$A$14,0))</f>
        <v>Wellhead</v>
      </c>
      <c r="E591" t="str">
        <f>INDEX('TE_OA_20200805_INTRDY_2020-08-0'!$H$2:$H$870,MATCH(Filter!B591,'TE_OA_20200805_INTRDY_2020-08-0'!$G$2:$G$870))</f>
        <v>XTO Energy/Barfield Ward Gathering</v>
      </c>
      <c r="F591" t="str">
        <f>INDEX('Pipe Table'!$H$2:$H$8,MATCH('TE_OA_20200805_INTRDY_2020-08-0'!I572,'Pipe Table'!$G$2:$G$8,0))</f>
        <v>TETCO-ETX</v>
      </c>
      <c r="G591" t="str">
        <f>INDEX(TeAllPoints!$D$2:$D$957,MATCH(Filter!B591,TeAllPoints!$B$2:$B$957,0))</f>
        <v>TX</v>
      </c>
      <c r="H591" t="str">
        <f>INDEX(TeAllPoints!$E$2:$E$957,MATCH(Filter!B591,TeAllPoints!$B$2:$B$957,0))</f>
        <v>NACOGDOCHES</v>
      </c>
      <c r="I591">
        <f>INDEX('TE_OA_20200805_INTRDY_2020-08-0'!$Q$2:$Q$870,MATCH(Filter!B591,'TE_OA_20200805_INTRDY_2020-08-0'!$G$2:$G$870))</f>
        <v>15901</v>
      </c>
      <c r="J591">
        <f>INDEX('TE_OA_20200805_INTRDY_2020-08-0'!$R$2:$R$870,MATCH(Filter!B591,'TE_OA_20200805_INTRDY_2020-08-0'!$G$2:$G$870))</f>
        <v>5420</v>
      </c>
    </row>
    <row r="592" spans="1:10" x14ac:dyDescent="0.25">
      <c r="A592" t="str">
        <f>INDEX('Pipe Table'!$E$2:$E$10,MATCH(INDEX('TE_OA_20200805_INTRDY_2020-08-0'!$T$2:$T$870,MATCH(Filter!B592,'TE_OA_20200805_INTRDY_2020-08-0'!$G$2:$G$870,0)),'Pipe Table'!$D$2:$D$10,0))</f>
        <v>TETCO</v>
      </c>
      <c r="B592">
        <v>73641</v>
      </c>
      <c r="C592" t="str">
        <f>INDEX('TE_OA_20200805_INTRDY_2020-08-0'!$J$2:$J$870,MATCH(Filter!B592,'TE_OA_20200805_INTRDY_2020-08-0'!$G$2:$G$870))</f>
        <v>Receipt</v>
      </c>
      <c r="D592" t="str">
        <f>INDEX('Pipe Table'!$B$2:$B$14,MATCH(INDEX(TeAllPoints!$I$2:$I$957,MATCH(Filter!B592,TeAllPoints!$B$2:$B$957,0)),'Pipe Table'!$A$2:$A$14,0))</f>
        <v>Wellhead</v>
      </c>
      <c r="E592" t="str">
        <f>INDEX('TE_OA_20200805_INTRDY_2020-08-0'!$H$2:$H$870,MATCH(Filter!B592,'TE_OA_20200805_INTRDY_2020-08-0'!$G$2:$G$870))</f>
        <v>Noble Energy-Harris Yates-Shelby Co., TX</v>
      </c>
      <c r="F592" t="str">
        <f>INDEX('Pipe Table'!$H$2:$H$8,MATCH('TE_OA_20200805_INTRDY_2020-08-0'!I573,'Pipe Table'!$G$2:$G$8,0))</f>
        <v>TETCO-ETX</v>
      </c>
      <c r="G592" t="str">
        <f>INDEX(TeAllPoints!$D$2:$D$957,MATCH(Filter!B592,TeAllPoints!$B$2:$B$957,0))</f>
        <v>TX</v>
      </c>
      <c r="H592" t="str">
        <f>INDEX(TeAllPoints!$E$2:$E$957,MATCH(Filter!B592,TeAllPoints!$B$2:$B$957,0))</f>
        <v>SHELBY</v>
      </c>
      <c r="I592">
        <f>INDEX('TE_OA_20200805_INTRDY_2020-08-0'!$Q$2:$Q$870,MATCH(Filter!B592,'TE_OA_20200805_INTRDY_2020-08-0'!$G$2:$G$870))</f>
        <v>15901</v>
      </c>
      <c r="J592">
        <f>INDEX('TE_OA_20200805_INTRDY_2020-08-0'!$R$2:$R$870,MATCH(Filter!B592,'TE_OA_20200805_INTRDY_2020-08-0'!$G$2:$G$870))</f>
        <v>200</v>
      </c>
    </row>
    <row r="593" spans="1:10" x14ac:dyDescent="0.25">
      <c r="A593" t="str">
        <f>INDEX('Pipe Table'!$E$2:$E$10,MATCH(INDEX('TE_OA_20200805_INTRDY_2020-08-0'!$T$2:$T$870,MATCH(Filter!B593,'TE_OA_20200805_INTRDY_2020-08-0'!$G$2:$G$870,0)),'Pipe Table'!$D$2:$D$10,0))</f>
        <v>TETCO</v>
      </c>
      <c r="B593">
        <v>73642</v>
      </c>
      <c r="C593" t="str">
        <f>INDEX('TE_OA_20200805_INTRDY_2020-08-0'!$J$2:$J$870,MATCH(Filter!B593,'TE_OA_20200805_INTRDY_2020-08-0'!$G$2:$G$870))</f>
        <v>Delivery</v>
      </c>
      <c r="D593" t="str">
        <f>INDEX('Pipe Table'!$B$2:$B$14,MATCH(INDEX(TeAllPoints!$I$2:$I$957,MATCH(Filter!B593,TeAllPoints!$B$2:$B$957,0)),'Pipe Table'!$A$2:$A$14,0))</f>
        <v>EndUsr</v>
      </c>
      <c r="E593" t="str">
        <f>INDEX('TE_OA_20200805_INTRDY_2020-08-0'!$H$2:$H$870,MATCH(Filter!B593,'TE_OA_20200805_INTRDY_2020-08-0'!$G$2:$G$870))</f>
        <v>ENI MC 365 Buy Back Meter</v>
      </c>
      <c r="F593" t="str">
        <f>INDEX('Pipe Table'!$H$2:$H$8,MATCH('TE_OA_20200805_INTRDY_2020-08-0'!I574,'Pipe Table'!$G$2:$G$8,0))</f>
        <v>TETCO-ELA</v>
      </c>
      <c r="G593" t="str">
        <f>INDEX(TeAllPoints!$D$2:$D$957,MATCH(Filter!B593,TeAllPoints!$B$2:$B$957,0))</f>
        <v>OF</v>
      </c>
      <c r="H593" t="str">
        <f>INDEX(TeAllPoints!$E$2:$E$957,MATCH(Filter!B593,TeAllPoints!$B$2:$B$957,0))</f>
        <v>SOUTH PASS</v>
      </c>
      <c r="I593">
        <f>INDEX('TE_OA_20200805_INTRDY_2020-08-0'!$Q$2:$Q$870,MATCH(Filter!B593,'TE_OA_20200805_INTRDY_2020-08-0'!$G$2:$G$870))</f>
        <v>4737</v>
      </c>
      <c r="J593">
        <f>INDEX('TE_OA_20200805_INTRDY_2020-08-0'!$R$2:$R$870,MATCH(Filter!B593,'TE_OA_20200805_INTRDY_2020-08-0'!$G$2:$G$870))</f>
        <v>0</v>
      </c>
    </row>
    <row r="594" spans="1:10" x14ac:dyDescent="0.25">
      <c r="A594" t="str">
        <f>INDEX('Pipe Table'!$E$2:$E$10,MATCH(INDEX('TE_OA_20200805_INTRDY_2020-08-0'!$T$2:$T$870,MATCH(Filter!B594,'TE_OA_20200805_INTRDY_2020-08-0'!$G$2:$G$870,0)),'Pipe Table'!$D$2:$D$10,0))</f>
        <v>TETCO</v>
      </c>
      <c r="B594">
        <v>73646</v>
      </c>
      <c r="C594" t="str">
        <f>INDEX('TE_OA_20200805_INTRDY_2020-08-0'!$J$2:$J$870,MATCH(Filter!B594,'TE_OA_20200805_INTRDY_2020-08-0'!$G$2:$G$870))</f>
        <v>Receipt</v>
      </c>
      <c r="D594" t="str">
        <f>INDEX('Pipe Table'!$B$2:$B$14,MATCH(INDEX(TeAllPoints!$I$2:$I$957,MATCH(Filter!B594,TeAllPoints!$B$2:$B$957,0)),'Pipe Table'!$A$2:$A$14,0))</f>
        <v>Wellhead</v>
      </c>
      <c r="E594" t="str">
        <f>INDEX('TE_OA_20200805_INTRDY_2020-08-0'!$H$2:$H$870,MATCH(Filter!B594,'TE_OA_20200805_INTRDY_2020-08-0'!$G$2:$G$870))</f>
        <v>Arena Offshore, LP -EC 328</v>
      </c>
      <c r="F594" t="str">
        <f>INDEX('Pipe Table'!$H$2:$H$8,MATCH('TE_OA_20200805_INTRDY_2020-08-0'!I575,'Pipe Table'!$G$2:$G$8,0))</f>
        <v>TETCO-WLA</v>
      </c>
      <c r="G594" t="str">
        <f>INDEX(TeAllPoints!$D$2:$D$957,MATCH(Filter!B594,TeAllPoints!$B$2:$B$957,0))</f>
        <v>OF</v>
      </c>
      <c r="H594" t="str">
        <f>INDEX(TeAllPoints!$E$2:$E$957,MATCH(Filter!B594,TeAllPoints!$B$2:$B$957,0))</f>
        <v>EAST CAMERON</v>
      </c>
      <c r="I594">
        <f>INDEX('TE_OA_20200805_INTRDY_2020-08-0'!$Q$2:$Q$870,MATCH(Filter!B594,'TE_OA_20200805_INTRDY_2020-08-0'!$G$2:$G$870))</f>
        <v>38864</v>
      </c>
      <c r="J594">
        <f>INDEX('TE_OA_20200805_INTRDY_2020-08-0'!$R$2:$R$870,MATCH(Filter!B594,'TE_OA_20200805_INTRDY_2020-08-0'!$G$2:$G$870))</f>
        <v>0</v>
      </c>
    </row>
    <row r="595" spans="1:10" x14ac:dyDescent="0.25">
      <c r="A595" t="str">
        <f>INDEX('Pipe Table'!$E$2:$E$10,MATCH(INDEX('TE_OA_20200805_INTRDY_2020-08-0'!$T$2:$T$870,MATCH(Filter!B595,'TE_OA_20200805_INTRDY_2020-08-0'!$G$2:$G$870,0)),'Pipe Table'!$D$2:$D$10,0))</f>
        <v>TETCO</v>
      </c>
      <c r="B595">
        <v>73649</v>
      </c>
      <c r="C595" t="str">
        <f>INDEX('TE_OA_20200805_INTRDY_2020-08-0'!$J$2:$J$870,MATCH(Filter!B595,'TE_OA_20200805_INTRDY_2020-08-0'!$G$2:$G$870))</f>
        <v>Receipt</v>
      </c>
      <c r="D595" t="str">
        <f>INDEX('Pipe Table'!$B$2:$B$14,MATCH(INDEX(TeAllPoints!$I$2:$I$957,MATCH(Filter!B595,TeAllPoints!$B$2:$B$957,0)),'Pipe Table'!$A$2:$A$14,0))</f>
        <v>Wellhead</v>
      </c>
      <c r="E595" t="str">
        <f>INDEX('TE_OA_20200805_INTRDY_2020-08-0'!$H$2:$H$870,MATCH(Filter!B595,'TE_OA_20200805_INTRDY_2020-08-0'!$G$2:$G$870))</f>
        <v>Access Midstream/Carzenava Gathering</v>
      </c>
      <c r="F595" t="str">
        <f>INDEX('Pipe Table'!$H$2:$H$8,MATCH('TE_OA_20200805_INTRDY_2020-08-0'!I576,'Pipe Table'!$G$2:$G$8,0))</f>
        <v>TETCO-ETX</v>
      </c>
      <c r="G595" t="str">
        <f>INDEX(TeAllPoints!$D$2:$D$957,MATCH(Filter!B595,TeAllPoints!$B$2:$B$957,0))</f>
        <v>TX</v>
      </c>
      <c r="H595" t="str">
        <f>INDEX(TeAllPoints!$E$2:$E$957,MATCH(Filter!B595,TeAllPoints!$B$2:$B$957,0))</f>
        <v>SHELBY</v>
      </c>
      <c r="I595">
        <f>INDEX('TE_OA_20200805_INTRDY_2020-08-0'!$Q$2:$Q$870,MATCH(Filter!B595,'TE_OA_20200805_INTRDY_2020-08-0'!$G$2:$G$870))</f>
        <v>35721</v>
      </c>
      <c r="J595">
        <f>INDEX('TE_OA_20200805_INTRDY_2020-08-0'!$R$2:$R$870,MATCH(Filter!B595,'TE_OA_20200805_INTRDY_2020-08-0'!$G$2:$G$870))</f>
        <v>50</v>
      </c>
    </row>
    <row r="596" spans="1:10" x14ac:dyDescent="0.25">
      <c r="A596" t="str">
        <f>INDEX('Pipe Table'!$E$2:$E$10,MATCH(INDEX('TE_OA_20200805_INTRDY_2020-08-0'!$T$2:$T$870,MATCH(Filter!B596,'TE_OA_20200805_INTRDY_2020-08-0'!$G$2:$G$870,0)),'Pipe Table'!$D$2:$D$10,0))</f>
        <v>TETCO</v>
      </c>
      <c r="B596">
        <v>73650</v>
      </c>
      <c r="C596" t="str">
        <f>INDEX('TE_OA_20200805_INTRDY_2020-08-0'!$J$2:$J$870,MATCH(Filter!B596,'TE_OA_20200805_INTRDY_2020-08-0'!$G$2:$G$870))</f>
        <v>Receipt</v>
      </c>
      <c r="D596" t="str">
        <f>INDEX('Pipe Table'!$B$2:$B$14,MATCH(INDEX(TeAllPoints!$I$2:$I$957,MATCH(Filter!B596,TeAllPoints!$B$2:$B$957,0)),'Pipe Table'!$A$2:$A$14,0))</f>
        <v>Wellhead</v>
      </c>
      <c r="E596" t="str">
        <f>INDEX('TE_OA_20200805_INTRDY_2020-08-0'!$H$2:$H$870,MATCH(Filter!B596,'TE_OA_20200805_INTRDY_2020-08-0'!$G$2:$G$870))</f>
        <v>XTO Energy - Mill Run / Stewarton Raod, Fayette, PA.</v>
      </c>
      <c r="F596" t="str">
        <f>INDEX('Pipe Table'!$H$2:$H$8,MATCH('TE_OA_20200805_INTRDY_2020-08-0'!I577,'Pipe Table'!$G$2:$G$8,0))</f>
        <v>TETCO-M2</v>
      </c>
      <c r="G596" t="str">
        <f>INDEX(TeAllPoints!$D$2:$D$957,MATCH(Filter!B596,TeAllPoints!$B$2:$B$957,0))</f>
        <v>PA</v>
      </c>
      <c r="H596" t="str">
        <f>INDEX(TeAllPoints!$E$2:$E$957,MATCH(Filter!B596,TeAllPoints!$B$2:$B$957,0))</f>
        <v>FAYETTE</v>
      </c>
      <c r="I596">
        <f>INDEX('TE_OA_20200805_INTRDY_2020-08-0'!$Q$2:$Q$870,MATCH(Filter!B596,'TE_OA_20200805_INTRDY_2020-08-0'!$G$2:$G$870))</f>
        <v>36835</v>
      </c>
      <c r="J596">
        <f>INDEX('TE_OA_20200805_INTRDY_2020-08-0'!$R$2:$R$870,MATCH(Filter!B596,'TE_OA_20200805_INTRDY_2020-08-0'!$G$2:$G$870))</f>
        <v>1</v>
      </c>
    </row>
    <row r="597" spans="1:10" x14ac:dyDescent="0.25">
      <c r="A597" t="str">
        <f>INDEX('Pipe Table'!$E$2:$E$10,MATCH(INDEX('TE_OA_20200805_INTRDY_2020-08-0'!$T$2:$T$870,MATCH(Filter!B597,'TE_OA_20200805_INTRDY_2020-08-0'!$G$2:$G$870,0)),'Pipe Table'!$D$2:$D$10,0))</f>
        <v>TETCO</v>
      </c>
      <c r="B597">
        <v>73651</v>
      </c>
      <c r="C597" t="str">
        <f>INDEX('TE_OA_20200805_INTRDY_2020-08-0'!$J$2:$J$870,MATCH(Filter!B597,'TE_OA_20200805_INTRDY_2020-08-0'!$G$2:$G$870))</f>
        <v>Receipt</v>
      </c>
      <c r="D597" t="str">
        <f>INDEX('Pipe Table'!$B$2:$B$14,MATCH(INDEX(TeAllPoints!$I$2:$I$957,MATCH(Filter!B597,TeAllPoints!$B$2:$B$957,0)),'Pipe Table'!$A$2:$A$14,0))</f>
        <v>Wellhead</v>
      </c>
      <c r="E597" t="str">
        <f>INDEX('TE_OA_20200805_INTRDY_2020-08-0'!$H$2:$H$870,MATCH(Filter!B597,'TE_OA_20200805_INTRDY_2020-08-0'!$G$2:$G$870))</f>
        <v>Samson Menhorne, Somerset CO., PA</v>
      </c>
      <c r="F597" t="str">
        <f>INDEX('Pipe Table'!$H$2:$H$8,MATCH('TE_OA_20200805_INTRDY_2020-08-0'!I578,'Pipe Table'!$G$2:$G$8,0))</f>
        <v>TETCO-M3</v>
      </c>
      <c r="G597" t="str">
        <f>INDEX(TeAllPoints!$D$2:$D$957,MATCH(Filter!B597,TeAllPoints!$B$2:$B$957,0))</f>
        <v>PA</v>
      </c>
      <c r="H597" t="str">
        <f>INDEX(TeAllPoints!$E$2:$E$957,MATCH(Filter!B597,TeAllPoints!$B$2:$B$957,0))</f>
        <v>SOMERSET</v>
      </c>
      <c r="I597">
        <f>INDEX('TE_OA_20200805_INTRDY_2020-08-0'!$Q$2:$Q$870,MATCH(Filter!B597,'TE_OA_20200805_INTRDY_2020-08-0'!$G$2:$G$870))</f>
        <v>33183</v>
      </c>
      <c r="J597">
        <f>INDEX('TE_OA_20200805_INTRDY_2020-08-0'!$R$2:$R$870,MATCH(Filter!B597,'TE_OA_20200805_INTRDY_2020-08-0'!$G$2:$G$870))</f>
        <v>0</v>
      </c>
    </row>
    <row r="598" spans="1:10" x14ac:dyDescent="0.25">
      <c r="A598" t="str">
        <f>INDEX('Pipe Table'!$E$2:$E$10,MATCH(INDEX('TE_OA_20200805_INTRDY_2020-08-0'!$T$2:$T$870,MATCH(Filter!B598,'TE_OA_20200805_INTRDY_2020-08-0'!$G$2:$G$870,0)),'Pipe Table'!$D$2:$D$10,0))</f>
        <v>TETCO</v>
      </c>
      <c r="B598">
        <v>73652</v>
      </c>
      <c r="C598" t="str">
        <f>INDEX('TE_OA_20200805_INTRDY_2020-08-0'!$J$2:$J$870,MATCH(Filter!B598,'TE_OA_20200805_INTRDY_2020-08-0'!$G$2:$G$870))</f>
        <v>Receipt</v>
      </c>
      <c r="D598" t="str">
        <f>INDEX('Pipe Table'!$B$2:$B$14,MATCH(INDEX(TeAllPoints!$I$2:$I$957,MATCH(Filter!B598,TeAllPoints!$B$2:$B$957,0)),'Pipe Table'!$A$2:$A$14,0))</f>
        <v>Wellhead</v>
      </c>
      <c r="E598" t="str">
        <f>INDEX('TE_OA_20200805_INTRDY_2020-08-0'!$H$2:$H$870,MATCH(Filter!B598,'TE_OA_20200805_INTRDY_2020-08-0'!$G$2:$G$870))</f>
        <v>Sheridan Holding Company III,LLC-Warr Gathering</v>
      </c>
      <c r="F598" t="str">
        <f>INDEX('Pipe Table'!$H$2:$H$8,MATCH('TE_OA_20200805_INTRDY_2020-08-0'!I579,'Pipe Table'!$G$2:$G$8,0))</f>
        <v>TETCO-ETX</v>
      </c>
      <c r="G598" t="str">
        <f>INDEX(TeAllPoints!$D$2:$D$957,MATCH(Filter!B598,TeAllPoints!$B$2:$B$957,0))</f>
        <v>TX</v>
      </c>
      <c r="H598" t="str">
        <f>INDEX(TeAllPoints!$E$2:$E$957,MATCH(Filter!B598,TeAllPoints!$B$2:$B$957,0))</f>
        <v>SHELBY</v>
      </c>
      <c r="I598">
        <f>INDEX('TE_OA_20200805_INTRDY_2020-08-0'!$Q$2:$Q$870,MATCH(Filter!B598,'TE_OA_20200805_INTRDY_2020-08-0'!$G$2:$G$870))</f>
        <v>15901</v>
      </c>
      <c r="J598">
        <f>INDEX('TE_OA_20200805_INTRDY_2020-08-0'!$R$2:$R$870,MATCH(Filter!B598,'TE_OA_20200805_INTRDY_2020-08-0'!$G$2:$G$870))</f>
        <v>60</v>
      </c>
    </row>
    <row r="599" spans="1:10" x14ac:dyDescent="0.25">
      <c r="A599" t="str">
        <f>INDEX('Pipe Table'!$E$2:$E$10,MATCH(INDEX('TE_OA_20200805_INTRDY_2020-08-0'!$T$2:$T$870,MATCH(Filter!B599,'TE_OA_20200805_INTRDY_2020-08-0'!$G$2:$G$870,0)),'Pipe Table'!$D$2:$D$10,0))</f>
        <v>TETCO</v>
      </c>
      <c r="B599">
        <v>73653</v>
      </c>
      <c r="C599" t="str">
        <f>INDEX('TE_OA_20200805_INTRDY_2020-08-0'!$J$2:$J$870,MATCH(Filter!B599,'TE_OA_20200805_INTRDY_2020-08-0'!$G$2:$G$870))</f>
        <v>Delivery</v>
      </c>
      <c r="D599" t="str">
        <f>INDEX('Pipe Table'!$B$2:$B$14,MATCH(INDEX(TeAllPoints!$I$2:$I$957,MATCH(Filter!B599,TeAllPoints!$B$2:$B$957,0)),'Pipe Table'!$A$2:$A$14,0))</f>
        <v>EndUsr</v>
      </c>
      <c r="E599" t="str">
        <f>INDEX('TE_OA_20200805_INTRDY_2020-08-0'!$H$2:$H$870,MATCH(Filter!B599,'TE_OA_20200805_INTRDY_2020-08-0'!$G$2:$G$870))</f>
        <v>TEPPCO/Beaumont Vapor Recovery</v>
      </c>
      <c r="F599" t="str">
        <f>INDEX('Pipe Table'!$H$2:$H$8,MATCH('TE_OA_20200805_INTRDY_2020-08-0'!I580,'Pipe Table'!$G$2:$G$8,0))</f>
        <v>TETCO-STX</v>
      </c>
      <c r="G599" t="str">
        <f>INDEX(TeAllPoints!$D$2:$D$957,MATCH(Filter!B599,TeAllPoints!$B$2:$B$957,0))</f>
        <v>TX</v>
      </c>
      <c r="H599" t="str">
        <f>INDEX(TeAllPoints!$E$2:$E$957,MATCH(Filter!B599,TeAllPoints!$B$2:$B$957,0))</f>
        <v>JEFFERSON</v>
      </c>
      <c r="I599">
        <f>INDEX('TE_OA_20200805_INTRDY_2020-08-0'!$Q$2:$Q$870,MATCH(Filter!B599,'TE_OA_20200805_INTRDY_2020-08-0'!$G$2:$G$870))</f>
        <v>6514</v>
      </c>
      <c r="J599">
        <f>INDEX('TE_OA_20200805_INTRDY_2020-08-0'!$R$2:$R$870,MATCH(Filter!B599,'TE_OA_20200805_INTRDY_2020-08-0'!$G$2:$G$870))</f>
        <v>1</v>
      </c>
    </row>
    <row r="600" spans="1:10" x14ac:dyDescent="0.25">
      <c r="A600" t="str">
        <f>INDEX('Pipe Table'!$E$2:$E$10,MATCH(INDEX('TE_OA_20200805_INTRDY_2020-08-0'!$T$2:$T$870,MATCH(Filter!B600,'TE_OA_20200805_INTRDY_2020-08-0'!$G$2:$G$870,0)),'Pipe Table'!$D$2:$D$10,0))</f>
        <v>TETCO</v>
      </c>
      <c r="B600">
        <v>73654</v>
      </c>
      <c r="C600" t="str">
        <f>INDEX('TE_OA_20200805_INTRDY_2020-08-0'!$J$2:$J$870,MATCH(Filter!B600,'TE_OA_20200805_INTRDY_2020-08-0'!$G$2:$G$870))</f>
        <v>Receipt</v>
      </c>
      <c r="D600" t="str">
        <f>INDEX('Pipe Table'!$B$2:$B$14,MATCH(INDEX(TeAllPoints!$I$2:$I$957,MATCH(Filter!B600,TeAllPoints!$B$2:$B$957,0)),'Pipe Table'!$A$2:$A$14,0))</f>
        <v>Wellhead</v>
      </c>
      <c r="E600" t="str">
        <f>INDEX('TE_OA_20200805_INTRDY_2020-08-0'!$H$2:$H$870,MATCH(Filter!B600,'TE_OA_20200805_INTRDY_2020-08-0'!$G$2:$G$870))</f>
        <v>Fieldwood Energy - CA 43</v>
      </c>
      <c r="F600" t="str">
        <f>INDEX('Pipe Table'!$H$2:$H$8,MATCH('TE_OA_20200805_INTRDY_2020-08-0'!I581,'Pipe Table'!$G$2:$G$8,0))</f>
        <v>TETCO-ELA</v>
      </c>
      <c r="G600" t="str">
        <f>INDEX(TeAllPoints!$D$2:$D$957,MATCH(Filter!B600,TeAllPoints!$B$2:$B$957,0))</f>
        <v>OF</v>
      </c>
      <c r="H600" t="str">
        <f>INDEX(TeAllPoints!$E$2:$E$957,MATCH(Filter!B600,TeAllPoints!$B$2:$B$957,0))</f>
        <v>CHANDELEUR SOUND</v>
      </c>
      <c r="I600">
        <f>INDEX('TE_OA_20200805_INTRDY_2020-08-0'!$Q$2:$Q$870,MATCH(Filter!B600,'TE_OA_20200805_INTRDY_2020-08-0'!$G$2:$G$870))</f>
        <v>83503</v>
      </c>
      <c r="J600">
        <f>INDEX('TE_OA_20200805_INTRDY_2020-08-0'!$R$2:$R$870,MATCH(Filter!B600,'TE_OA_20200805_INTRDY_2020-08-0'!$G$2:$G$870))</f>
        <v>2100</v>
      </c>
    </row>
    <row r="601" spans="1:10" x14ac:dyDescent="0.25">
      <c r="A601" t="str">
        <f>INDEX('Pipe Table'!$E$2:$E$10,MATCH(INDEX('TE_OA_20200805_INTRDY_2020-08-0'!$T$2:$T$870,MATCH(Filter!B601,'TE_OA_20200805_INTRDY_2020-08-0'!$G$2:$G$870,0)),'Pipe Table'!$D$2:$D$10,0))</f>
        <v>TETCO</v>
      </c>
      <c r="B601">
        <v>73656</v>
      </c>
      <c r="C601" t="str">
        <f>INDEX('TE_OA_20200805_INTRDY_2020-08-0'!$J$2:$J$870,MATCH(Filter!B601,'TE_OA_20200805_INTRDY_2020-08-0'!$G$2:$G$870))</f>
        <v>Receipt</v>
      </c>
      <c r="D601" t="str">
        <f>INDEX('Pipe Table'!$B$2:$B$14,MATCH(INDEX(TeAllPoints!$I$2:$I$957,MATCH(Filter!B601,TeAllPoints!$B$2:$B$957,0)),'Pipe Table'!$A$2:$A$14,0))</f>
        <v>Wellhead</v>
      </c>
      <c r="E601" t="str">
        <f>INDEX('TE_OA_20200805_INTRDY_2020-08-0'!$H$2:$H$870,MATCH(Filter!B601,'TE_OA_20200805_INTRDY_2020-08-0'!$G$2:$G$870))</f>
        <v>Williams Ohio Valley Midstream LLC.-Gosney Hill Road, Marshall CO.</v>
      </c>
      <c r="F601" t="str">
        <f>INDEX('Pipe Table'!$H$2:$H$8,MATCH('TE_OA_20200805_INTRDY_2020-08-0'!I582,'Pipe Table'!$G$2:$G$8,0))</f>
        <v>TETCO-M2</v>
      </c>
      <c r="G601" t="str">
        <f>INDEX(TeAllPoints!$D$2:$D$957,MATCH(Filter!B601,TeAllPoints!$B$2:$B$957,0))</f>
        <v>WV</v>
      </c>
      <c r="H601" t="str">
        <f>INDEX(TeAllPoints!$E$2:$E$957,MATCH(Filter!B601,TeAllPoints!$B$2:$B$957,0))</f>
        <v>MARSHALL</v>
      </c>
      <c r="I601">
        <f>INDEX('TE_OA_20200805_INTRDY_2020-08-0'!$Q$2:$Q$870,MATCH(Filter!B601,'TE_OA_20200805_INTRDY_2020-08-0'!$G$2:$G$870))</f>
        <v>640159</v>
      </c>
      <c r="J601">
        <f>INDEX('TE_OA_20200805_INTRDY_2020-08-0'!$R$2:$R$870,MATCH(Filter!B601,'TE_OA_20200805_INTRDY_2020-08-0'!$G$2:$G$870))</f>
        <v>220032</v>
      </c>
    </row>
    <row r="602" spans="1:10" x14ac:dyDescent="0.25">
      <c r="A602" t="str">
        <f>INDEX('Pipe Table'!$E$2:$E$10,MATCH(INDEX('TE_OA_20200805_INTRDY_2020-08-0'!$T$2:$T$870,MATCH(Filter!B602,'TE_OA_20200805_INTRDY_2020-08-0'!$G$2:$G$870,0)),'Pipe Table'!$D$2:$D$10,0))</f>
        <v>TETCO</v>
      </c>
      <c r="B602">
        <v>73659</v>
      </c>
      <c r="C602" t="str">
        <f>INDEX('TE_OA_20200805_INTRDY_2020-08-0'!$J$2:$J$870,MATCH(Filter!B602,'TE_OA_20200805_INTRDY_2020-08-0'!$G$2:$G$870))</f>
        <v>Receipt</v>
      </c>
      <c r="D602" t="str">
        <f>INDEX('Pipe Table'!$B$2:$B$14,MATCH(INDEX(TeAllPoints!$I$2:$I$957,MATCH(Filter!B602,TeAllPoints!$B$2:$B$957,0)),'Pipe Table'!$A$2:$A$14,0))</f>
        <v>Wellhead</v>
      </c>
      <c r="E602" t="str">
        <f>INDEX('TE_OA_20200805_INTRDY_2020-08-0'!$H$2:$H$870,MATCH(Filter!B602,'TE_OA_20200805_INTRDY_2020-08-0'!$G$2:$G$870))</f>
        <v>Anadarko-Marsh Creek Trail - Centre, PA</v>
      </c>
      <c r="F602" t="str">
        <f>INDEX('Pipe Table'!$H$2:$H$8,MATCH('TE_OA_20200805_INTRDY_2020-08-0'!I583,'Pipe Table'!$G$2:$G$8,0))</f>
        <v>TETCO-M3</v>
      </c>
      <c r="G602" t="str">
        <f>INDEX(TeAllPoints!$D$2:$D$957,MATCH(Filter!B602,TeAllPoints!$B$2:$B$957,0))</f>
        <v>PA</v>
      </c>
      <c r="H602" t="str">
        <f>INDEX(TeAllPoints!$E$2:$E$957,MATCH(Filter!B602,TeAllPoints!$B$2:$B$957,0))</f>
        <v>CENTRE</v>
      </c>
      <c r="I602">
        <f>INDEX('TE_OA_20200805_INTRDY_2020-08-0'!$Q$2:$Q$870,MATCH(Filter!B602,'TE_OA_20200805_INTRDY_2020-08-0'!$G$2:$G$870))</f>
        <v>18067</v>
      </c>
      <c r="J602">
        <f>INDEX('TE_OA_20200805_INTRDY_2020-08-0'!$R$2:$R$870,MATCH(Filter!B602,'TE_OA_20200805_INTRDY_2020-08-0'!$G$2:$G$870))</f>
        <v>2000</v>
      </c>
    </row>
    <row r="603" spans="1:10" x14ac:dyDescent="0.25">
      <c r="A603" t="str">
        <f>INDEX('Pipe Table'!$E$2:$E$10,MATCH(INDEX('TE_OA_20200805_INTRDY_2020-08-0'!$T$2:$T$870,MATCH(Filter!B603,'TE_OA_20200805_INTRDY_2020-08-0'!$G$2:$G$870,0)),'Pipe Table'!$D$2:$D$10,0))</f>
        <v>TETCO</v>
      </c>
      <c r="B603">
        <v>73664</v>
      </c>
      <c r="C603" t="str">
        <f>INDEX('TE_OA_20200805_INTRDY_2020-08-0'!$J$2:$J$870,MATCH(Filter!B603,'TE_OA_20200805_INTRDY_2020-08-0'!$G$2:$G$870))</f>
        <v>Receipt</v>
      </c>
      <c r="D603" t="str">
        <f>INDEX('Pipe Table'!$B$2:$B$14,MATCH(INDEX(TeAllPoints!$I$2:$I$957,MATCH(Filter!B603,TeAllPoints!$B$2:$B$957,0)),'Pipe Table'!$A$2:$A$14,0))</f>
        <v>Wellhead</v>
      </c>
      <c r="E603" t="str">
        <f>INDEX('TE_OA_20200805_INTRDY_2020-08-0'!$H$2:$H$870,MATCH(Filter!B603,'TE_OA_20200805_INTRDY_2020-08-0'!$G$2:$G$870))</f>
        <v>Samson Charlton/Hillegass, Somerset CO., PA</v>
      </c>
      <c r="F603" t="str">
        <f>INDEX('Pipe Table'!$H$2:$H$8,MATCH('TE_OA_20200805_INTRDY_2020-08-0'!I584,'Pipe Table'!$G$2:$G$8,0))</f>
        <v>TETCO-M3</v>
      </c>
      <c r="G603" t="str">
        <f>INDEX(TeAllPoints!$D$2:$D$957,MATCH(Filter!B603,TeAllPoints!$B$2:$B$957,0))</f>
        <v>PA</v>
      </c>
      <c r="H603" t="str">
        <f>INDEX(TeAllPoints!$E$2:$E$957,MATCH(Filter!B603,TeAllPoints!$B$2:$B$957,0))</f>
        <v>SOMERSET</v>
      </c>
      <c r="I603">
        <f>INDEX('TE_OA_20200805_INTRDY_2020-08-0'!$Q$2:$Q$870,MATCH(Filter!B603,'TE_OA_20200805_INTRDY_2020-08-0'!$G$2:$G$870))</f>
        <v>34847</v>
      </c>
      <c r="J603">
        <f>INDEX('TE_OA_20200805_INTRDY_2020-08-0'!$R$2:$R$870,MATCH(Filter!B603,'TE_OA_20200805_INTRDY_2020-08-0'!$G$2:$G$870))</f>
        <v>0</v>
      </c>
    </row>
    <row r="604" spans="1:10" x14ac:dyDescent="0.25">
      <c r="A604" t="str">
        <f>INDEX('Pipe Table'!$E$2:$E$10,MATCH(INDEX('TE_OA_20200805_INTRDY_2020-08-0'!$T$2:$T$870,MATCH(Filter!B604,'TE_OA_20200805_INTRDY_2020-08-0'!$G$2:$G$870,0)),'Pipe Table'!$D$2:$D$10,0))</f>
        <v>TETCO</v>
      </c>
      <c r="B604">
        <v>73667</v>
      </c>
      <c r="C604" t="str">
        <f>INDEX('TE_OA_20200805_INTRDY_2020-08-0'!$J$2:$J$870,MATCH(Filter!B604,'TE_OA_20200805_INTRDY_2020-08-0'!$G$2:$G$870))</f>
        <v>Delivery</v>
      </c>
      <c r="D604" t="str">
        <f>INDEX('Pipe Table'!$B$2:$B$14,MATCH(INDEX(TeAllPoints!$I$2:$I$957,MATCH(Filter!B604,TeAllPoints!$B$2:$B$957,0)),'Pipe Table'!$A$2:$A$14,0))</f>
        <v>EndUsr</v>
      </c>
      <c r="E604" t="str">
        <f>INDEX('TE_OA_20200805_INTRDY_2020-08-0'!$H$2:$H$870,MATCH(Filter!B604,'TE_OA_20200805_INTRDY_2020-08-0'!$G$2:$G$870))</f>
        <v>Hot Spring Power Plant, Hot Spring Co, AR</v>
      </c>
      <c r="F604" t="str">
        <f>INDEX('Pipe Table'!$H$2:$H$8,MATCH('TE_OA_20200805_INTRDY_2020-08-0'!I585,'Pipe Table'!$G$2:$G$8,0))</f>
        <v>TETCO-ETX</v>
      </c>
      <c r="G604" t="str">
        <f>INDEX(TeAllPoints!$D$2:$D$957,MATCH(Filter!B604,TeAllPoints!$B$2:$B$957,0))</f>
        <v>AR</v>
      </c>
      <c r="H604" t="str">
        <f>INDEX(TeAllPoints!$E$2:$E$957,MATCH(Filter!B604,TeAllPoints!$B$2:$B$957,0))</f>
        <v>HOT SPRING</v>
      </c>
      <c r="I604">
        <f>INDEX('TE_OA_20200805_INTRDY_2020-08-0'!$Q$2:$Q$870,MATCH(Filter!B604,'TE_OA_20200805_INTRDY_2020-08-0'!$G$2:$G$870))</f>
        <v>226210</v>
      </c>
      <c r="J604">
        <f>INDEX('TE_OA_20200805_INTRDY_2020-08-0'!$R$2:$R$870,MATCH(Filter!B604,'TE_OA_20200805_INTRDY_2020-08-0'!$G$2:$G$870))</f>
        <v>0</v>
      </c>
    </row>
    <row r="605" spans="1:10" x14ac:dyDescent="0.25">
      <c r="A605" t="str">
        <f>INDEX('Pipe Table'!$E$2:$E$10,MATCH(INDEX('TE_OA_20200805_INTRDY_2020-08-0'!$T$2:$T$870,MATCH(Filter!B605,'TE_OA_20200805_INTRDY_2020-08-0'!$G$2:$G$870,0)),'Pipe Table'!$D$2:$D$10,0))</f>
        <v>TETCO</v>
      </c>
      <c r="B605">
        <v>73669</v>
      </c>
      <c r="C605" t="str">
        <f>INDEX('TE_OA_20200805_INTRDY_2020-08-0'!$J$2:$J$870,MATCH(Filter!B605,'TE_OA_20200805_INTRDY_2020-08-0'!$G$2:$G$870))</f>
        <v>Receipt</v>
      </c>
      <c r="D605" t="str">
        <f>INDEX('Pipe Table'!$B$2:$B$14,MATCH(INDEX(TeAllPoints!$I$2:$I$957,MATCH(Filter!B605,TeAllPoints!$B$2:$B$957,0)),'Pipe Table'!$A$2:$A$14,0))</f>
        <v>Wellhead</v>
      </c>
      <c r="E605" t="str">
        <f>INDEX('TE_OA_20200805_INTRDY_2020-08-0'!$H$2:$H$870,MATCH(Filter!B605,'TE_OA_20200805_INTRDY_2020-08-0'!$G$2:$G$870))</f>
        <v>Texana Operating/Massey Ferguson Gathering, San Jacinto Co., TX</v>
      </c>
      <c r="F605" t="str">
        <f>INDEX('Pipe Table'!$H$2:$H$8,MATCH('TE_OA_20200805_INTRDY_2020-08-0'!I586,'Pipe Table'!$G$2:$G$8,0))</f>
        <v>TETCO-STX</v>
      </c>
      <c r="G605" t="str">
        <f>INDEX(TeAllPoints!$D$2:$D$957,MATCH(Filter!B605,TeAllPoints!$B$2:$B$957,0))</f>
        <v>TX</v>
      </c>
      <c r="H605" t="str">
        <f>INDEX(TeAllPoints!$E$2:$E$957,MATCH(Filter!B605,TeAllPoints!$B$2:$B$957,0))</f>
        <v>SAN JACINTO</v>
      </c>
      <c r="I605">
        <f>INDEX('TE_OA_20200805_INTRDY_2020-08-0'!$Q$2:$Q$870,MATCH(Filter!B605,'TE_OA_20200805_INTRDY_2020-08-0'!$G$2:$G$870))</f>
        <v>3579</v>
      </c>
      <c r="J605">
        <f>INDEX('TE_OA_20200805_INTRDY_2020-08-0'!$R$2:$R$870,MATCH(Filter!B605,'TE_OA_20200805_INTRDY_2020-08-0'!$G$2:$G$870))</f>
        <v>10</v>
      </c>
    </row>
    <row r="606" spans="1:10" x14ac:dyDescent="0.25">
      <c r="A606" t="str">
        <f>INDEX('Pipe Table'!$E$2:$E$10,MATCH(INDEX('TE_OA_20200805_INTRDY_2020-08-0'!$T$2:$T$870,MATCH(Filter!B606,'TE_OA_20200805_INTRDY_2020-08-0'!$G$2:$G$870,0)),'Pipe Table'!$D$2:$D$10,0))</f>
        <v>TETCO</v>
      </c>
      <c r="B606">
        <v>73670</v>
      </c>
      <c r="C606" t="str">
        <f>INDEX('TE_OA_20200805_INTRDY_2020-08-0'!$J$2:$J$870,MATCH(Filter!B606,'TE_OA_20200805_INTRDY_2020-08-0'!$G$2:$G$870))</f>
        <v>Receipt</v>
      </c>
      <c r="D606" t="str">
        <f>INDEX('Pipe Table'!$B$2:$B$14,MATCH(INDEX(TeAllPoints!$I$2:$I$957,MATCH(Filter!B606,TeAllPoints!$B$2:$B$957,0)),'Pipe Table'!$A$2:$A$14,0))</f>
        <v>Wellhead</v>
      </c>
      <c r="E606" t="str">
        <f>INDEX('TE_OA_20200805_INTRDY_2020-08-0'!$H$2:$H$870,MATCH(Filter!B606,'TE_OA_20200805_INTRDY_2020-08-0'!$G$2:$G$870))</f>
        <v>Sheridan Holding Company III,LLC/King Williams, Shelby Co., TX</v>
      </c>
      <c r="F606" t="str">
        <f>INDEX('Pipe Table'!$H$2:$H$8,MATCH('TE_OA_20200805_INTRDY_2020-08-0'!I587,'Pipe Table'!$G$2:$G$8,0))</f>
        <v>TETCO-ETX</v>
      </c>
      <c r="G606" t="str">
        <f>INDEX(TeAllPoints!$D$2:$D$957,MATCH(Filter!B606,TeAllPoints!$B$2:$B$957,0))</f>
        <v>TX</v>
      </c>
      <c r="H606" t="str">
        <f>INDEX(TeAllPoints!$E$2:$E$957,MATCH(Filter!B606,TeAllPoints!$B$2:$B$957,0))</f>
        <v>SHELBY</v>
      </c>
      <c r="I606">
        <f>INDEX('TE_OA_20200805_INTRDY_2020-08-0'!$Q$2:$Q$870,MATCH(Filter!B606,'TE_OA_20200805_INTRDY_2020-08-0'!$G$2:$G$870))</f>
        <v>16347</v>
      </c>
      <c r="J606">
        <f>INDEX('TE_OA_20200805_INTRDY_2020-08-0'!$R$2:$R$870,MATCH(Filter!B606,'TE_OA_20200805_INTRDY_2020-08-0'!$G$2:$G$870))</f>
        <v>60</v>
      </c>
    </row>
    <row r="607" spans="1:10" x14ac:dyDescent="0.25">
      <c r="A607" t="str">
        <f>INDEX('Pipe Table'!$E$2:$E$10,MATCH(INDEX('TE_OA_20200805_INTRDY_2020-08-0'!$T$2:$T$870,MATCH(Filter!B607,'TE_OA_20200805_INTRDY_2020-08-0'!$G$2:$G$870,0)),'Pipe Table'!$D$2:$D$10,0))</f>
        <v>TETCO</v>
      </c>
      <c r="B607">
        <v>73671</v>
      </c>
      <c r="C607" t="str">
        <f>INDEX('TE_OA_20200805_INTRDY_2020-08-0'!$J$2:$J$870,MATCH(Filter!B607,'TE_OA_20200805_INTRDY_2020-08-0'!$G$2:$G$870))</f>
        <v>Receipt</v>
      </c>
      <c r="D607" t="str">
        <f>INDEX('Pipe Table'!$B$2:$B$14,MATCH(INDEX(TeAllPoints!$I$2:$I$957,MATCH(Filter!B607,TeAllPoints!$B$2:$B$957,0)),'Pipe Table'!$A$2:$A$14,0))</f>
        <v>Wellhead</v>
      </c>
      <c r="E607" t="str">
        <f>INDEX('TE_OA_20200805_INTRDY_2020-08-0'!$H$2:$H$870,MATCH(Filter!B607,'TE_OA_20200805_INTRDY_2020-08-0'!$G$2:$G$870))</f>
        <v>CNX Gas Co. LLC - McQuay, Locust Hill ll, Greene Co., PA</v>
      </c>
      <c r="F607" t="str">
        <f>INDEX('Pipe Table'!$H$2:$H$8,MATCH('TE_OA_20200805_INTRDY_2020-08-0'!I588,'Pipe Table'!$G$2:$G$8,0))</f>
        <v>TETCO-M2</v>
      </c>
      <c r="G607" t="str">
        <f>INDEX(TeAllPoints!$D$2:$D$957,MATCH(Filter!B607,TeAllPoints!$B$2:$B$957,0))</f>
        <v>PA</v>
      </c>
      <c r="H607" t="str">
        <f>INDEX(TeAllPoints!$E$2:$E$957,MATCH(Filter!B607,TeAllPoints!$B$2:$B$957,0))</f>
        <v>GREENE</v>
      </c>
      <c r="I607">
        <f>INDEX('TE_OA_20200805_INTRDY_2020-08-0'!$Q$2:$Q$870,MATCH(Filter!B607,'TE_OA_20200805_INTRDY_2020-08-0'!$G$2:$G$870))</f>
        <v>140169</v>
      </c>
      <c r="J607">
        <f>INDEX('TE_OA_20200805_INTRDY_2020-08-0'!$R$2:$R$870,MATCH(Filter!B607,'TE_OA_20200805_INTRDY_2020-08-0'!$G$2:$G$870))</f>
        <v>0</v>
      </c>
    </row>
    <row r="608" spans="1:10" x14ac:dyDescent="0.25">
      <c r="A608" t="str">
        <f>INDEX('Pipe Table'!$E$2:$E$10,MATCH(INDEX('TE_OA_20200805_INTRDY_2020-08-0'!$T$2:$T$870,MATCH(Filter!B608,'TE_OA_20200805_INTRDY_2020-08-0'!$G$2:$G$870,0)),'Pipe Table'!$D$2:$D$10,0))</f>
        <v>TETCO</v>
      </c>
      <c r="B608">
        <v>73672</v>
      </c>
      <c r="C608" t="str">
        <f>INDEX('TE_OA_20200805_INTRDY_2020-08-0'!$J$2:$J$870,MATCH(Filter!B608,'TE_OA_20200805_INTRDY_2020-08-0'!$G$2:$G$870))</f>
        <v>Receipt</v>
      </c>
      <c r="D608" t="str">
        <f>INDEX('Pipe Table'!$B$2:$B$14,MATCH(INDEX(TeAllPoints!$I$2:$I$957,MATCH(Filter!B608,TeAllPoints!$B$2:$B$957,0)),'Pipe Table'!$A$2:$A$14,0))</f>
        <v>Wellhead</v>
      </c>
      <c r="E608" t="str">
        <f>INDEX('TE_OA_20200805_INTRDY_2020-08-0'!$H$2:$H$870,MATCH(Filter!B608,'TE_OA_20200805_INTRDY_2020-08-0'!$G$2:$G$870))</f>
        <v>Energy Transfer/Tiger Pipeline Bienville, LA</v>
      </c>
      <c r="F608" t="str">
        <f>INDEX('Pipe Table'!$H$2:$H$8,MATCH('TE_OA_20200805_INTRDY_2020-08-0'!I589,'Pipe Table'!$G$2:$G$8,0))</f>
        <v>TETCO-ETX</v>
      </c>
      <c r="G608" t="str">
        <f>INDEX(TeAllPoints!$D$2:$D$957,MATCH(Filter!B608,TeAllPoints!$B$2:$B$957,0))</f>
        <v>LA</v>
      </c>
      <c r="H608" t="str">
        <f>INDEX(TeAllPoints!$E$2:$E$957,MATCH(Filter!B608,TeAllPoints!$B$2:$B$957,0))</f>
        <v>BIENVILLE</v>
      </c>
      <c r="I608">
        <f>INDEX('TE_OA_20200805_INTRDY_2020-08-0'!$Q$2:$Q$870,MATCH(Filter!B608,'TE_OA_20200805_INTRDY_2020-08-0'!$G$2:$G$870))</f>
        <v>155806</v>
      </c>
      <c r="J608">
        <f>INDEX('TE_OA_20200805_INTRDY_2020-08-0'!$R$2:$R$870,MATCH(Filter!B608,'TE_OA_20200805_INTRDY_2020-08-0'!$G$2:$G$870))</f>
        <v>20</v>
      </c>
    </row>
    <row r="609" spans="1:10" x14ac:dyDescent="0.25">
      <c r="A609" t="str">
        <f>INDEX('Pipe Table'!$E$2:$E$10,MATCH(INDEX('TE_OA_20200805_INTRDY_2020-08-0'!$T$2:$T$870,MATCH(Filter!B609,'TE_OA_20200805_INTRDY_2020-08-0'!$G$2:$G$870,0)),'Pipe Table'!$D$2:$D$10,0))</f>
        <v>TETCO</v>
      </c>
      <c r="B609">
        <v>73673</v>
      </c>
      <c r="C609" t="str">
        <f>INDEX('TE_OA_20200805_INTRDY_2020-08-0'!$J$2:$J$870,MATCH(Filter!B609,'TE_OA_20200805_INTRDY_2020-08-0'!$G$2:$G$870))</f>
        <v>Receipt</v>
      </c>
      <c r="D609" t="str">
        <f>INDEX('Pipe Table'!$B$2:$B$14,MATCH(INDEX(TeAllPoints!$I$2:$I$957,MATCH(Filter!B609,TeAllPoints!$B$2:$B$957,0)),'Pipe Table'!$A$2:$A$14,0))</f>
        <v>Wellhead</v>
      </c>
      <c r="E609" t="str">
        <f>INDEX('TE_OA_20200805_INTRDY_2020-08-0'!$H$2:$H$870,MATCH(Filter!B609,'TE_OA_20200805_INTRDY_2020-08-0'!$G$2:$G$870))</f>
        <v>Williams/Shamrock N. Salem Rd, Fayette Co., PA.</v>
      </c>
      <c r="F609" t="str">
        <f>INDEX('Pipe Table'!$H$2:$H$8,MATCH('TE_OA_20200805_INTRDY_2020-08-0'!I590,'Pipe Table'!$G$2:$G$8,0))</f>
        <v>TETCO-M2</v>
      </c>
      <c r="G609" t="str">
        <f>INDEX(TeAllPoints!$D$2:$D$957,MATCH(Filter!B609,TeAllPoints!$B$2:$B$957,0))</f>
        <v>PA</v>
      </c>
      <c r="H609" t="str">
        <f>INDEX(TeAllPoints!$E$2:$E$957,MATCH(Filter!B609,TeAllPoints!$B$2:$B$957,0))</f>
        <v>FAYETTE</v>
      </c>
      <c r="I609">
        <f>INDEX('TE_OA_20200805_INTRDY_2020-08-0'!$Q$2:$Q$870,MATCH(Filter!B609,'TE_OA_20200805_INTRDY_2020-08-0'!$G$2:$G$870))</f>
        <v>413049</v>
      </c>
      <c r="J609">
        <f>INDEX('TE_OA_20200805_INTRDY_2020-08-0'!$R$2:$R$870,MATCH(Filter!B609,'TE_OA_20200805_INTRDY_2020-08-0'!$G$2:$G$870))</f>
        <v>197918</v>
      </c>
    </row>
    <row r="610" spans="1:10" x14ac:dyDescent="0.25">
      <c r="A610" t="str">
        <f>INDEX('Pipe Table'!$E$2:$E$10,MATCH(INDEX('TE_OA_20200805_INTRDY_2020-08-0'!$T$2:$T$870,MATCH(Filter!B610,'TE_OA_20200805_INTRDY_2020-08-0'!$G$2:$G$870,0)),'Pipe Table'!$D$2:$D$10,0))</f>
        <v>TETCO</v>
      </c>
      <c r="B610">
        <v>73674</v>
      </c>
      <c r="C610" t="str">
        <f>INDEX('TE_OA_20200805_INTRDY_2020-08-0'!$J$2:$J$870,MATCH(Filter!B610,'TE_OA_20200805_INTRDY_2020-08-0'!$G$2:$G$870))</f>
        <v>Receipt</v>
      </c>
      <c r="D610" t="str">
        <f>INDEX('Pipe Table'!$B$2:$B$14,MATCH(INDEX(TeAllPoints!$I$2:$I$957,MATCH(Filter!B610,TeAllPoints!$B$2:$B$957,0)),'Pipe Table'!$A$2:$A$14,0))</f>
        <v>Wellhead</v>
      </c>
      <c r="E610" t="str">
        <f>INDEX('TE_OA_20200805_INTRDY_2020-08-0'!$H$2:$H$870,MATCH(Filter!B610,'TE_OA_20200805_INTRDY_2020-08-0'!$G$2:$G$870))</f>
        <v>Tarpon, WC 487, LAO</v>
      </c>
      <c r="F610" t="str">
        <f>INDEX('Pipe Table'!$H$2:$H$8,MATCH('TE_OA_20200805_INTRDY_2020-08-0'!I591,'Pipe Table'!$G$2:$G$8,0))</f>
        <v>TETCO-WLA</v>
      </c>
      <c r="G610" t="str">
        <f>INDEX(TeAllPoints!$D$2:$D$957,MATCH(Filter!B610,TeAllPoints!$B$2:$B$957,0))</f>
        <v>LA</v>
      </c>
      <c r="H610" t="str">
        <f>INDEX(TeAllPoints!$E$2:$E$957,MATCH(Filter!B610,TeAllPoints!$B$2:$B$957,0))</f>
        <v>WEST CAMERON</v>
      </c>
      <c r="I610">
        <f>INDEX('TE_OA_20200805_INTRDY_2020-08-0'!$Q$2:$Q$870,MATCH(Filter!B610,'TE_OA_20200805_INTRDY_2020-08-0'!$G$2:$G$870))</f>
        <v>76939</v>
      </c>
      <c r="J610">
        <f>INDEX('TE_OA_20200805_INTRDY_2020-08-0'!$R$2:$R$870,MATCH(Filter!B610,'TE_OA_20200805_INTRDY_2020-08-0'!$G$2:$G$870))</f>
        <v>0</v>
      </c>
    </row>
    <row r="611" spans="1:10" x14ac:dyDescent="0.25">
      <c r="A611" t="str">
        <f>INDEX('Pipe Table'!$E$2:$E$10,MATCH(INDEX('TE_OA_20200805_INTRDY_2020-08-0'!$T$2:$T$870,MATCH(Filter!B611,'TE_OA_20200805_INTRDY_2020-08-0'!$G$2:$G$870,0)),'Pipe Table'!$D$2:$D$10,0))</f>
        <v>TETCO</v>
      </c>
      <c r="B611">
        <v>73675</v>
      </c>
      <c r="C611" t="str">
        <f>INDEX('TE_OA_20200805_INTRDY_2020-08-0'!$J$2:$J$870,MATCH(Filter!B611,'TE_OA_20200805_INTRDY_2020-08-0'!$G$2:$G$870))</f>
        <v>Receipt</v>
      </c>
      <c r="D611" t="e">
        <f>INDEX('Pipe Table'!$B$2:$B$14,MATCH(INDEX(TeAllPoints!$I$2:$I$957,MATCH(Filter!B611,TeAllPoints!$B$2:$B$957,0)),'Pipe Table'!$A$2:$A$14,0))</f>
        <v>#N/A</v>
      </c>
      <c r="E611" t="str">
        <f>INDEX('TE_OA_20200805_INTRDY_2020-08-0'!$H$2:$H$870,MATCH(Filter!B611,'TE_OA_20200805_INTRDY_2020-08-0'!$G$2:$G$870))</f>
        <v>Kinder Morgan-Tejas/Petronilla Gathering</v>
      </c>
      <c r="F611" t="str">
        <f>INDEX('Pipe Table'!$H$2:$H$8,MATCH('TE_OA_20200805_INTRDY_2020-08-0'!I592,'Pipe Table'!$G$2:$G$8,0))</f>
        <v>TETCO-STX</v>
      </c>
      <c r="G611" t="e">
        <f>INDEX(TeAllPoints!$D$2:$D$957,MATCH(Filter!B611,TeAllPoints!$B$2:$B$957,0))</f>
        <v>#N/A</v>
      </c>
      <c r="H611" t="e">
        <f>INDEX(TeAllPoints!$E$2:$E$957,MATCH(Filter!B611,TeAllPoints!$B$2:$B$957,0))</f>
        <v>#N/A</v>
      </c>
      <c r="I611">
        <f>INDEX('TE_OA_20200805_INTRDY_2020-08-0'!$Q$2:$Q$870,MATCH(Filter!B611,'TE_OA_20200805_INTRDY_2020-08-0'!$G$2:$G$870))</f>
        <v>36697</v>
      </c>
      <c r="J611">
        <f>INDEX('TE_OA_20200805_INTRDY_2020-08-0'!$R$2:$R$870,MATCH(Filter!B611,'TE_OA_20200805_INTRDY_2020-08-0'!$G$2:$G$870))</f>
        <v>0</v>
      </c>
    </row>
    <row r="612" spans="1:10" x14ac:dyDescent="0.25">
      <c r="A612" t="str">
        <f>INDEX('Pipe Table'!$E$2:$E$10,MATCH(INDEX('TE_OA_20200805_INTRDY_2020-08-0'!$T$2:$T$870,MATCH(Filter!B612,'TE_OA_20200805_INTRDY_2020-08-0'!$G$2:$G$870,0)),'Pipe Table'!$D$2:$D$10,0))</f>
        <v>TETCO</v>
      </c>
      <c r="B612">
        <v>73677</v>
      </c>
      <c r="C612" t="str">
        <f>INDEX('TE_OA_20200805_INTRDY_2020-08-0'!$J$2:$J$870,MATCH(Filter!B612,'TE_OA_20200805_INTRDY_2020-08-0'!$G$2:$G$870))</f>
        <v>Delivery</v>
      </c>
      <c r="D612" t="str">
        <f>INDEX('Pipe Table'!$B$2:$B$14,MATCH(INDEX(TeAllPoints!$I$2:$I$957,MATCH(Filter!B612,TeAllPoints!$B$2:$B$957,0)),'Pipe Table'!$A$2:$A$14,0))</f>
        <v>Intrcnnct</v>
      </c>
      <c r="E612" t="str">
        <f>INDEX('TE_OA_20200805_INTRDY_2020-08-0'!$H$2:$H$870,MATCH(Filter!B612,'TE_OA_20200805_INTRDY_2020-08-0'!$G$2:$G$870))</f>
        <v>Eastern Shore Natural Gas Honeybrook - Lancaster County, PA</v>
      </c>
      <c r="F612" t="str">
        <f>INDEX('Pipe Table'!$H$2:$H$8,MATCH('TE_OA_20200805_INTRDY_2020-08-0'!I593,'Pipe Table'!$G$2:$G$8,0))</f>
        <v>TETCO-M3</v>
      </c>
      <c r="G612" t="str">
        <f>INDEX(TeAllPoints!$D$2:$D$957,MATCH(Filter!B612,TeAllPoints!$B$2:$B$957,0))</f>
        <v>PA</v>
      </c>
      <c r="H612" t="str">
        <f>INDEX(TeAllPoints!$E$2:$E$957,MATCH(Filter!B612,TeAllPoints!$B$2:$B$957,0))</f>
        <v>LANCASTER</v>
      </c>
      <c r="I612">
        <f>INDEX('TE_OA_20200805_INTRDY_2020-08-0'!$Q$2:$Q$870,MATCH(Filter!B612,'TE_OA_20200805_INTRDY_2020-08-0'!$G$2:$G$870))</f>
        <v>208500</v>
      </c>
      <c r="J612">
        <f>INDEX('TE_OA_20200805_INTRDY_2020-08-0'!$R$2:$R$870,MATCH(Filter!B612,'TE_OA_20200805_INTRDY_2020-08-0'!$G$2:$G$870))</f>
        <v>39344</v>
      </c>
    </row>
    <row r="613" spans="1:10" x14ac:dyDescent="0.25">
      <c r="A613" t="str">
        <f>INDEX('Pipe Table'!$E$2:$E$10,MATCH(INDEX('TE_OA_20200805_INTRDY_2020-08-0'!$T$2:$T$870,MATCH(Filter!B613,'TE_OA_20200805_INTRDY_2020-08-0'!$G$2:$G$870,0)),'Pipe Table'!$D$2:$D$10,0))</f>
        <v>TETCO</v>
      </c>
      <c r="B613">
        <v>73678</v>
      </c>
      <c r="C613" t="str">
        <f>INDEX('TE_OA_20200805_INTRDY_2020-08-0'!$J$2:$J$870,MATCH(Filter!B613,'TE_OA_20200805_INTRDY_2020-08-0'!$G$2:$G$870))</f>
        <v>Receipt</v>
      </c>
      <c r="D613" t="str">
        <f>INDEX('Pipe Table'!$B$2:$B$14,MATCH(INDEX(TeAllPoints!$I$2:$I$957,MATCH(Filter!B613,TeAllPoints!$B$2:$B$957,0)),'Pipe Table'!$A$2:$A$14,0))</f>
        <v>Intrcnnct</v>
      </c>
      <c r="E613" t="str">
        <f>INDEX('TE_OA_20200805_INTRDY_2020-08-0'!$H$2:$H$870,MATCH(Filter!B613,'TE_OA_20200805_INTRDY_2020-08-0'!$G$2:$G$870))</f>
        <v>Dominion Energy Transmission, Inc - Crooked Run, Westmoreland Co.,</v>
      </c>
      <c r="F613" t="str">
        <f>INDEX('Pipe Table'!$H$2:$H$8,MATCH('TE_OA_20200805_INTRDY_2020-08-0'!I594,'Pipe Table'!$G$2:$G$8,0))</f>
        <v>TETCO-M3</v>
      </c>
      <c r="G613" t="str">
        <f>INDEX(TeAllPoints!$D$2:$D$957,MATCH(Filter!B613,TeAllPoints!$B$2:$B$957,0))</f>
        <v>PA</v>
      </c>
      <c r="H613" t="str">
        <f>INDEX(TeAllPoints!$E$2:$E$957,MATCH(Filter!B613,TeAllPoints!$B$2:$B$957,0))</f>
        <v>WESTMORELAND</v>
      </c>
      <c r="I613">
        <f>INDEX('TE_OA_20200805_INTRDY_2020-08-0'!$Q$2:$Q$870,MATCH(Filter!B613,'TE_OA_20200805_INTRDY_2020-08-0'!$G$2:$G$870))</f>
        <v>280338</v>
      </c>
      <c r="J613">
        <f>INDEX('TE_OA_20200805_INTRDY_2020-08-0'!$R$2:$R$870,MATCH(Filter!B613,'TE_OA_20200805_INTRDY_2020-08-0'!$G$2:$G$870))</f>
        <v>13000</v>
      </c>
    </row>
    <row r="614" spans="1:10" x14ac:dyDescent="0.25">
      <c r="A614" t="str">
        <f>INDEX('Pipe Table'!$E$2:$E$10,MATCH(INDEX('TE_OA_20200805_INTRDY_2020-08-0'!$T$2:$T$870,MATCH(Filter!B614,'TE_OA_20200805_INTRDY_2020-08-0'!$G$2:$G$870,0)),'Pipe Table'!$D$2:$D$10,0))</f>
        <v>TETCO</v>
      </c>
      <c r="B614">
        <v>73679</v>
      </c>
      <c r="C614" t="str">
        <f>INDEX('TE_OA_20200805_INTRDY_2020-08-0'!$J$2:$J$870,MATCH(Filter!B614,'TE_OA_20200805_INTRDY_2020-08-0'!$G$2:$G$870))</f>
        <v>Receipt</v>
      </c>
      <c r="D614" t="str">
        <f>INDEX('Pipe Table'!$B$2:$B$14,MATCH(INDEX(TeAllPoints!$I$2:$I$957,MATCH(Filter!B614,TeAllPoints!$B$2:$B$957,0)),'Pipe Table'!$A$2:$A$14,0))</f>
        <v>Wellhead</v>
      </c>
      <c r="E614" t="str">
        <f>INDEX('TE_OA_20200805_INTRDY_2020-08-0'!$H$2:$H$870,MATCH(Filter!B614,'TE_OA_20200805_INTRDY_2020-08-0'!$G$2:$G$870))</f>
        <v>XTO Energy. - Elsie Adams #2 - PA.</v>
      </c>
      <c r="F614" t="str">
        <f>INDEX('Pipe Table'!$H$2:$H$8,MATCH('TE_OA_20200805_INTRDY_2020-08-0'!I595,'Pipe Table'!$G$2:$G$8,0))</f>
        <v>TETCO-M2</v>
      </c>
      <c r="G614" t="str">
        <f>INDEX(TeAllPoints!$D$2:$D$957,MATCH(Filter!B614,TeAllPoints!$B$2:$B$957,0))</f>
        <v>PA</v>
      </c>
      <c r="H614" t="str">
        <f>INDEX(TeAllPoints!$E$2:$E$957,MATCH(Filter!B614,TeAllPoints!$B$2:$B$957,0))</f>
        <v>FAYETTE</v>
      </c>
      <c r="I614">
        <f>INDEX('TE_OA_20200805_INTRDY_2020-08-0'!$Q$2:$Q$870,MATCH(Filter!B614,'TE_OA_20200805_INTRDY_2020-08-0'!$G$2:$G$870))</f>
        <v>36558</v>
      </c>
      <c r="J614">
        <f>INDEX('TE_OA_20200805_INTRDY_2020-08-0'!$R$2:$R$870,MATCH(Filter!B614,'TE_OA_20200805_INTRDY_2020-08-0'!$G$2:$G$870))</f>
        <v>4199</v>
      </c>
    </row>
    <row r="615" spans="1:10" x14ac:dyDescent="0.25">
      <c r="A615" t="str">
        <f>INDEX('Pipe Table'!$E$2:$E$10,MATCH(INDEX('TE_OA_20200805_INTRDY_2020-08-0'!$T$2:$T$870,MATCH(Filter!B615,'TE_OA_20200805_INTRDY_2020-08-0'!$G$2:$G$870,0)),'Pipe Table'!$D$2:$D$10,0))</f>
        <v>TETCO</v>
      </c>
      <c r="B615">
        <v>73684</v>
      </c>
      <c r="C615" t="str">
        <f>INDEX('TE_OA_20200805_INTRDY_2020-08-0'!$J$2:$J$870,MATCH(Filter!B615,'TE_OA_20200805_INTRDY_2020-08-0'!$G$2:$G$870))</f>
        <v>Delivery</v>
      </c>
      <c r="D615" t="str">
        <f>INDEX('Pipe Table'!$B$2:$B$14,MATCH(INDEX(TeAllPoints!$I$2:$I$957,MATCH(Filter!B615,TeAllPoints!$B$2:$B$957,0)),'Pipe Table'!$A$2:$A$14,0))</f>
        <v>Intrcnnct</v>
      </c>
      <c r="E615" t="str">
        <f>INDEX('TE_OA_20200805_INTRDY_2020-08-0'!$H$2:$H$870,MATCH(Filter!B615,'TE_OA_20200805_INTRDY_2020-08-0'!$G$2:$G$870))</f>
        <v>ETX-Enbridge/Wells Landing - Polk</v>
      </c>
      <c r="F615" t="str">
        <f>INDEX('Pipe Table'!$H$2:$H$8,MATCH('TE_OA_20200805_INTRDY_2020-08-0'!I596,'Pipe Table'!$G$2:$G$8,0))</f>
        <v>TETCO-ETX</v>
      </c>
      <c r="G615" t="str">
        <f>INDEX(TeAllPoints!$D$2:$D$957,MATCH(Filter!B615,TeAllPoints!$B$2:$B$957,0))</f>
        <v>TX</v>
      </c>
      <c r="H615" t="str">
        <f>INDEX(TeAllPoints!$E$2:$E$957,MATCH(Filter!B615,TeAllPoints!$B$2:$B$957,0))</f>
        <v>POLK</v>
      </c>
      <c r="I615">
        <f>INDEX('TE_OA_20200805_INTRDY_2020-08-0'!$Q$2:$Q$870,MATCH(Filter!B615,'TE_OA_20200805_INTRDY_2020-08-0'!$G$2:$G$870))</f>
        <v>204166</v>
      </c>
      <c r="J615">
        <f>INDEX('TE_OA_20200805_INTRDY_2020-08-0'!$R$2:$R$870,MATCH(Filter!B615,'TE_OA_20200805_INTRDY_2020-08-0'!$G$2:$G$870))</f>
        <v>0</v>
      </c>
    </row>
    <row r="616" spans="1:10" x14ac:dyDescent="0.25">
      <c r="A616" t="str">
        <f>INDEX('Pipe Table'!$E$2:$E$10,MATCH(INDEX('TE_OA_20200805_INTRDY_2020-08-0'!$T$2:$T$870,MATCH(Filter!B616,'TE_OA_20200805_INTRDY_2020-08-0'!$G$2:$G$870,0)),'Pipe Table'!$D$2:$D$10,0))</f>
        <v>TETCO</v>
      </c>
      <c r="B616">
        <v>73686</v>
      </c>
      <c r="C616" t="str">
        <f>INDEX('TE_OA_20200805_INTRDY_2020-08-0'!$J$2:$J$870,MATCH(Filter!B616,'TE_OA_20200805_INTRDY_2020-08-0'!$G$2:$G$870))</f>
        <v>Receipt</v>
      </c>
      <c r="D616" t="str">
        <f>INDEX('Pipe Table'!$B$2:$B$14,MATCH(INDEX(TeAllPoints!$I$2:$I$957,MATCH(Filter!B616,TeAllPoints!$B$2:$B$957,0)),'Pipe Table'!$A$2:$A$14,0))</f>
        <v>Intrcnnct</v>
      </c>
      <c r="E616" t="str">
        <f>INDEX('TE_OA_20200805_INTRDY_2020-08-0'!$H$2:$H$870,MATCH(Filter!B616,'TE_OA_20200805_INTRDY_2020-08-0'!$G$2:$G$870))</f>
        <v>ETX-Enbridge/Zider - Shelby</v>
      </c>
      <c r="F616" t="str">
        <f>INDEX('Pipe Table'!$H$2:$H$8,MATCH('TE_OA_20200805_INTRDY_2020-08-0'!I597,'Pipe Table'!$G$2:$G$8,0))</f>
        <v>TETCO-ETX</v>
      </c>
      <c r="G616" t="str">
        <f>INDEX(TeAllPoints!$D$2:$D$957,MATCH(Filter!B616,TeAllPoints!$B$2:$B$957,0))</f>
        <v>TX</v>
      </c>
      <c r="H616" t="str">
        <f>INDEX(TeAllPoints!$E$2:$E$957,MATCH(Filter!B616,TeAllPoints!$B$2:$B$957,0))</f>
        <v>SHELBY</v>
      </c>
      <c r="I616">
        <f>INDEX('TE_OA_20200805_INTRDY_2020-08-0'!$Q$2:$Q$870,MATCH(Filter!B616,'TE_OA_20200805_INTRDY_2020-08-0'!$G$2:$G$870))</f>
        <v>212915</v>
      </c>
      <c r="J616">
        <f>INDEX('TE_OA_20200805_INTRDY_2020-08-0'!$R$2:$R$870,MATCH(Filter!B616,'TE_OA_20200805_INTRDY_2020-08-0'!$G$2:$G$870))</f>
        <v>0</v>
      </c>
    </row>
    <row r="617" spans="1:10" x14ac:dyDescent="0.25">
      <c r="A617" t="str">
        <f>INDEX('Pipe Table'!$E$2:$E$10,MATCH(INDEX('TE_OA_20200805_INTRDY_2020-08-0'!$T$2:$T$870,MATCH(Filter!B617,'TE_OA_20200805_INTRDY_2020-08-0'!$G$2:$G$870,0)),'Pipe Table'!$D$2:$D$10,0))</f>
        <v>TETCO</v>
      </c>
      <c r="B617">
        <v>73688</v>
      </c>
      <c r="C617" t="str">
        <f>INDEX('TE_OA_20200805_INTRDY_2020-08-0'!$J$2:$J$870,MATCH(Filter!B617,'TE_OA_20200805_INTRDY_2020-08-0'!$G$2:$G$870))</f>
        <v>Receipt</v>
      </c>
      <c r="D617" t="str">
        <f>INDEX('Pipe Table'!$B$2:$B$14,MATCH(INDEX(TeAllPoints!$I$2:$I$957,MATCH(Filter!B617,TeAllPoints!$B$2:$B$957,0)),'Pipe Table'!$A$2:$A$14,0))</f>
        <v>Wellhead</v>
      </c>
      <c r="E617" t="str">
        <f>INDEX('TE_OA_20200805_INTRDY_2020-08-0'!$H$2:$H$870,MATCH(Filter!B617,'TE_OA_20200805_INTRDY_2020-08-0'!$G$2:$G$870))</f>
        <v>Rice Poseidon Midstream - Waynesburg</v>
      </c>
      <c r="F617" t="str">
        <f>INDEX('Pipe Table'!$H$2:$H$8,MATCH('TE_OA_20200805_INTRDY_2020-08-0'!I598,'Pipe Table'!$G$2:$G$8,0))</f>
        <v>TETCO-M2</v>
      </c>
      <c r="G617" t="str">
        <f>INDEX(TeAllPoints!$D$2:$D$957,MATCH(Filter!B617,TeAllPoints!$B$2:$B$957,0))</f>
        <v>PA</v>
      </c>
      <c r="H617" t="str">
        <f>INDEX(TeAllPoints!$E$2:$E$957,MATCH(Filter!B617,TeAllPoints!$B$2:$B$957,0))</f>
        <v>GREENE</v>
      </c>
      <c r="I617">
        <f>INDEX('TE_OA_20200805_INTRDY_2020-08-0'!$Q$2:$Q$870,MATCH(Filter!B617,'TE_OA_20200805_INTRDY_2020-08-0'!$G$2:$G$870))</f>
        <v>114000</v>
      </c>
      <c r="J617">
        <f>INDEX('TE_OA_20200805_INTRDY_2020-08-0'!$R$2:$R$870,MATCH(Filter!B617,'TE_OA_20200805_INTRDY_2020-08-0'!$G$2:$G$870))</f>
        <v>41000</v>
      </c>
    </row>
    <row r="618" spans="1:10" x14ac:dyDescent="0.25">
      <c r="A618" t="str">
        <f>INDEX('Pipe Table'!$E$2:$E$10,MATCH(INDEX('TE_OA_20200805_INTRDY_2020-08-0'!$T$2:$T$870,MATCH(Filter!B618,'TE_OA_20200805_INTRDY_2020-08-0'!$G$2:$G$870,0)),'Pipe Table'!$D$2:$D$10,0))</f>
        <v>TETCO</v>
      </c>
      <c r="B618">
        <v>73692</v>
      </c>
      <c r="C618" t="str">
        <f>INDEX('TE_OA_20200805_INTRDY_2020-08-0'!$J$2:$J$870,MATCH(Filter!B618,'TE_OA_20200805_INTRDY_2020-08-0'!$G$2:$G$870))</f>
        <v>Receipt</v>
      </c>
      <c r="D618" t="e">
        <f>INDEX('Pipe Table'!$B$2:$B$14,MATCH(INDEX(TeAllPoints!$I$2:$I$957,MATCH(Filter!B618,TeAllPoints!$B$2:$B$957,0)),'Pipe Table'!$A$2:$A$14,0))</f>
        <v>#N/A</v>
      </c>
      <c r="E618" t="str">
        <f>INDEX('TE_OA_20200805_INTRDY_2020-08-0'!$H$2:$H$870,MATCH(Filter!B618,'TE_OA_20200805_INTRDY_2020-08-0'!$G$2:$G$870))</f>
        <v>Williams-LMM,(Longfellow) Donegal, Sire Rd. Fayette Co., PA.</v>
      </c>
      <c r="F618" t="str">
        <f>INDEX('Pipe Table'!$H$2:$H$8,MATCH('TE_OA_20200805_INTRDY_2020-08-0'!I599,'Pipe Table'!$G$2:$G$8,0))</f>
        <v>TETCO-M2</v>
      </c>
      <c r="G618" t="e">
        <f>INDEX(TeAllPoints!$D$2:$D$957,MATCH(Filter!B618,TeAllPoints!$B$2:$B$957,0))</f>
        <v>#N/A</v>
      </c>
      <c r="H618" t="e">
        <f>INDEX(TeAllPoints!$E$2:$E$957,MATCH(Filter!B618,TeAllPoints!$B$2:$B$957,0))</f>
        <v>#N/A</v>
      </c>
      <c r="I618">
        <f>INDEX('TE_OA_20200805_INTRDY_2020-08-0'!$Q$2:$Q$870,MATCH(Filter!B618,'TE_OA_20200805_INTRDY_2020-08-0'!$G$2:$G$870))</f>
        <v>144101</v>
      </c>
      <c r="J618">
        <f>INDEX('TE_OA_20200805_INTRDY_2020-08-0'!$R$2:$R$870,MATCH(Filter!B618,'TE_OA_20200805_INTRDY_2020-08-0'!$G$2:$G$870))</f>
        <v>0</v>
      </c>
    </row>
    <row r="619" spans="1:10" x14ac:dyDescent="0.25">
      <c r="A619" t="str">
        <f>INDEX('Pipe Table'!$E$2:$E$10,MATCH(INDEX('TE_OA_20200805_INTRDY_2020-08-0'!$T$2:$T$870,MATCH(Filter!B619,'TE_OA_20200805_INTRDY_2020-08-0'!$G$2:$G$870,0)),'Pipe Table'!$D$2:$D$10,0))</f>
        <v>TETCO</v>
      </c>
      <c r="B619">
        <v>73694</v>
      </c>
      <c r="C619" t="str">
        <f>INDEX('TE_OA_20200805_INTRDY_2020-08-0'!$J$2:$J$870,MATCH(Filter!B619,'TE_OA_20200805_INTRDY_2020-08-0'!$G$2:$G$870))</f>
        <v>Delivery</v>
      </c>
      <c r="D619" t="str">
        <f>INDEX('Pipe Table'!$B$2:$B$14,MATCH(INDEX(TeAllPoints!$I$2:$I$957,MATCH(Filter!B619,TeAllPoints!$B$2:$B$957,0)),'Pipe Table'!$A$2:$A$14,0))</f>
        <v>EndUsr</v>
      </c>
      <c r="E619" t="str">
        <f>INDEX('TE_OA_20200805_INTRDY_2020-08-0'!$H$2:$H$870,MATCH(Filter!B619,'TE_OA_20200805_INTRDY_2020-08-0'!$G$2:$G$870))</f>
        <v>Sweeny Plant-Conoco Pipeline</v>
      </c>
      <c r="F619" t="str">
        <f>INDEX('Pipe Table'!$H$2:$H$8,MATCH('TE_OA_20200805_INTRDY_2020-08-0'!I600,'Pipe Table'!$G$2:$G$8,0))</f>
        <v>TETCO-STX</v>
      </c>
      <c r="G619" t="str">
        <f>INDEX(TeAllPoints!$D$2:$D$957,MATCH(Filter!B619,TeAllPoints!$B$2:$B$957,0))</f>
        <v>TX</v>
      </c>
      <c r="H619" t="str">
        <f>INDEX(TeAllPoints!$E$2:$E$957,MATCH(Filter!B619,TeAllPoints!$B$2:$B$957,0))</f>
        <v>BRAZORIA</v>
      </c>
      <c r="I619">
        <f>INDEX('TE_OA_20200805_INTRDY_2020-08-0'!$Q$2:$Q$870,MATCH(Filter!B619,'TE_OA_20200805_INTRDY_2020-08-0'!$G$2:$G$870))</f>
        <v>76102</v>
      </c>
      <c r="J619">
        <f>INDEX('TE_OA_20200805_INTRDY_2020-08-0'!$R$2:$R$870,MATCH(Filter!B619,'TE_OA_20200805_INTRDY_2020-08-0'!$G$2:$G$870))</f>
        <v>35000</v>
      </c>
    </row>
    <row r="620" spans="1:10" x14ac:dyDescent="0.25">
      <c r="A620" t="str">
        <f>INDEX('Pipe Table'!$E$2:$E$10,MATCH(INDEX('TE_OA_20200805_INTRDY_2020-08-0'!$T$2:$T$870,MATCH(Filter!B620,'TE_OA_20200805_INTRDY_2020-08-0'!$G$2:$G$870,0)),'Pipe Table'!$D$2:$D$10,0))</f>
        <v>TETCO</v>
      </c>
      <c r="B620">
        <v>73696</v>
      </c>
      <c r="C620" t="str">
        <f>INDEX('TE_OA_20200805_INTRDY_2020-08-0'!$J$2:$J$870,MATCH(Filter!B620,'TE_OA_20200805_INTRDY_2020-08-0'!$G$2:$G$870))</f>
        <v>Receipt</v>
      </c>
      <c r="D620" t="str">
        <f>INDEX('Pipe Table'!$B$2:$B$14,MATCH(INDEX(TeAllPoints!$I$2:$I$957,MATCH(Filter!B620,TeAllPoints!$B$2:$B$957,0)),'Pipe Table'!$A$2:$A$14,0))</f>
        <v>Wellhead</v>
      </c>
      <c r="E620" t="str">
        <f>INDEX('TE_OA_20200805_INTRDY_2020-08-0'!$H$2:$H$870,MATCH(Filter!B620,'TE_OA_20200805_INTRDY_2020-08-0'!$G$2:$G$870))</f>
        <v>GoMex VR 282</v>
      </c>
      <c r="F620" t="str">
        <f>INDEX('Pipe Table'!$H$2:$H$8,MATCH('TE_OA_20200805_INTRDY_2020-08-0'!I601,'Pipe Table'!$G$2:$G$8,0))</f>
        <v>TETCO-WLA</v>
      </c>
      <c r="G620" t="str">
        <f>INDEX(TeAllPoints!$D$2:$D$957,MATCH(Filter!B620,TeAllPoints!$B$2:$B$957,0))</f>
        <v>OF</v>
      </c>
      <c r="H620" t="str">
        <f>INDEX(TeAllPoints!$E$2:$E$957,MATCH(Filter!B620,TeAllPoints!$B$2:$B$957,0))</f>
        <v>VERMILLION</v>
      </c>
      <c r="I620">
        <f>INDEX('TE_OA_20200805_INTRDY_2020-08-0'!$Q$2:$Q$870,MATCH(Filter!B620,'TE_OA_20200805_INTRDY_2020-08-0'!$G$2:$G$870))</f>
        <v>37858</v>
      </c>
      <c r="J620">
        <f>INDEX('TE_OA_20200805_INTRDY_2020-08-0'!$R$2:$R$870,MATCH(Filter!B620,'TE_OA_20200805_INTRDY_2020-08-0'!$G$2:$G$870))</f>
        <v>0</v>
      </c>
    </row>
    <row r="621" spans="1:10" x14ac:dyDescent="0.25">
      <c r="A621" t="str">
        <f>INDEX('Pipe Table'!$E$2:$E$10,MATCH(INDEX('TE_OA_20200805_INTRDY_2020-08-0'!$T$2:$T$870,MATCH(Filter!B621,'TE_OA_20200805_INTRDY_2020-08-0'!$G$2:$G$870,0)),'Pipe Table'!$D$2:$D$10,0))</f>
        <v>TETCO</v>
      </c>
      <c r="B621">
        <v>73697</v>
      </c>
      <c r="C621" t="str">
        <f>INDEX('TE_OA_20200805_INTRDY_2020-08-0'!$J$2:$J$870,MATCH(Filter!B621,'TE_OA_20200805_INTRDY_2020-08-0'!$G$2:$G$870))</f>
        <v>Receipt</v>
      </c>
      <c r="D621" t="str">
        <f>INDEX('Pipe Table'!$B$2:$B$14,MATCH(INDEX(TeAllPoints!$I$2:$I$957,MATCH(Filter!B621,TeAllPoints!$B$2:$B$957,0)),'Pipe Table'!$A$2:$A$14,0))</f>
        <v>Wellhead</v>
      </c>
      <c r="E621" t="str">
        <f>INDEX('TE_OA_20200805_INTRDY_2020-08-0'!$H$2:$H$870,MATCH(Filter!B621,'TE_OA_20200805_INTRDY_2020-08-0'!$G$2:$G$870))</f>
        <v>Bachtell O&amp;G/Keahey Gathering-Marion Co., TX</v>
      </c>
      <c r="F621" t="str">
        <f>INDEX('Pipe Table'!$H$2:$H$8,MATCH('TE_OA_20200805_INTRDY_2020-08-0'!I602,'Pipe Table'!$G$2:$G$8,0))</f>
        <v>TETCO-ETX</v>
      </c>
      <c r="G621" t="str">
        <f>INDEX(TeAllPoints!$D$2:$D$957,MATCH(Filter!B621,TeAllPoints!$B$2:$B$957,0))</f>
        <v>TX</v>
      </c>
      <c r="H621" t="str">
        <f>INDEX(TeAllPoints!$E$2:$E$957,MATCH(Filter!B621,TeAllPoints!$B$2:$B$957,0))</f>
        <v>MARION</v>
      </c>
      <c r="I621">
        <f>INDEX('TE_OA_20200805_INTRDY_2020-08-0'!$Q$2:$Q$870,MATCH(Filter!B621,'TE_OA_20200805_INTRDY_2020-08-0'!$G$2:$G$870))</f>
        <v>14617</v>
      </c>
      <c r="J621">
        <f>INDEX('TE_OA_20200805_INTRDY_2020-08-0'!$R$2:$R$870,MATCH(Filter!B621,'TE_OA_20200805_INTRDY_2020-08-0'!$G$2:$G$870))</f>
        <v>0</v>
      </c>
    </row>
    <row r="622" spans="1:10" x14ac:dyDescent="0.25">
      <c r="A622" t="str">
        <f>INDEX('Pipe Table'!$E$2:$E$10,MATCH(INDEX('TE_OA_20200805_INTRDY_2020-08-0'!$T$2:$T$870,MATCH(Filter!B622,'TE_OA_20200805_INTRDY_2020-08-0'!$G$2:$G$870,0)),'Pipe Table'!$D$2:$D$10,0))</f>
        <v>TETCO</v>
      </c>
      <c r="B622">
        <v>73698</v>
      </c>
      <c r="C622" t="str">
        <f>INDEX('TE_OA_20200805_INTRDY_2020-08-0'!$J$2:$J$870,MATCH(Filter!B622,'TE_OA_20200805_INTRDY_2020-08-0'!$G$2:$G$870))</f>
        <v>Receipt</v>
      </c>
      <c r="D622" t="str">
        <f>INDEX('Pipe Table'!$B$2:$B$14,MATCH(INDEX(TeAllPoints!$I$2:$I$957,MATCH(Filter!B622,TeAllPoints!$B$2:$B$957,0)),'Pipe Table'!$A$2:$A$14,0))</f>
        <v>Intrcnnct</v>
      </c>
      <c r="E622" t="str">
        <f>INDEX('TE_OA_20200805_INTRDY_2020-08-0'!$H$2:$H$870,MATCH(Filter!B622,'TE_OA_20200805_INTRDY_2020-08-0'!$G$2:$G$870))</f>
        <v>Acadian Gas-Haynesville Extension P/L, Pt.Coupee Parish, LA</v>
      </c>
      <c r="F622" t="str">
        <f>INDEX('Pipe Table'!$H$2:$H$8,MATCH('TE_OA_20200805_INTRDY_2020-08-0'!I603,'Pipe Table'!$G$2:$G$8,0))</f>
        <v>TETCO-ELA</v>
      </c>
      <c r="G622" t="str">
        <f>INDEX(TeAllPoints!$D$2:$D$957,MATCH(Filter!B622,TeAllPoints!$B$2:$B$957,0))</f>
        <v>LA</v>
      </c>
      <c r="H622" t="str">
        <f>INDEX(TeAllPoints!$E$2:$E$957,MATCH(Filter!B622,TeAllPoints!$B$2:$B$957,0))</f>
        <v>POINTE COUPEE</v>
      </c>
      <c r="I622">
        <f>INDEX('TE_OA_20200805_INTRDY_2020-08-0'!$Q$2:$Q$870,MATCH(Filter!B622,'TE_OA_20200805_INTRDY_2020-08-0'!$G$2:$G$870))</f>
        <v>688937</v>
      </c>
      <c r="J622">
        <f>INDEX('TE_OA_20200805_INTRDY_2020-08-0'!$R$2:$R$870,MATCH(Filter!B622,'TE_OA_20200805_INTRDY_2020-08-0'!$G$2:$G$870))</f>
        <v>0</v>
      </c>
    </row>
    <row r="623" spans="1:10" x14ac:dyDescent="0.25">
      <c r="A623" t="str">
        <f>INDEX('Pipe Table'!$E$2:$E$10,MATCH(INDEX('TE_OA_20200805_INTRDY_2020-08-0'!$T$2:$T$870,MATCH(Filter!B623,'TE_OA_20200805_INTRDY_2020-08-0'!$G$2:$G$870,0)),'Pipe Table'!$D$2:$D$10,0))</f>
        <v>TETCO</v>
      </c>
      <c r="B623">
        <v>73699</v>
      </c>
      <c r="C623" t="str">
        <f>INDEX('TE_OA_20200805_INTRDY_2020-08-0'!$J$2:$J$870,MATCH(Filter!B623,'TE_OA_20200805_INTRDY_2020-08-0'!$G$2:$G$870))</f>
        <v>Receipt</v>
      </c>
      <c r="D623" t="str">
        <f>INDEX('Pipe Table'!$B$2:$B$14,MATCH(INDEX(TeAllPoints!$I$2:$I$957,MATCH(Filter!B623,TeAllPoints!$B$2:$B$957,0)),'Pipe Table'!$A$2:$A$14,0))</f>
        <v>Intrcnnct</v>
      </c>
      <c r="E623" t="str">
        <f>INDEX('TE_OA_20200805_INTRDY_2020-08-0'!$H$2:$H$870,MATCH(Filter!B623,'TE_OA_20200805_INTRDY_2020-08-0'!$G$2:$G$870))</f>
        <v>Dominion Energy Transmission, Inc - Appalchian Gateway, Westmorela</v>
      </c>
      <c r="F623" t="str">
        <f>INDEX('Pipe Table'!$H$2:$H$8,MATCH('TE_OA_20200805_INTRDY_2020-08-0'!I604,'Pipe Table'!$G$2:$G$8,0))</f>
        <v>TETCO-M2</v>
      </c>
      <c r="G623" t="str">
        <f>INDEX(TeAllPoints!$D$2:$D$957,MATCH(Filter!B623,TeAllPoints!$B$2:$B$957,0))</f>
        <v>PA</v>
      </c>
      <c r="H623" t="str">
        <f>INDEX(TeAllPoints!$E$2:$E$957,MATCH(Filter!B623,TeAllPoints!$B$2:$B$957,0))</f>
        <v>WESTMORELAND</v>
      </c>
      <c r="I623">
        <f>INDEX('TE_OA_20200805_INTRDY_2020-08-0'!$Q$2:$Q$870,MATCH(Filter!B623,'TE_OA_20200805_INTRDY_2020-08-0'!$G$2:$G$870))</f>
        <v>742427</v>
      </c>
      <c r="J623">
        <f>INDEX('TE_OA_20200805_INTRDY_2020-08-0'!$R$2:$R$870,MATCH(Filter!B623,'TE_OA_20200805_INTRDY_2020-08-0'!$G$2:$G$870))</f>
        <v>0</v>
      </c>
    </row>
    <row r="624" spans="1:10" x14ac:dyDescent="0.25">
      <c r="A624" t="str">
        <f>INDEX('Pipe Table'!$E$2:$E$10,MATCH(INDEX('TE_OA_20200805_INTRDY_2020-08-0'!$T$2:$T$870,MATCH(Filter!B624,'TE_OA_20200805_INTRDY_2020-08-0'!$G$2:$G$870,0)),'Pipe Table'!$D$2:$D$10,0))</f>
        <v>TETCO</v>
      </c>
      <c r="B624">
        <v>73702</v>
      </c>
      <c r="C624" t="str">
        <f>INDEX('TE_OA_20200805_INTRDY_2020-08-0'!$J$2:$J$870,MATCH(Filter!B624,'TE_OA_20200805_INTRDY_2020-08-0'!$G$2:$G$870))</f>
        <v>Delivery</v>
      </c>
      <c r="D624" t="str">
        <f>INDEX('Pipe Table'!$B$2:$B$14,MATCH(INDEX(TeAllPoints!$I$2:$I$957,MATCH(Filter!B624,TeAllPoints!$B$2:$B$957,0)),'Pipe Table'!$A$2:$A$14,0))</f>
        <v>EndUsr</v>
      </c>
      <c r="E624" t="str">
        <f>INDEX('TE_OA_20200805_INTRDY_2020-08-0'!$H$2:$H$870,MATCH(Filter!B624,'TE_OA_20200805_INTRDY_2020-08-0'!$G$2:$G$870))</f>
        <v>Arena Offshore, LP -  EC 328B Start-Up Gas</v>
      </c>
      <c r="F624" t="str">
        <f>INDEX('Pipe Table'!$H$2:$H$8,MATCH('TE_OA_20200805_INTRDY_2020-08-0'!I605,'Pipe Table'!$G$2:$G$8,0))</f>
        <v>TETCO-WLA</v>
      </c>
      <c r="G624" t="str">
        <f>INDEX(TeAllPoints!$D$2:$D$957,MATCH(Filter!B624,TeAllPoints!$B$2:$B$957,0))</f>
        <v>OF</v>
      </c>
      <c r="H624" t="str">
        <f>INDEX(TeAllPoints!$E$2:$E$957,MATCH(Filter!B624,TeAllPoints!$B$2:$B$957,0))</f>
        <v>EAST CAMERON</v>
      </c>
      <c r="I624">
        <f>INDEX('TE_OA_20200805_INTRDY_2020-08-0'!$Q$2:$Q$870,MATCH(Filter!B624,'TE_OA_20200805_INTRDY_2020-08-0'!$G$2:$G$870))</f>
        <v>38864</v>
      </c>
      <c r="J624">
        <f>INDEX('TE_OA_20200805_INTRDY_2020-08-0'!$R$2:$R$870,MATCH(Filter!B624,'TE_OA_20200805_INTRDY_2020-08-0'!$G$2:$G$870))</f>
        <v>0</v>
      </c>
    </row>
    <row r="625" spans="1:10" x14ac:dyDescent="0.25">
      <c r="A625" t="str">
        <f>INDEX('Pipe Table'!$E$2:$E$10,MATCH(INDEX('TE_OA_20200805_INTRDY_2020-08-0'!$T$2:$T$870,MATCH(Filter!B625,'TE_OA_20200805_INTRDY_2020-08-0'!$G$2:$G$870,0)),'Pipe Table'!$D$2:$D$10,0))</f>
        <v>TETCO</v>
      </c>
      <c r="B625">
        <v>73703</v>
      </c>
      <c r="C625" t="str">
        <f>INDEX('TE_OA_20200805_INTRDY_2020-08-0'!$J$2:$J$870,MATCH(Filter!B625,'TE_OA_20200805_INTRDY_2020-08-0'!$G$2:$G$870))</f>
        <v>Delivery</v>
      </c>
      <c r="D625" t="str">
        <f>INDEX('Pipe Table'!$B$2:$B$14,MATCH(INDEX(TeAllPoints!$I$2:$I$957,MATCH(Filter!B625,TeAllPoints!$B$2:$B$957,0)),'Pipe Table'!$A$2:$A$14,0))</f>
        <v>Intrcnnct</v>
      </c>
      <c r="E625" t="str">
        <f>INDEX('TE_OA_20200805_INTRDY_2020-08-0'!$H$2:$H$870,MATCH(Filter!B625,'TE_OA_20200805_INTRDY_2020-08-0'!$G$2:$G$870))</f>
        <v>Williams-Transco, Lower Chanceford-York Co., PA.</v>
      </c>
      <c r="F625" t="str">
        <f>INDEX('Pipe Table'!$H$2:$H$8,MATCH('TE_OA_20200805_INTRDY_2020-08-0'!I606,'Pipe Table'!$G$2:$G$8,0))</f>
        <v>TETCO-M3</v>
      </c>
      <c r="G625" t="str">
        <f>INDEX(TeAllPoints!$D$2:$D$957,MATCH(Filter!B625,TeAllPoints!$B$2:$B$957,0))</f>
        <v>PA</v>
      </c>
      <c r="H625" t="str">
        <f>INDEX(TeAllPoints!$E$2:$E$957,MATCH(Filter!B625,TeAllPoints!$B$2:$B$957,0))</f>
        <v>YORK</v>
      </c>
      <c r="I625">
        <f>INDEX('TE_OA_20200805_INTRDY_2020-08-0'!$Q$2:$Q$870,MATCH(Filter!B625,'TE_OA_20200805_INTRDY_2020-08-0'!$G$2:$G$870))</f>
        <v>950000</v>
      </c>
      <c r="J625">
        <f>INDEX('TE_OA_20200805_INTRDY_2020-08-0'!$R$2:$R$870,MATCH(Filter!B625,'TE_OA_20200805_INTRDY_2020-08-0'!$G$2:$G$870))</f>
        <v>617086</v>
      </c>
    </row>
    <row r="626" spans="1:10" x14ac:dyDescent="0.25">
      <c r="A626" t="str">
        <f>INDEX('Pipe Table'!$E$2:$E$10,MATCH(INDEX('TE_OA_20200805_INTRDY_2020-08-0'!$T$2:$T$870,MATCH(Filter!B626,'TE_OA_20200805_INTRDY_2020-08-0'!$G$2:$G$870,0)),'Pipe Table'!$D$2:$D$10,0))</f>
        <v>TETCO</v>
      </c>
      <c r="B626">
        <v>73704</v>
      </c>
      <c r="C626" t="str">
        <f>INDEX('TE_OA_20200805_INTRDY_2020-08-0'!$J$2:$J$870,MATCH(Filter!B626,'TE_OA_20200805_INTRDY_2020-08-0'!$G$2:$G$870))</f>
        <v>Receipt</v>
      </c>
      <c r="D626" t="str">
        <f>INDEX('Pipe Table'!$B$2:$B$14,MATCH(INDEX(TeAllPoints!$I$2:$I$957,MATCH(Filter!B626,TeAllPoints!$B$2:$B$957,0)),'Pipe Table'!$A$2:$A$14,0))</f>
        <v>Wellhead</v>
      </c>
      <c r="E626" t="str">
        <f>INDEX('TE_OA_20200805_INTRDY_2020-08-0'!$H$2:$H$870,MATCH(Filter!B626,'TE_OA_20200805_INTRDY_2020-08-0'!$G$2:$G$870))</f>
        <v>Williams Cantaral - Rt 18, Greene Co., PA.</v>
      </c>
      <c r="F626" t="str">
        <f>INDEX('Pipe Table'!$H$2:$H$8,MATCH('TE_OA_20200805_INTRDY_2020-08-0'!I607,'Pipe Table'!$G$2:$G$8,0))</f>
        <v>TETCO-M2</v>
      </c>
      <c r="G626" t="str">
        <f>INDEX(TeAllPoints!$D$2:$D$957,MATCH(Filter!B626,TeAllPoints!$B$2:$B$957,0))</f>
        <v>PA</v>
      </c>
      <c r="H626" t="str">
        <f>INDEX(TeAllPoints!$E$2:$E$957,MATCH(Filter!B626,TeAllPoints!$B$2:$B$957,0))</f>
        <v>GREENE</v>
      </c>
      <c r="I626">
        <f>INDEX('TE_OA_20200805_INTRDY_2020-08-0'!$Q$2:$Q$870,MATCH(Filter!B626,'TE_OA_20200805_INTRDY_2020-08-0'!$G$2:$G$870))</f>
        <v>229649</v>
      </c>
      <c r="J626">
        <f>INDEX('TE_OA_20200805_INTRDY_2020-08-0'!$R$2:$R$870,MATCH(Filter!B626,'TE_OA_20200805_INTRDY_2020-08-0'!$G$2:$G$870))</f>
        <v>132750</v>
      </c>
    </row>
    <row r="627" spans="1:10" x14ac:dyDescent="0.25">
      <c r="A627" t="str">
        <f>INDEX('Pipe Table'!$E$2:$E$10,MATCH(INDEX('TE_OA_20200805_INTRDY_2020-08-0'!$T$2:$T$870,MATCH(Filter!B627,'TE_OA_20200805_INTRDY_2020-08-0'!$G$2:$G$870,0)),'Pipe Table'!$D$2:$D$10,0))</f>
        <v>TETCO</v>
      </c>
      <c r="B627">
        <v>73705</v>
      </c>
      <c r="C627" t="str">
        <f>INDEX('TE_OA_20200805_INTRDY_2020-08-0'!$J$2:$J$870,MATCH(Filter!B627,'TE_OA_20200805_INTRDY_2020-08-0'!$G$2:$G$870))</f>
        <v>Receipt</v>
      </c>
      <c r="D627" t="str">
        <f>INDEX('Pipe Table'!$B$2:$B$14,MATCH(INDEX(TeAllPoints!$I$2:$I$957,MATCH(Filter!B627,TeAllPoints!$B$2:$B$957,0)),'Pipe Table'!$A$2:$A$14,0))</f>
        <v>Wellhead</v>
      </c>
      <c r="E627" t="str">
        <f>INDEX('TE_OA_20200805_INTRDY_2020-08-0'!$H$2:$H$870,MATCH(Filter!B627,'TE_OA_20200805_INTRDY_2020-08-0'!$G$2:$G$870))</f>
        <v>EQT - /Morris II, Greene Co., PA.</v>
      </c>
      <c r="F627" t="str">
        <f>INDEX('Pipe Table'!$H$2:$H$8,MATCH('TE_OA_20200805_INTRDY_2020-08-0'!I608,'Pipe Table'!$G$2:$G$8,0))</f>
        <v>TETCO-M2</v>
      </c>
      <c r="G627" t="str">
        <f>INDEX(TeAllPoints!$D$2:$D$957,MATCH(Filter!B627,TeAllPoints!$B$2:$B$957,0))</f>
        <v>PA</v>
      </c>
      <c r="H627" t="str">
        <f>INDEX(TeAllPoints!$E$2:$E$957,MATCH(Filter!B627,TeAllPoints!$B$2:$B$957,0))</f>
        <v>GREENE</v>
      </c>
      <c r="I627">
        <f>INDEX('TE_OA_20200805_INTRDY_2020-08-0'!$Q$2:$Q$870,MATCH(Filter!B627,'TE_OA_20200805_INTRDY_2020-08-0'!$G$2:$G$870))</f>
        <v>460028</v>
      </c>
      <c r="J627">
        <f>INDEX('TE_OA_20200805_INTRDY_2020-08-0'!$R$2:$R$870,MATCH(Filter!B627,'TE_OA_20200805_INTRDY_2020-08-0'!$G$2:$G$870))</f>
        <v>5064</v>
      </c>
    </row>
    <row r="628" spans="1:10" x14ac:dyDescent="0.25">
      <c r="A628" t="str">
        <f>INDEX('Pipe Table'!$E$2:$E$10,MATCH(INDEX('TE_OA_20200805_INTRDY_2020-08-0'!$T$2:$T$870,MATCH(Filter!B628,'TE_OA_20200805_INTRDY_2020-08-0'!$G$2:$G$870,0)),'Pipe Table'!$D$2:$D$10,0))</f>
        <v>TETCO</v>
      </c>
      <c r="B628">
        <v>73706</v>
      </c>
      <c r="C628" t="str">
        <f>INDEX('TE_OA_20200805_INTRDY_2020-08-0'!$J$2:$J$870,MATCH(Filter!B628,'TE_OA_20200805_INTRDY_2020-08-0'!$G$2:$G$870))</f>
        <v>Receipt</v>
      </c>
      <c r="D628" t="str">
        <f>INDEX('Pipe Table'!$B$2:$B$14,MATCH(INDEX(TeAllPoints!$I$2:$I$957,MATCH(Filter!B628,TeAllPoints!$B$2:$B$957,0)),'Pipe Table'!$A$2:$A$14,0))</f>
        <v>Wellhead</v>
      </c>
      <c r="E628" t="str">
        <f>INDEX('TE_OA_20200805_INTRDY_2020-08-0'!$H$2:$H$870,MATCH(Filter!B628,'TE_OA_20200805_INTRDY_2020-08-0'!$G$2:$G$870))</f>
        <v>EQT- Braden Run, Greene Co., PA.</v>
      </c>
      <c r="F628" t="str">
        <f>INDEX('Pipe Table'!$H$2:$H$8,MATCH('TE_OA_20200805_INTRDY_2020-08-0'!I609,'Pipe Table'!$G$2:$G$8,0))</f>
        <v>TETCO-M2</v>
      </c>
      <c r="G628" t="str">
        <f>INDEX(TeAllPoints!$D$2:$D$957,MATCH(Filter!B628,TeAllPoints!$B$2:$B$957,0))</f>
        <v>PA</v>
      </c>
      <c r="H628" t="str">
        <f>INDEX(TeAllPoints!$E$2:$E$957,MATCH(Filter!B628,TeAllPoints!$B$2:$B$957,0))</f>
        <v>GREENE</v>
      </c>
      <c r="I628">
        <f>INDEX('TE_OA_20200805_INTRDY_2020-08-0'!$Q$2:$Q$870,MATCH(Filter!B628,'TE_OA_20200805_INTRDY_2020-08-0'!$G$2:$G$870))</f>
        <v>574664</v>
      </c>
      <c r="J628">
        <f>INDEX('TE_OA_20200805_INTRDY_2020-08-0'!$R$2:$R$870,MATCH(Filter!B628,'TE_OA_20200805_INTRDY_2020-08-0'!$G$2:$G$870))</f>
        <v>290386</v>
      </c>
    </row>
    <row r="629" spans="1:10" x14ac:dyDescent="0.25">
      <c r="A629" t="str">
        <f>INDEX('Pipe Table'!$E$2:$E$10,MATCH(INDEX('TE_OA_20200805_INTRDY_2020-08-0'!$T$2:$T$870,MATCH(Filter!B629,'TE_OA_20200805_INTRDY_2020-08-0'!$G$2:$G$870,0)),'Pipe Table'!$D$2:$D$10,0))</f>
        <v>TETCO</v>
      </c>
      <c r="B629">
        <v>73710</v>
      </c>
      <c r="C629" t="str">
        <f>INDEX('TE_OA_20200805_INTRDY_2020-08-0'!$J$2:$J$870,MATCH(Filter!B629,'TE_OA_20200805_INTRDY_2020-08-0'!$G$2:$G$870))</f>
        <v>Receipt</v>
      </c>
      <c r="D629" t="str">
        <f>INDEX('Pipe Table'!$B$2:$B$14,MATCH(INDEX(TeAllPoints!$I$2:$I$957,MATCH(Filter!B629,TeAllPoints!$B$2:$B$957,0)),'Pipe Table'!$A$2:$A$14,0))</f>
        <v>Wellhead</v>
      </c>
      <c r="E629" t="str">
        <f>INDEX('TE_OA_20200805_INTRDY_2020-08-0'!$H$2:$H$870,MATCH(Filter!B629,'TE_OA_20200805_INTRDY_2020-08-0'!$G$2:$G$870))</f>
        <v>Ventex Operating, Lincoln Co., Ms</v>
      </c>
      <c r="F629" t="str">
        <f>INDEX('Pipe Table'!$H$2:$H$8,MATCH('TE_OA_20200805_INTRDY_2020-08-0'!I610,'Pipe Table'!$G$2:$G$8,0))</f>
        <v>TETCO-ELA</v>
      </c>
      <c r="G629" t="str">
        <f>INDEX(TeAllPoints!$D$2:$D$957,MATCH(Filter!B629,TeAllPoints!$B$2:$B$957,0))</f>
        <v>MS</v>
      </c>
      <c r="H629" t="str">
        <f>INDEX(TeAllPoints!$E$2:$E$957,MATCH(Filter!B629,TeAllPoints!$B$2:$B$957,0))</f>
        <v>LINCOLN</v>
      </c>
      <c r="I629">
        <f>INDEX('TE_OA_20200805_INTRDY_2020-08-0'!$Q$2:$Q$870,MATCH(Filter!B629,'TE_OA_20200805_INTRDY_2020-08-0'!$G$2:$G$870))</f>
        <v>9774</v>
      </c>
      <c r="J629">
        <f>INDEX('TE_OA_20200805_INTRDY_2020-08-0'!$R$2:$R$870,MATCH(Filter!B629,'TE_OA_20200805_INTRDY_2020-08-0'!$G$2:$G$870))</f>
        <v>500</v>
      </c>
    </row>
    <row r="630" spans="1:10" x14ac:dyDescent="0.25">
      <c r="A630" t="str">
        <f>INDEX('Pipe Table'!$E$2:$E$10,MATCH(INDEX('TE_OA_20200805_INTRDY_2020-08-0'!$T$2:$T$870,MATCH(Filter!B630,'TE_OA_20200805_INTRDY_2020-08-0'!$G$2:$G$870,0)),'Pipe Table'!$D$2:$D$10,0))</f>
        <v>TETCO</v>
      </c>
      <c r="B630">
        <v>73711</v>
      </c>
      <c r="C630" t="str">
        <f>INDEX('TE_OA_20200805_INTRDY_2020-08-0'!$J$2:$J$870,MATCH(Filter!B630,'TE_OA_20200805_INTRDY_2020-08-0'!$G$2:$G$870))</f>
        <v>Delivery</v>
      </c>
      <c r="D630" t="str">
        <f>INDEX('Pipe Table'!$B$2:$B$14,MATCH(INDEX(TeAllPoints!$I$2:$I$957,MATCH(Filter!B630,TeAllPoints!$B$2:$B$957,0)),'Pipe Table'!$A$2:$A$14,0))</f>
        <v>EndUsr</v>
      </c>
      <c r="E630" t="str">
        <f>INDEX('TE_OA_20200805_INTRDY_2020-08-0'!$H$2:$H$870,MATCH(Filter!B630,'TE_OA_20200805_INTRDY_2020-08-0'!$G$2:$G$870))</f>
        <v>NTE Middletown Energy Center, Butler CO, OH</v>
      </c>
      <c r="F630" t="str">
        <f>INDEX('Pipe Table'!$H$2:$H$8,MATCH('TE_OA_20200805_INTRDY_2020-08-0'!I611,'Pipe Table'!$G$2:$G$8,0))</f>
        <v>TETCO-M2</v>
      </c>
      <c r="G630" t="str">
        <f>INDEX(TeAllPoints!$D$2:$D$957,MATCH(Filter!B630,TeAllPoints!$B$2:$B$957,0))</f>
        <v>OH</v>
      </c>
      <c r="H630" t="str">
        <f>INDEX(TeAllPoints!$E$2:$E$957,MATCH(Filter!B630,TeAllPoints!$B$2:$B$957,0))</f>
        <v>BUTLER</v>
      </c>
      <c r="I630">
        <f>INDEX('TE_OA_20200805_INTRDY_2020-08-0'!$Q$2:$Q$870,MATCH(Filter!B630,'TE_OA_20200805_INTRDY_2020-08-0'!$G$2:$G$870))</f>
        <v>87725</v>
      </c>
      <c r="J630">
        <f>INDEX('TE_OA_20200805_INTRDY_2020-08-0'!$R$2:$R$870,MATCH(Filter!B630,'TE_OA_20200805_INTRDY_2020-08-0'!$G$2:$G$870))</f>
        <v>0</v>
      </c>
    </row>
    <row r="631" spans="1:10" x14ac:dyDescent="0.25">
      <c r="A631" t="str">
        <f>INDEX('Pipe Table'!$E$2:$E$10,MATCH(INDEX('TE_OA_20200805_INTRDY_2020-08-0'!$T$2:$T$870,MATCH(Filter!B631,'TE_OA_20200805_INTRDY_2020-08-0'!$G$2:$G$870,0)),'Pipe Table'!$D$2:$D$10,0))</f>
        <v>TETCO</v>
      </c>
      <c r="B631">
        <v>73712</v>
      </c>
      <c r="C631" t="str">
        <f>INDEX('TE_OA_20200805_INTRDY_2020-08-0'!$J$2:$J$870,MATCH(Filter!B631,'TE_OA_20200805_INTRDY_2020-08-0'!$G$2:$G$870))</f>
        <v>Receipt</v>
      </c>
      <c r="D631" t="str">
        <f>INDEX('Pipe Table'!$B$2:$B$14,MATCH(INDEX(TeAllPoints!$I$2:$I$957,MATCH(Filter!B631,TeAllPoints!$B$2:$B$957,0)),'Pipe Table'!$A$2:$A$14,0))</f>
        <v>Wellhead</v>
      </c>
      <c r="E631" t="str">
        <f>INDEX('TE_OA_20200805_INTRDY_2020-08-0'!$H$2:$H$870,MATCH(Filter!B631,'TE_OA_20200805_INTRDY_2020-08-0'!$G$2:$G$870))</f>
        <v>Energy Corporation of America-Ridge Rd., Greene Co., PA.</v>
      </c>
      <c r="F631" t="str">
        <f>INDEX('Pipe Table'!$H$2:$H$8,MATCH('TE_OA_20200805_INTRDY_2020-08-0'!I612,'Pipe Table'!$G$2:$G$8,0))</f>
        <v>TETCO-M2</v>
      </c>
      <c r="G631" t="str">
        <f>INDEX(TeAllPoints!$D$2:$D$957,MATCH(Filter!B631,TeAllPoints!$B$2:$B$957,0))</f>
        <v>PA</v>
      </c>
      <c r="H631" t="str">
        <f>INDEX(TeAllPoints!$E$2:$E$957,MATCH(Filter!B631,TeAllPoints!$B$2:$B$957,0))</f>
        <v>GREENE</v>
      </c>
      <c r="I631">
        <f>INDEX('TE_OA_20200805_INTRDY_2020-08-0'!$Q$2:$Q$870,MATCH(Filter!B631,'TE_OA_20200805_INTRDY_2020-08-0'!$G$2:$G$870))</f>
        <v>58217</v>
      </c>
      <c r="J631">
        <f>INDEX('TE_OA_20200805_INTRDY_2020-08-0'!$R$2:$R$870,MATCH(Filter!B631,'TE_OA_20200805_INTRDY_2020-08-0'!$G$2:$G$870))</f>
        <v>0</v>
      </c>
    </row>
    <row r="632" spans="1:10" x14ac:dyDescent="0.25">
      <c r="A632" t="str">
        <f>INDEX('Pipe Table'!$E$2:$E$10,MATCH(INDEX('TE_OA_20200805_INTRDY_2020-08-0'!$T$2:$T$870,MATCH(Filter!B632,'TE_OA_20200805_INTRDY_2020-08-0'!$G$2:$G$870,0)),'Pipe Table'!$D$2:$D$10,0))</f>
        <v>TETCO</v>
      </c>
      <c r="B632">
        <v>73713</v>
      </c>
      <c r="C632" t="str">
        <f>INDEX('TE_OA_20200805_INTRDY_2020-08-0'!$J$2:$J$870,MATCH(Filter!B632,'TE_OA_20200805_INTRDY_2020-08-0'!$G$2:$G$870))</f>
        <v>Receipt</v>
      </c>
      <c r="D632" t="str">
        <f>INDEX('Pipe Table'!$B$2:$B$14,MATCH(INDEX(TeAllPoints!$I$2:$I$957,MATCH(Filter!B632,TeAllPoints!$B$2:$B$957,0)),'Pipe Table'!$A$2:$A$14,0))</f>
        <v>Wellhead</v>
      </c>
      <c r="E632" t="str">
        <f>INDEX('TE_OA_20200805_INTRDY_2020-08-0'!$H$2:$H$870,MATCH(Filter!B632,'TE_OA_20200805_INTRDY_2020-08-0'!$G$2:$G$870))</f>
        <v>EQT - Jefferson, Greene Co., PA.</v>
      </c>
      <c r="F632" t="str">
        <f>INDEX('Pipe Table'!$H$2:$H$8,MATCH('TE_OA_20200805_INTRDY_2020-08-0'!I613,'Pipe Table'!$G$2:$G$8,0))</f>
        <v>TETCO-M2</v>
      </c>
      <c r="G632" t="str">
        <f>INDEX(TeAllPoints!$D$2:$D$957,MATCH(Filter!B632,TeAllPoints!$B$2:$B$957,0))</f>
        <v>PA</v>
      </c>
      <c r="H632" t="str">
        <f>INDEX(TeAllPoints!$E$2:$E$957,MATCH(Filter!B632,TeAllPoints!$B$2:$B$957,0))</f>
        <v>GREENE</v>
      </c>
      <c r="I632">
        <f>INDEX('TE_OA_20200805_INTRDY_2020-08-0'!$Q$2:$Q$870,MATCH(Filter!B632,'TE_OA_20200805_INTRDY_2020-08-0'!$G$2:$G$870))</f>
        <v>966150</v>
      </c>
      <c r="J632">
        <f>INDEX('TE_OA_20200805_INTRDY_2020-08-0'!$R$2:$R$870,MATCH(Filter!B632,'TE_OA_20200805_INTRDY_2020-08-0'!$G$2:$G$870))</f>
        <v>367044</v>
      </c>
    </row>
    <row r="633" spans="1:10" x14ac:dyDescent="0.25">
      <c r="A633" t="str">
        <f>INDEX('Pipe Table'!$E$2:$E$10,MATCH(INDEX('TE_OA_20200805_INTRDY_2020-08-0'!$T$2:$T$870,MATCH(Filter!B633,'TE_OA_20200805_INTRDY_2020-08-0'!$G$2:$G$870,0)),'Pipe Table'!$D$2:$D$10,0))</f>
        <v>TETCO</v>
      </c>
      <c r="B633">
        <v>73714</v>
      </c>
      <c r="C633" t="str">
        <f>INDEX('TE_OA_20200805_INTRDY_2020-08-0'!$J$2:$J$870,MATCH(Filter!B633,'TE_OA_20200805_INTRDY_2020-08-0'!$G$2:$G$870))</f>
        <v>Receipt</v>
      </c>
      <c r="D633" t="str">
        <f>INDEX('Pipe Table'!$B$2:$B$14,MATCH(INDEX(TeAllPoints!$I$2:$I$957,MATCH(Filter!B633,TeAllPoints!$B$2:$B$957,0)),'Pipe Table'!$A$2:$A$14,0))</f>
        <v>Wellhead</v>
      </c>
      <c r="E633" t="str">
        <f>INDEX('TE_OA_20200805_INTRDY_2020-08-0'!$H$2:$H$870,MATCH(Filter!B633,'TE_OA_20200805_INTRDY_2020-08-0'!$G$2:$G$870))</f>
        <v>DTE Appalachia Gathering  High Noon</v>
      </c>
      <c r="F633" t="str">
        <f>INDEX('Pipe Table'!$H$2:$H$8,MATCH('TE_OA_20200805_INTRDY_2020-08-0'!I614,'Pipe Table'!$G$2:$G$8,0))</f>
        <v>TETCO-M2</v>
      </c>
      <c r="G633" t="str">
        <f>INDEX(TeAllPoints!$D$2:$D$957,MATCH(Filter!B633,TeAllPoints!$B$2:$B$957,0))</f>
        <v>PA</v>
      </c>
      <c r="H633" t="str">
        <f>INDEX(TeAllPoints!$E$2:$E$957,MATCH(Filter!B633,TeAllPoints!$B$2:$B$957,0))</f>
        <v>GREENE</v>
      </c>
      <c r="I633">
        <f>INDEX('TE_OA_20200805_INTRDY_2020-08-0'!$Q$2:$Q$870,MATCH(Filter!B633,'TE_OA_20200805_INTRDY_2020-08-0'!$G$2:$G$870))</f>
        <v>487108</v>
      </c>
      <c r="J633">
        <f>INDEX('TE_OA_20200805_INTRDY_2020-08-0'!$R$2:$R$870,MATCH(Filter!B633,'TE_OA_20200805_INTRDY_2020-08-0'!$G$2:$G$870))</f>
        <v>22836</v>
      </c>
    </row>
    <row r="634" spans="1:10" x14ac:dyDescent="0.25">
      <c r="A634" t="str">
        <f>INDEX('Pipe Table'!$E$2:$E$10,MATCH(INDEX('TE_OA_20200805_INTRDY_2020-08-0'!$T$2:$T$870,MATCH(Filter!B634,'TE_OA_20200805_INTRDY_2020-08-0'!$G$2:$G$870,0)),'Pipe Table'!$D$2:$D$10,0))</f>
        <v>TETCO</v>
      </c>
      <c r="B634">
        <v>73715</v>
      </c>
      <c r="C634" t="str">
        <f>INDEX('TE_OA_20200805_INTRDY_2020-08-0'!$J$2:$J$870,MATCH(Filter!B634,'TE_OA_20200805_INTRDY_2020-08-0'!$G$2:$G$870))</f>
        <v>Delivery</v>
      </c>
      <c r="D634" t="str">
        <f>INDEX('Pipe Table'!$B$2:$B$14,MATCH(INDEX(TeAllPoints!$I$2:$I$957,MATCH(Filter!B634,TeAllPoints!$B$2:$B$957,0)),'Pipe Table'!$A$2:$A$14,0))</f>
        <v>LDC</v>
      </c>
      <c r="E634" t="str">
        <f>INDEX('TE_OA_20200805_INTRDY_2020-08-0'!$H$2:$H$870,MATCH(Filter!B634,'TE_OA_20200805_INTRDY_2020-08-0'!$G$2:$G$870))</f>
        <v>Lancaster Municipal Gas Company, Fairfield Co., OH</v>
      </c>
      <c r="F634" t="str">
        <f>INDEX('Pipe Table'!$H$2:$H$8,MATCH('TE_OA_20200805_INTRDY_2020-08-0'!I615,'Pipe Table'!$G$2:$G$8,0))</f>
        <v>TETCO-M2</v>
      </c>
      <c r="G634" t="str">
        <f>INDEX(TeAllPoints!$D$2:$D$957,MATCH(Filter!B634,TeAllPoints!$B$2:$B$957,0))</f>
        <v>OH</v>
      </c>
      <c r="H634" t="str">
        <f>INDEX(TeAllPoints!$E$2:$E$957,MATCH(Filter!B634,TeAllPoints!$B$2:$B$957,0))</f>
        <v>FAIRFIELD</v>
      </c>
      <c r="I634">
        <f>INDEX('TE_OA_20200805_INTRDY_2020-08-0'!$Q$2:$Q$870,MATCH(Filter!B634,'TE_OA_20200805_INTRDY_2020-08-0'!$G$2:$G$870))</f>
        <v>6100</v>
      </c>
      <c r="J634">
        <f>INDEX('TE_OA_20200805_INTRDY_2020-08-0'!$R$2:$R$870,MATCH(Filter!B634,'TE_OA_20200805_INTRDY_2020-08-0'!$G$2:$G$870))</f>
        <v>0</v>
      </c>
    </row>
    <row r="635" spans="1:10" x14ac:dyDescent="0.25">
      <c r="A635" t="str">
        <f>INDEX('Pipe Table'!$E$2:$E$10,MATCH(INDEX('TE_OA_20200805_INTRDY_2020-08-0'!$T$2:$T$870,MATCH(Filter!B635,'TE_OA_20200805_INTRDY_2020-08-0'!$G$2:$G$870,0)),'Pipe Table'!$D$2:$D$10,0))</f>
        <v>TETCO</v>
      </c>
      <c r="B635">
        <v>73716</v>
      </c>
      <c r="C635" t="str">
        <f>INDEX('TE_OA_20200805_INTRDY_2020-08-0'!$J$2:$J$870,MATCH(Filter!B635,'TE_OA_20200805_INTRDY_2020-08-0'!$G$2:$G$870))</f>
        <v>Receipt</v>
      </c>
      <c r="D635" t="str">
        <f>INDEX('Pipe Table'!$B$2:$B$14,MATCH(INDEX(TeAllPoints!$I$2:$I$957,MATCH(Filter!B635,TeAllPoints!$B$2:$B$957,0)),'Pipe Table'!$A$2:$A$14,0))</f>
        <v>Wellhead</v>
      </c>
      <c r="E635" t="str">
        <f>INDEX('TE_OA_20200805_INTRDY_2020-08-0'!$H$2:$H$870,MATCH(Filter!B635,'TE_OA_20200805_INTRDY_2020-08-0'!$G$2:$G$870))</f>
        <v>Caiman Energy - Kingwood Road, Somerset Co., PA.</v>
      </c>
      <c r="F635" t="str">
        <f>INDEX('Pipe Table'!$H$2:$H$8,MATCH('TE_OA_20200805_INTRDY_2020-08-0'!I616,'Pipe Table'!$G$2:$G$8,0))</f>
        <v>TETCO-M2</v>
      </c>
      <c r="G635" t="str">
        <f>INDEX(TeAllPoints!$D$2:$D$957,MATCH(Filter!B635,TeAllPoints!$B$2:$B$957,0))</f>
        <v>PA</v>
      </c>
      <c r="H635" t="str">
        <f>INDEX(TeAllPoints!$E$2:$E$957,MATCH(Filter!B635,TeAllPoints!$B$2:$B$957,0))</f>
        <v>SOMERSET</v>
      </c>
      <c r="I635">
        <f>INDEX('TE_OA_20200805_INTRDY_2020-08-0'!$Q$2:$Q$870,MATCH(Filter!B635,'TE_OA_20200805_INTRDY_2020-08-0'!$G$2:$G$870))</f>
        <v>17065</v>
      </c>
      <c r="J635">
        <f>INDEX('TE_OA_20200805_INTRDY_2020-08-0'!$R$2:$R$870,MATCH(Filter!B635,'TE_OA_20200805_INTRDY_2020-08-0'!$G$2:$G$870))</f>
        <v>991</v>
      </c>
    </row>
    <row r="636" spans="1:10" x14ac:dyDescent="0.25">
      <c r="A636" t="str">
        <f>INDEX('Pipe Table'!$E$2:$E$10,MATCH(INDEX('TE_OA_20200805_INTRDY_2020-08-0'!$T$2:$T$870,MATCH(Filter!B636,'TE_OA_20200805_INTRDY_2020-08-0'!$G$2:$G$870,0)),'Pipe Table'!$D$2:$D$10,0))</f>
        <v>TETCO</v>
      </c>
      <c r="B636">
        <v>73717</v>
      </c>
      <c r="C636" t="str">
        <f>INDEX('TE_OA_20200805_INTRDY_2020-08-0'!$J$2:$J$870,MATCH(Filter!B636,'TE_OA_20200805_INTRDY_2020-08-0'!$G$2:$G$870))</f>
        <v>Receipt</v>
      </c>
      <c r="D636" t="str">
        <f>INDEX('Pipe Table'!$B$2:$B$14,MATCH(INDEX(TeAllPoints!$I$2:$I$957,MATCH(Filter!B636,TeAllPoints!$B$2:$B$957,0)),'Pipe Table'!$A$2:$A$14,0))</f>
        <v>Wellhead</v>
      </c>
      <c r="E636" t="str">
        <f>INDEX('TE_OA_20200805_INTRDY_2020-08-0'!$H$2:$H$870,MATCH(Filter!B636,'TE_OA_20200805_INTRDY_2020-08-0'!$G$2:$G$870))</f>
        <v>Esenjay Petroleum/Hoblit Unit #1-Run 1</v>
      </c>
      <c r="F636" t="str">
        <f>INDEX('Pipe Table'!$H$2:$H$8,MATCH('TE_OA_20200805_INTRDY_2020-08-0'!I617,'Pipe Table'!$G$2:$G$8,0))</f>
        <v>TETCO-STX</v>
      </c>
      <c r="G636" t="str">
        <f>INDEX(TeAllPoints!$D$2:$D$957,MATCH(Filter!B636,TeAllPoints!$B$2:$B$957,0))</f>
        <v>TX</v>
      </c>
      <c r="H636" t="str">
        <f>INDEX(TeAllPoints!$E$2:$E$957,MATCH(Filter!B636,TeAllPoints!$B$2:$B$957,0))</f>
        <v>GOLIAD</v>
      </c>
      <c r="I636">
        <f>INDEX('TE_OA_20200805_INTRDY_2020-08-0'!$Q$2:$Q$870,MATCH(Filter!B636,'TE_OA_20200805_INTRDY_2020-08-0'!$G$2:$G$870))</f>
        <v>3566</v>
      </c>
      <c r="J636">
        <f>INDEX('TE_OA_20200805_INTRDY_2020-08-0'!$R$2:$R$870,MATCH(Filter!B636,'TE_OA_20200805_INTRDY_2020-08-0'!$G$2:$G$870))</f>
        <v>0</v>
      </c>
    </row>
    <row r="637" spans="1:10" x14ac:dyDescent="0.25">
      <c r="A637" t="str">
        <f>INDEX('Pipe Table'!$E$2:$E$10,MATCH(INDEX('TE_OA_20200805_INTRDY_2020-08-0'!$T$2:$T$870,MATCH(Filter!B637,'TE_OA_20200805_INTRDY_2020-08-0'!$G$2:$G$870,0)),'Pipe Table'!$D$2:$D$10,0))</f>
        <v>TETCO</v>
      </c>
      <c r="B637">
        <v>73718</v>
      </c>
      <c r="C637" t="str">
        <f>INDEX('TE_OA_20200805_INTRDY_2020-08-0'!$J$2:$J$870,MATCH(Filter!B637,'TE_OA_20200805_INTRDY_2020-08-0'!$G$2:$G$870))</f>
        <v>Delivery</v>
      </c>
      <c r="D637" t="str">
        <f>INDEX('Pipe Table'!$B$2:$B$14,MATCH(INDEX(TeAllPoints!$I$2:$I$957,MATCH(Filter!B637,TeAllPoints!$B$2:$B$957,0)),'Pipe Table'!$A$2:$A$14,0))</f>
        <v>Intrcnnct</v>
      </c>
      <c r="E637" t="str">
        <f>INDEX('TE_OA_20200805_INTRDY_2020-08-0'!$H$2:$H$870,MATCH(Filter!B637,'TE_OA_20200805_INTRDY_2020-08-0'!$G$2:$G$870))</f>
        <v>Columbia-Marietta, Lancaster Co., PA</v>
      </c>
      <c r="F637" t="str">
        <f>INDEX('Pipe Table'!$H$2:$H$8,MATCH('TE_OA_20200805_INTRDY_2020-08-0'!I618,'Pipe Table'!$G$2:$G$8,0))</f>
        <v>TETCO-M3</v>
      </c>
      <c r="G637" t="str">
        <f>INDEX(TeAllPoints!$D$2:$D$957,MATCH(Filter!B637,TeAllPoints!$B$2:$B$957,0))</f>
        <v>PA</v>
      </c>
      <c r="H637" t="str">
        <f>INDEX(TeAllPoints!$E$2:$E$957,MATCH(Filter!B637,TeAllPoints!$B$2:$B$957,0))</f>
        <v>LANCASTER</v>
      </c>
      <c r="I637">
        <f>INDEX('TE_OA_20200805_INTRDY_2020-08-0'!$Q$2:$Q$870,MATCH(Filter!B637,'TE_OA_20200805_INTRDY_2020-08-0'!$G$2:$G$870))</f>
        <v>374832</v>
      </c>
      <c r="J637">
        <f>INDEX('TE_OA_20200805_INTRDY_2020-08-0'!$R$2:$R$870,MATCH(Filter!B637,'TE_OA_20200805_INTRDY_2020-08-0'!$G$2:$G$870))</f>
        <v>0</v>
      </c>
    </row>
    <row r="638" spans="1:10" x14ac:dyDescent="0.25">
      <c r="A638" t="str">
        <f>INDEX('Pipe Table'!$E$2:$E$10,MATCH(INDEX('TE_OA_20200805_INTRDY_2020-08-0'!$T$2:$T$870,MATCH(Filter!B638,'TE_OA_20200805_INTRDY_2020-08-0'!$G$2:$G$870,0)),'Pipe Table'!$D$2:$D$10,0))</f>
        <v>TETCO</v>
      </c>
      <c r="B638">
        <v>73719</v>
      </c>
      <c r="C638" t="str">
        <f>INDEX('TE_OA_20200805_INTRDY_2020-08-0'!$J$2:$J$870,MATCH(Filter!B638,'TE_OA_20200805_INTRDY_2020-08-0'!$G$2:$G$870))</f>
        <v>Receipt</v>
      </c>
      <c r="D638" t="str">
        <f>INDEX('Pipe Table'!$B$2:$B$14,MATCH(INDEX(TeAllPoints!$I$2:$I$957,MATCH(Filter!B638,TeAllPoints!$B$2:$B$957,0)),'Pipe Table'!$A$2:$A$14,0))</f>
        <v>Wellhead</v>
      </c>
      <c r="E638" t="str">
        <f>INDEX('TE_OA_20200805_INTRDY_2020-08-0'!$H$2:$H$870,MATCH(Filter!B638,'TE_OA_20200805_INTRDY_2020-08-0'!$G$2:$G$870))</f>
        <v>T2 Gas Utility LLC/Refugio Interconnect</v>
      </c>
      <c r="F638" t="str">
        <f>INDEX('Pipe Table'!$H$2:$H$8,MATCH('TE_OA_20200805_INTRDY_2020-08-0'!I619,'Pipe Table'!$G$2:$G$8,0))</f>
        <v>TETCO-STX</v>
      </c>
      <c r="G638" t="str">
        <f>INDEX(TeAllPoints!$D$2:$D$957,MATCH(Filter!B638,TeAllPoints!$B$2:$B$957,0))</f>
        <v>TX</v>
      </c>
      <c r="H638" t="str">
        <f>INDEX(TeAllPoints!$E$2:$E$957,MATCH(Filter!B638,TeAllPoints!$B$2:$B$957,0))</f>
        <v>REFUGIO</v>
      </c>
      <c r="I638">
        <f>INDEX('TE_OA_20200805_INTRDY_2020-08-0'!$Q$2:$Q$870,MATCH(Filter!B638,'TE_OA_20200805_INTRDY_2020-08-0'!$G$2:$G$870))</f>
        <v>230431</v>
      </c>
      <c r="J638">
        <f>INDEX('TE_OA_20200805_INTRDY_2020-08-0'!$R$2:$R$870,MATCH(Filter!B638,'TE_OA_20200805_INTRDY_2020-08-0'!$G$2:$G$870))</f>
        <v>17860</v>
      </c>
    </row>
    <row r="639" spans="1:10" x14ac:dyDescent="0.25">
      <c r="A639" t="str">
        <f>INDEX('Pipe Table'!$E$2:$E$10,MATCH(INDEX('TE_OA_20200805_INTRDY_2020-08-0'!$T$2:$T$870,MATCH(Filter!B639,'TE_OA_20200805_INTRDY_2020-08-0'!$G$2:$G$870,0)),'Pipe Table'!$D$2:$D$10,0))</f>
        <v>TETCO</v>
      </c>
      <c r="B639">
        <v>73721</v>
      </c>
      <c r="C639" t="str">
        <f>INDEX('TE_OA_20200805_INTRDY_2020-08-0'!$J$2:$J$870,MATCH(Filter!B639,'TE_OA_20200805_INTRDY_2020-08-0'!$G$2:$G$870))</f>
        <v>Delivery</v>
      </c>
      <c r="D639" t="str">
        <f>INDEX('Pipe Table'!$B$2:$B$14,MATCH(INDEX(TeAllPoints!$I$2:$I$957,MATCH(Filter!B639,TeAllPoints!$B$2:$B$957,0)),'Pipe Table'!$A$2:$A$14,0))</f>
        <v>LDC</v>
      </c>
      <c r="E639" t="str">
        <f>INDEX('TE_OA_20200805_INTRDY_2020-08-0'!$H$2:$H$870,MATCH(Filter!B639,'TE_OA_20200805_INTRDY_2020-08-0'!$G$2:$G$870))</f>
        <v>PSEG-Bayonne, Hudson Co., NJ</v>
      </c>
      <c r="F639" t="str">
        <f>INDEX('Pipe Table'!$H$2:$H$8,MATCH('TE_OA_20200805_INTRDY_2020-08-0'!I620,'Pipe Table'!$G$2:$G$8,0))</f>
        <v>TETCO-M3</v>
      </c>
      <c r="G639" t="str">
        <f>INDEX(TeAllPoints!$D$2:$D$957,MATCH(Filter!B639,TeAllPoints!$B$2:$B$957,0))</f>
        <v>NJ</v>
      </c>
      <c r="H639" t="str">
        <f>INDEX(TeAllPoints!$E$2:$E$957,MATCH(Filter!B639,TeAllPoints!$B$2:$B$957,0))</f>
        <v>HUDSON</v>
      </c>
      <c r="I639">
        <f>INDEX('TE_OA_20200805_INTRDY_2020-08-0'!$Q$2:$Q$870,MATCH(Filter!B639,'TE_OA_20200805_INTRDY_2020-08-0'!$G$2:$G$870))</f>
        <v>7530</v>
      </c>
      <c r="J639">
        <f>INDEX('TE_OA_20200805_INTRDY_2020-08-0'!$R$2:$R$870,MATCH(Filter!B639,'TE_OA_20200805_INTRDY_2020-08-0'!$G$2:$G$870))</f>
        <v>0</v>
      </c>
    </row>
    <row r="640" spans="1:10" x14ac:dyDescent="0.25">
      <c r="A640" t="str">
        <f>INDEX('Pipe Table'!$E$2:$E$10,MATCH(INDEX('TE_OA_20200805_INTRDY_2020-08-0'!$T$2:$T$870,MATCH(Filter!B640,'TE_OA_20200805_INTRDY_2020-08-0'!$G$2:$G$870,0)),'Pipe Table'!$D$2:$D$10,0))</f>
        <v>TETCO</v>
      </c>
      <c r="B640">
        <v>73722</v>
      </c>
      <c r="C640" t="str">
        <f>INDEX('TE_OA_20200805_INTRDY_2020-08-0'!$J$2:$J$870,MATCH(Filter!B640,'TE_OA_20200805_INTRDY_2020-08-0'!$G$2:$G$870))</f>
        <v>Delivery</v>
      </c>
      <c r="D640" t="str">
        <f>INDEX('Pipe Table'!$B$2:$B$14,MATCH(INDEX(TeAllPoints!$I$2:$I$957,MATCH(Filter!B640,TeAllPoints!$B$2:$B$957,0)),'Pipe Table'!$A$2:$A$14,0))</f>
        <v>LDC</v>
      </c>
      <c r="E640" t="str">
        <f>INDEX('TE_OA_20200805_INTRDY_2020-08-0'!$H$2:$H$870,MATCH(Filter!B640,'TE_OA_20200805_INTRDY_2020-08-0'!$G$2:$G$870))</f>
        <v>ConEd-Manhattan Delivery</v>
      </c>
      <c r="F640" t="str">
        <f>INDEX('Pipe Table'!$H$2:$H$8,MATCH('TE_OA_20200805_INTRDY_2020-08-0'!I621,'Pipe Table'!$G$2:$G$8,0))</f>
        <v>TETCO-M3</v>
      </c>
      <c r="G640" t="str">
        <f>INDEX(TeAllPoints!$D$2:$D$957,MATCH(Filter!B640,TeAllPoints!$B$2:$B$957,0))</f>
        <v>NJ</v>
      </c>
      <c r="H640" t="str">
        <f>INDEX(TeAllPoints!$E$2:$E$957,MATCH(Filter!B640,TeAllPoints!$B$2:$B$957,0))</f>
        <v>HUDSON</v>
      </c>
      <c r="I640">
        <f>INDEX('TE_OA_20200805_INTRDY_2020-08-0'!$Q$2:$Q$870,MATCH(Filter!B640,'TE_OA_20200805_INTRDY_2020-08-0'!$G$2:$G$870))</f>
        <v>1189680</v>
      </c>
      <c r="J640">
        <f>INDEX('TE_OA_20200805_INTRDY_2020-08-0'!$R$2:$R$870,MATCH(Filter!B640,'TE_OA_20200805_INTRDY_2020-08-0'!$G$2:$G$870))</f>
        <v>226653</v>
      </c>
    </row>
    <row r="641" spans="1:10" x14ac:dyDescent="0.25">
      <c r="A641" t="str">
        <f>INDEX('Pipe Table'!$E$2:$E$10,MATCH(INDEX('TE_OA_20200805_INTRDY_2020-08-0'!$T$2:$T$870,MATCH(Filter!B641,'TE_OA_20200805_INTRDY_2020-08-0'!$G$2:$G$870,0)),'Pipe Table'!$D$2:$D$10,0))</f>
        <v>TETCO</v>
      </c>
      <c r="B641">
        <v>73727</v>
      </c>
      <c r="C641" t="str">
        <f>INDEX('TE_OA_20200805_INTRDY_2020-08-0'!$J$2:$J$870,MATCH(Filter!B641,'TE_OA_20200805_INTRDY_2020-08-0'!$G$2:$G$870))</f>
        <v>Receipt</v>
      </c>
      <c r="D641" t="str">
        <f>INDEX('Pipe Table'!$B$2:$B$14,MATCH(INDEX(TeAllPoints!$I$2:$I$957,MATCH(Filter!B641,TeAllPoints!$B$2:$B$957,0)),'Pipe Table'!$A$2:$A$14,0))</f>
        <v>Wellhead</v>
      </c>
      <c r="E641" t="str">
        <f>INDEX('TE_OA_20200805_INTRDY_2020-08-0'!$H$2:$H$870,MATCH(Filter!B641,'TE_OA_20200805_INTRDY_2020-08-0'!$G$2:$G$870))</f>
        <v>Columbia Midstream Big Pine  Westmoreland Co.,  PA</v>
      </c>
      <c r="F641" t="str">
        <f>INDEX('Pipe Table'!$H$2:$H$8,MATCH('TE_OA_20200805_INTRDY_2020-08-0'!I622,'Pipe Table'!$G$2:$G$8,0))</f>
        <v>TETCO-M3</v>
      </c>
      <c r="G641" t="str">
        <f>INDEX(TeAllPoints!$D$2:$D$957,MATCH(Filter!B641,TeAllPoints!$B$2:$B$957,0))</f>
        <v>PA</v>
      </c>
      <c r="H641" t="str">
        <f>INDEX(TeAllPoints!$E$2:$E$957,MATCH(Filter!B641,TeAllPoints!$B$2:$B$957,0))</f>
        <v>WESTMORELAND</v>
      </c>
      <c r="I641">
        <f>INDEX('TE_OA_20200805_INTRDY_2020-08-0'!$Q$2:$Q$870,MATCH(Filter!B641,'TE_OA_20200805_INTRDY_2020-08-0'!$G$2:$G$870))</f>
        <v>771448</v>
      </c>
      <c r="J641">
        <f>INDEX('TE_OA_20200805_INTRDY_2020-08-0'!$R$2:$R$870,MATCH(Filter!B641,'TE_OA_20200805_INTRDY_2020-08-0'!$G$2:$G$870))</f>
        <v>364335</v>
      </c>
    </row>
    <row r="642" spans="1:10" x14ac:dyDescent="0.25">
      <c r="A642" t="str">
        <f>INDEX('Pipe Table'!$E$2:$E$10,MATCH(INDEX('TE_OA_20200805_INTRDY_2020-08-0'!$T$2:$T$870,MATCH(Filter!B642,'TE_OA_20200805_INTRDY_2020-08-0'!$G$2:$G$870,0)),'Pipe Table'!$D$2:$D$10,0))</f>
        <v>TETCO</v>
      </c>
      <c r="B642">
        <v>73728</v>
      </c>
      <c r="C642" t="str">
        <f>INDEX('TE_OA_20200805_INTRDY_2020-08-0'!$J$2:$J$870,MATCH(Filter!B642,'TE_OA_20200805_INTRDY_2020-08-0'!$G$2:$G$870))</f>
        <v>Receipt</v>
      </c>
      <c r="D642" t="str">
        <f>INDEX('Pipe Table'!$B$2:$B$14,MATCH(INDEX(TeAllPoints!$I$2:$I$957,MATCH(Filter!B642,TeAllPoints!$B$2:$B$957,0)),'Pipe Table'!$A$2:$A$14,0))</f>
        <v>Wellhead</v>
      </c>
      <c r="E642" t="str">
        <f>INDEX('TE_OA_20200805_INTRDY_2020-08-0'!$H$2:$H$870,MATCH(Filter!B642,'TE_OA_20200805_INTRDY_2020-08-0'!$G$2:$G$870))</f>
        <v>EQT/Morris III, Greene Co., PA</v>
      </c>
      <c r="F642" t="str">
        <f>INDEX('Pipe Table'!$H$2:$H$8,MATCH('TE_OA_20200805_INTRDY_2020-08-0'!I623,'Pipe Table'!$G$2:$G$8,0))</f>
        <v>TETCO-M2</v>
      </c>
      <c r="G642" t="str">
        <f>INDEX(TeAllPoints!$D$2:$D$957,MATCH(Filter!B642,TeAllPoints!$B$2:$B$957,0))</f>
        <v>PA</v>
      </c>
      <c r="H642" t="str">
        <f>INDEX(TeAllPoints!$E$2:$E$957,MATCH(Filter!B642,TeAllPoints!$B$2:$B$957,0))</f>
        <v>GREENE</v>
      </c>
      <c r="I642">
        <f>INDEX('TE_OA_20200805_INTRDY_2020-08-0'!$Q$2:$Q$870,MATCH(Filter!B642,'TE_OA_20200805_INTRDY_2020-08-0'!$G$2:$G$870))</f>
        <v>364008</v>
      </c>
      <c r="J642">
        <f>INDEX('TE_OA_20200805_INTRDY_2020-08-0'!$R$2:$R$870,MATCH(Filter!B642,'TE_OA_20200805_INTRDY_2020-08-0'!$G$2:$G$870))</f>
        <v>0</v>
      </c>
    </row>
    <row r="643" spans="1:10" x14ac:dyDescent="0.25">
      <c r="A643" t="str">
        <f>INDEX('Pipe Table'!$E$2:$E$10,MATCH(INDEX('TE_OA_20200805_INTRDY_2020-08-0'!$T$2:$T$870,MATCH(Filter!B643,'TE_OA_20200805_INTRDY_2020-08-0'!$G$2:$G$870,0)),'Pipe Table'!$D$2:$D$10,0))</f>
        <v>TETCO</v>
      </c>
      <c r="B643">
        <v>73729</v>
      </c>
      <c r="C643" t="str">
        <f>INDEX('TE_OA_20200805_INTRDY_2020-08-0'!$J$2:$J$870,MATCH(Filter!B643,'TE_OA_20200805_INTRDY_2020-08-0'!$G$2:$G$870))</f>
        <v>Delivery</v>
      </c>
      <c r="D643" t="str">
        <f>INDEX('Pipe Table'!$B$2:$B$14,MATCH(INDEX(TeAllPoints!$I$2:$I$957,MATCH(Filter!B643,TeAllPoints!$B$2:$B$957,0)),'Pipe Table'!$A$2:$A$14,0))</f>
        <v>EndUsr</v>
      </c>
      <c r="E643" t="str">
        <f>INDEX('TE_OA_20200805_INTRDY_2020-08-0'!$H$2:$H$870,MATCH(Filter!B643,'TE_OA_20200805_INTRDY_2020-08-0'!$G$2:$G$870))</f>
        <v>Centerpoint Energy - Granite Mountain Quarry, Pulaski Co., AR</v>
      </c>
      <c r="F643" t="str">
        <f>INDEX('Pipe Table'!$H$2:$H$8,MATCH('TE_OA_20200805_INTRDY_2020-08-0'!I624,'Pipe Table'!$G$2:$G$8,0))</f>
        <v>TETCO-ETX</v>
      </c>
      <c r="G643" t="str">
        <f>INDEX(TeAllPoints!$D$2:$D$957,MATCH(Filter!B643,TeAllPoints!$B$2:$B$957,0))</f>
        <v>AR</v>
      </c>
      <c r="H643" t="str">
        <f>INDEX(TeAllPoints!$E$2:$E$957,MATCH(Filter!B643,TeAllPoints!$B$2:$B$957,0))</f>
        <v>PULASKI</v>
      </c>
      <c r="I643">
        <f>INDEX('TE_OA_20200805_INTRDY_2020-08-0'!$Q$2:$Q$870,MATCH(Filter!B643,'TE_OA_20200805_INTRDY_2020-08-0'!$G$2:$G$870))</f>
        <v>17754</v>
      </c>
      <c r="J643">
        <f>INDEX('TE_OA_20200805_INTRDY_2020-08-0'!$R$2:$R$870,MATCH(Filter!B643,'TE_OA_20200805_INTRDY_2020-08-0'!$G$2:$G$870))</f>
        <v>0</v>
      </c>
    </row>
    <row r="644" spans="1:10" x14ac:dyDescent="0.25">
      <c r="A644" t="str">
        <f>INDEX('Pipe Table'!$E$2:$E$10,MATCH(INDEX('TE_OA_20200805_INTRDY_2020-08-0'!$T$2:$T$870,MATCH(Filter!B644,'TE_OA_20200805_INTRDY_2020-08-0'!$G$2:$G$870,0)),'Pipe Table'!$D$2:$D$10,0))</f>
        <v>TETCO</v>
      </c>
      <c r="B644">
        <v>73730</v>
      </c>
      <c r="C644" t="str">
        <f>INDEX('TE_OA_20200805_INTRDY_2020-08-0'!$J$2:$J$870,MATCH(Filter!B644,'TE_OA_20200805_INTRDY_2020-08-0'!$G$2:$G$870))</f>
        <v>Delivery</v>
      </c>
      <c r="D644" t="str">
        <f>INDEX('Pipe Table'!$B$2:$B$14,MATCH(INDEX(TeAllPoints!$I$2:$I$957,MATCH(Filter!B644,TeAllPoints!$B$2:$B$957,0)),'Pipe Table'!$A$2:$A$14,0))</f>
        <v>Intrcnnct</v>
      </c>
      <c r="E644" t="str">
        <f>INDEX('TE_OA_20200805_INTRDY_2020-08-0'!$H$2:$H$870,MATCH(Filter!B644,'TE_OA_20200805_INTRDY_2020-08-0'!$G$2:$G$870))</f>
        <v>TGP - Wheelersburg Interconnect</v>
      </c>
      <c r="F644" t="str">
        <f>INDEX('Pipe Table'!$H$2:$H$8,MATCH('TE_OA_20200805_INTRDY_2020-08-0'!I625,'Pipe Table'!$G$2:$G$8,0))</f>
        <v>TETCO-M2</v>
      </c>
      <c r="G644" t="str">
        <f>INDEX(TeAllPoints!$D$2:$D$957,MATCH(Filter!B644,TeAllPoints!$B$2:$B$957,0))</f>
        <v>OH</v>
      </c>
      <c r="H644" t="str">
        <f>INDEX(TeAllPoints!$E$2:$E$957,MATCH(Filter!B644,TeAllPoints!$B$2:$B$957,0))</f>
        <v>SCIOTO</v>
      </c>
      <c r="I644">
        <f>INDEX('TE_OA_20200805_INTRDY_2020-08-0'!$Q$2:$Q$870,MATCH(Filter!B644,'TE_OA_20200805_INTRDY_2020-08-0'!$G$2:$G$870))</f>
        <v>257391</v>
      </c>
      <c r="J644">
        <f>INDEX('TE_OA_20200805_INTRDY_2020-08-0'!$R$2:$R$870,MATCH(Filter!B644,'TE_OA_20200805_INTRDY_2020-08-0'!$G$2:$G$870))</f>
        <v>12532</v>
      </c>
    </row>
    <row r="645" spans="1:10" x14ac:dyDescent="0.25">
      <c r="A645" t="str">
        <f>INDEX('Pipe Table'!$E$2:$E$10,MATCH(INDEX('TE_OA_20200805_INTRDY_2020-08-0'!$T$2:$T$870,MATCH(Filter!B645,'TE_OA_20200805_INTRDY_2020-08-0'!$G$2:$G$870,0)),'Pipe Table'!$D$2:$D$10,0))</f>
        <v>TETCO</v>
      </c>
      <c r="B645">
        <v>73731</v>
      </c>
      <c r="C645" t="str">
        <f>INDEX('TE_OA_20200805_INTRDY_2020-08-0'!$J$2:$J$870,MATCH(Filter!B645,'TE_OA_20200805_INTRDY_2020-08-0'!$G$2:$G$870))</f>
        <v>Receipt</v>
      </c>
      <c r="D645" t="str">
        <f>INDEX('Pipe Table'!$B$2:$B$14,MATCH(INDEX(TeAllPoints!$I$2:$I$957,MATCH(Filter!B645,TeAllPoints!$B$2:$B$957,0)),'Pipe Table'!$A$2:$A$14,0))</f>
        <v>Wellhead</v>
      </c>
      <c r="E645" t="str">
        <f>INDEX('TE_OA_20200805_INTRDY_2020-08-0'!$H$2:$H$870,MATCH(Filter!B645,'TE_OA_20200805_INTRDY_2020-08-0'!$G$2:$G$870))</f>
        <v>Caiman Energy-Ritchie Rd/Burkett Hollow, Blair Co., PA</v>
      </c>
      <c r="F645" t="str">
        <f>INDEX('Pipe Table'!$H$2:$H$8,MATCH('TE_OA_20200805_INTRDY_2020-08-0'!I626,'Pipe Table'!$G$2:$G$8,0))</f>
        <v>TETCO-M3</v>
      </c>
      <c r="G645" t="str">
        <f>INDEX(TeAllPoints!$D$2:$D$957,MATCH(Filter!B645,TeAllPoints!$B$2:$B$957,0))</f>
        <v>PA</v>
      </c>
      <c r="H645" t="str">
        <f>INDEX(TeAllPoints!$E$2:$E$957,MATCH(Filter!B645,TeAllPoints!$B$2:$B$957,0))</f>
        <v>BLAIR</v>
      </c>
      <c r="I645">
        <f>INDEX('TE_OA_20200805_INTRDY_2020-08-0'!$Q$2:$Q$870,MATCH(Filter!B645,'TE_OA_20200805_INTRDY_2020-08-0'!$G$2:$G$870))</f>
        <v>38469</v>
      </c>
      <c r="J645">
        <f>INDEX('TE_OA_20200805_INTRDY_2020-08-0'!$R$2:$R$870,MATCH(Filter!B645,'TE_OA_20200805_INTRDY_2020-08-0'!$G$2:$G$870))</f>
        <v>1285</v>
      </c>
    </row>
    <row r="646" spans="1:10" x14ac:dyDescent="0.25">
      <c r="A646" t="str">
        <f>INDEX('Pipe Table'!$E$2:$E$10,MATCH(INDEX('TE_OA_20200805_INTRDY_2020-08-0'!$T$2:$T$870,MATCH(Filter!B646,'TE_OA_20200805_INTRDY_2020-08-0'!$G$2:$G$870,0)),'Pipe Table'!$D$2:$D$10,0))</f>
        <v>TETCO</v>
      </c>
      <c r="B646">
        <v>73732</v>
      </c>
      <c r="C646" t="str">
        <f>INDEX('TE_OA_20200805_INTRDY_2020-08-0'!$J$2:$J$870,MATCH(Filter!B646,'TE_OA_20200805_INTRDY_2020-08-0'!$G$2:$G$870))</f>
        <v>Receipt</v>
      </c>
      <c r="D646" t="str">
        <f>INDEX('Pipe Table'!$B$2:$B$14,MATCH(INDEX(TeAllPoints!$I$2:$I$957,MATCH(Filter!B646,TeAllPoints!$B$2:$B$957,0)),'Pipe Table'!$A$2:$A$14,0))</f>
        <v>Wellhead</v>
      </c>
      <c r="E646" t="str">
        <f>INDEX('TE_OA_20200805_INTRDY_2020-08-0'!$H$2:$H$870,MATCH(Filter!B646,'TE_OA_20200805_INTRDY_2020-08-0'!$G$2:$G$870))</f>
        <v>Blue Racer Midstream-Berne, Monroe Co.,OH</v>
      </c>
      <c r="F646" t="str">
        <f>INDEX('Pipe Table'!$H$2:$H$8,MATCH('TE_OA_20200805_INTRDY_2020-08-0'!I627,'Pipe Table'!$G$2:$G$8,0))</f>
        <v>TETCO-M2</v>
      </c>
      <c r="G646" t="str">
        <f>INDEX(TeAllPoints!$D$2:$D$957,MATCH(Filter!B646,TeAllPoints!$B$2:$B$957,0))</f>
        <v>OH</v>
      </c>
      <c r="H646" t="str">
        <f>INDEX(TeAllPoints!$E$2:$E$957,MATCH(Filter!B646,TeAllPoints!$B$2:$B$957,0))</f>
        <v>MONROE</v>
      </c>
      <c r="I646">
        <f>INDEX('TE_OA_20200805_INTRDY_2020-08-0'!$Q$2:$Q$870,MATCH(Filter!B646,'TE_OA_20200805_INTRDY_2020-08-0'!$G$2:$G$870))</f>
        <v>501201</v>
      </c>
      <c r="J646">
        <f>INDEX('TE_OA_20200805_INTRDY_2020-08-0'!$R$2:$R$870,MATCH(Filter!B646,'TE_OA_20200805_INTRDY_2020-08-0'!$G$2:$G$870))</f>
        <v>3000</v>
      </c>
    </row>
    <row r="647" spans="1:10" x14ac:dyDescent="0.25">
      <c r="A647" t="str">
        <f>INDEX('Pipe Table'!$E$2:$E$10,MATCH(INDEX('TE_OA_20200805_INTRDY_2020-08-0'!$T$2:$T$870,MATCH(Filter!B647,'TE_OA_20200805_INTRDY_2020-08-0'!$G$2:$G$870,0)),'Pipe Table'!$D$2:$D$10,0))</f>
        <v>TETCO</v>
      </c>
      <c r="B647">
        <v>73733</v>
      </c>
      <c r="C647" t="str">
        <f>INDEX('TE_OA_20200805_INTRDY_2020-08-0'!$J$2:$J$870,MATCH(Filter!B647,'TE_OA_20200805_INTRDY_2020-08-0'!$G$2:$G$870))</f>
        <v>Receipt</v>
      </c>
      <c r="D647" t="str">
        <f>INDEX('Pipe Table'!$B$2:$B$14,MATCH(INDEX(TeAllPoints!$I$2:$I$957,MATCH(Filter!B647,TeAllPoints!$B$2:$B$957,0)),'Pipe Table'!$A$2:$A$14,0))</f>
        <v>Wellhead</v>
      </c>
      <c r="E647" t="str">
        <f>INDEX('TE_OA_20200805_INTRDY_2020-08-0'!$H$2:$H$870,MATCH(Filter!B647,'TE_OA_20200805_INTRDY_2020-08-0'!$G$2:$G$870))</f>
        <v>CNX - McQuay III - Cone Gathering, Greene Co., PA.</v>
      </c>
      <c r="F647" t="str">
        <f>INDEX('Pipe Table'!$H$2:$H$8,MATCH('TE_OA_20200805_INTRDY_2020-08-0'!I628,'Pipe Table'!$G$2:$G$8,0))</f>
        <v>TETCO-M2</v>
      </c>
      <c r="G647" t="str">
        <f>INDEX(TeAllPoints!$D$2:$D$957,MATCH(Filter!B647,TeAllPoints!$B$2:$B$957,0))</f>
        <v>PA</v>
      </c>
      <c r="H647" t="str">
        <f>INDEX(TeAllPoints!$E$2:$E$957,MATCH(Filter!B647,TeAllPoints!$B$2:$B$957,0))</f>
        <v>GREENE</v>
      </c>
      <c r="I647">
        <f>INDEX('TE_OA_20200805_INTRDY_2020-08-0'!$Q$2:$Q$870,MATCH(Filter!B647,'TE_OA_20200805_INTRDY_2020-08-0'!$G$2:$G$870))</f>
        <v>608830</v>
      </c>
      <c r="J647">
        <f>INDEX('TE_OA_20200805_INTRDY_2020-08-0'!$R$2:$R$870,MATCH(Filter!B647,'TE_OA_20200805_INTRDY_2020-08-0'!$G$2:$G$870))</f>
        <v>494700</v>
      </c>
    </row>
    <row r="648" spans="1:10" x14ac:dyDescent="0.25">
      <c r="A648" t="str">
        <f>INDEX('Pipe Table'!$E$2:$E$10,MATCH(INDEX('TE_OA_20200805_INTRDY_2020-08-0'!$T$2:$T$870,MATCH(Filter!B648,'TE_OA_20200805_INTRDY_2020-08-0'!$G$2:$G$870,0)),'Pipe Table'!$D$2:$D$10,0))</f>
        <v>TETCO</v>
      </c>
      <c r="B648">
        <v>73734</v>
      </c>
      <c r="C648" t="str">
        <f>INDEX('TE_OA_20200805_INTRDY_2020-08-0'!$J$2:$J$870,MATCH(Filter!B648,'TE_OA_20200805_INTRDY_2020-08-0'!$G$2:$G$870))</f>
        <v>Receipt</v>
      </c>
      <c r="D648" t="str">
        <f>INDEX('Pipe Table'!$B$2:$B$14,MATCH(INDEX(TeAllPoints!$I$2:$I$957,MATCH(Filter!B648,TeAllPoints!$B$2:$B$957,0)),'Pipe Table'!$A$2:$A$14,0))</f>
        <v>Wellhead</v>
      </c>
      <c r="E648" t="str">
        <f>INDEX('TE_OA_20200805_INTRDY_2020-08-0'!$H$2:$H$870,MATCH(Filter!B648,'TE_OA_20200805_INTRDY_2020-08-0'!$G$2:$G$870))</f>
        <v>Mark West - Majorsville, Marshall Co., WVA</v>
      </c>
      <c r="F648" t="str">
        <f>INDEX('Pipe Table'!$H$2:$H$8,MATCH('TE_OA_20200805_INTRDY_2020-08-0'!I629,'Pipe Table'!$G$2:$G$8,0))</f>
        <v>TETCO-M2</v>
      </c>
      <c r="G648" t="str">
        <f>INDEX(TeAllPoints!$D$2:$D$957,MATCH(Filter!B648,TeAllPoints!$B$2:$B$957,0))</f>
        <v>WV</v>
      </c>
      <c r="H648" t="str">
        <f>INDEX(TeAllPoints!$E$2:$E$957,MATCH(Filter!B648,TeAllPoints!$B$2:$B$957,0))</f>
        <v>MARSHALL</v>
      </c>
      <c r="I648">
        <f>INDEX('TE_OA_20200805_INTRDY_2020-08-0'!$Q$2:$Q$870,MATCH(Filter!B648,'TE_OA_20200805_INTRDY_2020-08-0'!$G$2:$G$870))</f>
        <v>423195</v>
      </c>
      <c r="J648">
        <f>INDEX('TE_OA_20200805_INTRDY_2020-08-0'!$R$2:$R$870,MATCH(Filter!B648,'TE_OA_20200805_INTRDY_2020-08-0'!$G$2:$G$870))</f>
        <v>0</v>
      </c>
    </row>
    <row r="649" spans="1:10" x14ac:dyDescent="0.25">
      <c r="A649" t="str">
        <f>INDEX('Pipe Table'!$E$2:$E$10,MATCH(INDEX('TE_OA_20200805_INTRDY_2020-08-0'!$T$2:$T$870,MATCH(Filter!B649,'TE_OA_20200805_INTRDY_2020-08-0'!$G$2:$G$870,0)),'Pipe Table'!$D$2:$D$10,0))</f>
        <v>TETCO</v>
      </c>
      <c r="B649">
        <v>73735</v>
      </c>
      <c r="C649" t="str">
        <f>INDEX('TE_OA_20200805_INTRDY_2020-08-0'!$J$2:$J$870,MATCH(Filter!B649,'TE_OA_20200805_INTRDY_2020-08-0'!$G$2:$G$870))</f>
        <v>Receipt</v>
      </c>
      <c r="D649" t="str">
        <f>INDEX('Pipe Table'!$B$2:$B$14,MATCH(INDEX(TeAllPoints!$I$2:$I$957,MATCH(Filter!B649,TeAllPoints!$B$2:$B$957,0)),'Pipe Table'!$A$2:$A$14,0))</f>
        <v>Wellhead</v>
      </c>
      <c r="E649" t="str">
        <f>INDEX('TE_OA_20200805_INTRDY_2020-08-0'!$H$2:$H$870,MATCH(Filter!B649,'TE_OA_20200805_INTRDY_2020-08-0'!$G$2:$G$870))</f>
        <v>Bonanza - Strike Force Midstream</v>
      </c>
      <c r="F649" t="str">
        <f>INDEX('Pipe Table'!$H$2:$H$8,MATCH('TE_OA_20200805_INTRDY_2020-08-0'!I630,'Pipe Table'!$G$2:$G$8,0))</f>
        <v>TETCO-M2</v>
      </c>
      <c r="G649" t="str">
        <f>INDEX(TeAllPoints!$D$2:$D$957,MATCH(Filter!B649,TeAllPoints!$B$2:$B$957,0))</f>
        <v>OH</v>
      </c>
      <c r="H649" t="str">
        <f>INDEX(TeAllPoints!$E$2:$E$957,MATCH(Filter!B649,TeAllPoints!$B$2:$B$957,0))</f>
        <v>MONROE</v>
      </c>
      <c r="I649">
        <f>INDEX('TE_OA_20200805_INTRDY_2020-08-0'!$Q$2:$Q$870,MATCH(Filter!B649,'TE_OA_20200805_INTRDY_2020-08-0'!$G$2:$G$870))</f>
        <v>430500</v>
      </c>
      <c r="J649">
        <f>INDEX('TE_OA_20200805_INTRDY_2020-08-0'!$R$2:$R$870,MATCH(Filter!B649,'TE_OA_20200805_INTRDY_2020-08-0'!$G$2:$G$870))</f>
        <v>31000</v>
      </c>
    </row>
    <row r="650" spans="1:10" x14ac:dyDescent="0.25">
      <c r="A650" t="str">
        <f>INDEX('Pipe Table'!$E$2:$E$10,MATCH(INDEX('TE_OA_20200805_INTRDY_2020-08-0'!$T$2:$T$870,MATCH(Filter!B650,'TE_OA_20200805_INTRDY_2020-08-0'!$G$2:$G$870,0)),'Pipe Table'!$D$2:$D$10,0))</f>
        <v>TETCO</v>
      </c>
      <c r="B650">
        <v>73736</v>
      </c>
      <c r="C650" t="str">
        <f>INDEX('TE_OA_20200805_INTRDY_2020-08-0'!$J$2:$J$870,MATCH(Filter!B650,'TE_OA_20200805_INTRDY_2020-08-0'!$G$2:$G$870))</f>
        <v>Receipt</v>
      </c>
      <c r="D650" t="str">
        <f>INDEX('Pipe Table'!$B$2:$B$14,MATCH(INDEX(TeAllPoints!$I$2:$I$957,MATCH(Filter!B650,TeAllPoints!$B$2:$B$957,0)),'Pipe Table'!$A$2:$A$14,0))</f>
        <v>Wellhead</v>
      </c>
      <c r="E650" t="str">
        <f>INDEX('TE_OA_20200805_INTRDY_2020-08-0'!$H$2:$H$870,MATCH(Filter!B650,'TE_OA_20200805_INTRDY_2020-08-0'!$G$2:$G$870))</f>
        <v>Williams OVM / Oak Grove, Clay WVA</v>
      </c>
      <c r="F650" t="str">
        <f>INDEX('Pipe Table'!$H$2:$H$8,MATCH('TE_OA_20200805_INTRDY_2020-08-0'!I631,'Pipe Table'!$G$2:$G$8,0))</f>
        <v>TETCO-M2</v>
      </c>
      <c r="G650" t="str">
        <f>INDEX(TeAllPoints!$D$2:$D$957,MATCH(Filter!B650,TeAllPoints!$B$2:$B$957,0))</f>
        <v>WV</v>
      </c>
      <c r="H650" t="str">
        <f>INDEX(TeAllPoints!$E$2:$E$957,MATCH(Filter!B650,TeAllPoints!$B$2:$B$957,0))</f>
        <v>MARSHALL</v>
      </c>
      <c r="I650">
        <f>INDEX('TE_OA_20200805_INTRDY_2020-08-0'!$Q$2:$Q$870,MATCH(Filter!B650,'TE_OA_20200805_INTRDY_2020-08-0'!$G$2:$G$870))</f>
        <v>663029</v>
      </c>
      <c r="J650">
        <f>INDEX('TE_OA_20200805_INTRDY_2020-08-0'!$R$2:$R$870,MATCH(Filter!B650,'TE_OA_20200805_INTRDY_2020-08-0'!$G$2:$G$870))</f>
        <v>0</v>
      </c>
    </row>
    <row r="651" spans="1:10" x14ac:dyDescent="0.25">
      <c r="A651" t="str">
        <f>INDEX('Pipe Table'!$E$2:$E$10,MATCH(INDEX('TE_OA_20200805_INTRDY_2020-08-0'!$T$2:$T$870,MATCH(Filter!B651,'TE_OA_20200805_INTRDY_2020-08-0'!$G$2:$G$870,0)),'Pipe Table'!$D$2:$D$10,0))</f>
        <v>TETCO</v>
      </c>
      <c r="B651">
        <v>73808</v>
      </c>
      <c r="C651" t="str">
        <f>INDEX('TE_OA_20200805_INTRDY_2020-08-0'!$J$2:$J$870,MATCH(Filter!B651,'TE_OA_20200805_INTRDY_2020-08-0'!$G$2:$G$870))</f>
        <v>Receipt</v>
      </c>
      <c r="D651" t="str">
        <f>INDEX('Pipe Table'!$B$2:$B$14,MATCH(INDEX(TeAllPoints!$I$2:$I$957,MATCH(Filter!B651,TeAllPoints!$B$2:$B$957,0)),'Pipe Table'!$A$2:$A$14,0))</f>
        <v>Intrcnnct</v>
      </c>
      <c r="E651" t="str">
        <f>INDEX('TE_OA_20200805_INTRDY_2020-08-0'!$H$2:$H$870,MATCH(Filter!B651,'TE_OA_20200805_INTRDY_2020-08-0'!$G$2:$G$870))</f>
        <v>Dominion Energy Transmission, Inc - Crayne II, Rt 188 Greene Co.,</v>
      </c>
      <c r="F651" t="str">
        <f>INDEX('Pipe Table'!$H$2:$H$8,MATCH('TE_OA_20200805_INTRDY_2020-08-0'!I632,'Pipe Table'!$G$2:$G$8,0))</f>
        <v>TETCO-M2</v>
      </c>
      <c r="G651" t="str">
        <f>INDEX(TeAllPoints!$D$2:$D$957,MATCH(Filter!B651,TeAllPoints!$B$2:$B$957,0))</f>
        <v>PA</v>
      </c>
      <c r="H651" t="str">
        <f>INDEX(TeAllPoints!$E$2:$E$957,MATCH(Filter!B651,TeAllPoints!$B$2:$B$957,0))</f>
        <v>WESTMORELAND</v>
      </c>
      <c r="I651">
        <f>INDEX('TE_OA_20200805_INTRDY_2020-08-0'!$Q$2:$Q$870,MATCH(Filter!B651,'TE_OA_20200805_INTRDY_2020-08-0'!$G$2:$G$870))</f>
        <v>377168</v>
      </c>
      <c r="J651">
        <f>INDEX('TE_OA_20200805_INTRDY_2020-08-0'!$R$2:$R$870,MATCH(Filter!B651,'TE_OA_20200805_INTRDY_2020-08-0'!$G$2:$G$870))</f>
        <v>0</v>
      </c>
    </row>
    <row r="652" spans="1:10" x14ac:dyDescent="0.25">
      <c r="A652" t="str">
        <f>INDEX('Pipe Table'!$E$2:$E$10,MATCH(INDEX('TE_OA_20200805_INTRDY_2020-08-0'!$T$2:$T$870,MATCH(Filter!B652,'TE_OA_20200805_INTRDY_2020-08-0'!$G$2:$G$870,0)),'Pipe Table'!$D$2:$D$10,0))</f>
        <v>TETCO</v>
      </c>
      <c r="B652">
        <v>73809</v>
      </c>
      <c r="C652" t="str">
        <f>INDEX('TE_OA_20200805_INTRDY_2020-08-0'!$J$2:$J$870,MATCH(Filter!B652,'TE_OA_20200805_INTRDY_2020-08-0'!$G$2:$G$870))</f>
        <v>Receipt</v>
      </c>
      <c r="D652" t="str">
        <f>INDEX('Pipe Table'!$B$2:$B$14,MATCH(INDEX(TeAllPoints!$I$2:$I$957,MATCH(Filter!B652,TeAllPoints!$B$2:$B$957,0)),'Pipe Table'!$A$2:$A$14,0))</f>
        <v>Wellhead</v>
      </c>
      <c r="E652" t="str">
        <f>INDEX('TE_OA_20200805_INTRDY_2020-08-0'!$H$2:$H$870,MATCH(Filter!B652,'TE_OA_20200805_INTRDY_2020-08-0'!$G$2:$G$870))</f>
        <v>Monroe Pipeline, Reeds Road, Monroe Co, OH</v>
      </c>
      <c r="F652" t="str">
        <f>INDEX('Pipe Table'!$H$2:$H$8,MATCH('TE_OA_20200805_INTRDY_2020-08-0'!I633,'Pipe Table'!$G$2:$G$8,0))</f>
        <v>TETCO-M2</v>
      </c>
      <c r="G652" t="str">
        <f>INDEX(TeAllPoints!$D$2:$D$957,MATCH(Filter!B652,TeAllPoints!$B$2:$B$957,0))</f>
        <v>OH</v>
      </c>
      <c r="H652" t="str">
        <f>INDEX(TeAllPoints!$E$2:$E$957,MATCH(Filter!B652,TeAllPoints!$B$2:$B$957,0))</f>
        <v>MONROE</v>
      </c>
      <c r="I652">
        <f>INDEX('TE_OA_20200805_INTRDY_2020-08-0'!$Q$2:$Q$870,MATCH(Filter!B652,'TE_OA_20200805_INTRDY_2020-08-0'!$G$2:$G$870))</f>
        <v>86881</v>
      </c>
      <c r="J652">
        <f>INDEX('TE_OA_20200805_INTRDY_2020-08-0'!$R$2:$R$870,MATCH(Filter!B652,'TE_OA_20200805_INTRDY_2020-08-0'!$G$2:$G$870))</f>
        <v>3200</v>
      </c>
    </row>
    <row r="653" spans="1:10" x14ac:dyDescent="0.25">
      <c r="A653" t="str">
        <f>INDEX('Pipe Table'!$E$2:$E$10,MATCH(INDEX('TE_OA_20200805_INTRDY_2020-08-0'!$T$2:$T$870,MATCH(Filter!B653,'TE_OA_20200805_INTRDY_2020-08-0'!$G$2:$G$870,0)),'Pipe Table'!$D$2:$D$10,0))</f>
        <v>TETCO</v>
      </c>
      <c r="B653">
        <v>73810</v>
      </c>
      <c r="C653" t="str">
        <f>INDEX('TE_OA_20200805_INTRDY_2020-08-0'!$J$2:$J$870,MATCH(Filter!B653,'TE_OA_20200805_INTRDY_2020-08-0'!$G$2:$G$870))</f>
        <v>Receipt</v>
      </c>
      <c r="D653" t="str">
        <f>INDEX('Pipe Table'!$B$2:$B$14,MATCH(INDEX(TeAllPoints!$I$2:$I$957,MATCH(Filter!B653,TeAllPoints!$B$2:$B$957,0)),'Pipe Table'!$A$2:$A$14,0))</f>
        <v>Wellhead</v>
      </c>
      <c r="E653" t="str">
        <f>INDEX('TE_OA_20200805_INTRDY_2020-08-0'!$H$2:$H$870,MATCH(Filter!B653,'TE_OA_20200805_INTRDY_2020-08-0'!$G$2:$G$870))</f>
        <v>James L Nelson Operating/Goehring Gathering-FM 584-Goliad Co., TX</v>
      </c>
      <c r="F653" t="str">
        <f>INDEX('Pipe Table'!$H$2:$H$8,MATCH('TE_OA_20200805_INTRDY_2020-08-0'!I634,'Pipe Table'!$G$2:$G$8,0))</f>
        <v>TETCO-STX</v>
      </c>
      <c r="G653" t="str">
        <f>INDEX(TeAllPoints!$D$2:$D$957,MATCH(Filter!B653,TeAllPoints!$B$2:$B$957,0))</f>
        <v>TX</v>
      </c>
      <c r="H653" t="str">
        <f>INDEX(TeAllPoints!$E$2:$E$957,MATCH(Filter!B653,TeAllPoints!$B$2:$B$957,0))</f>
        <v>GOLIAD</v>
      </c>
      <c r="I653">
        <f>INDEX('TE_OA_20200805_INTRDY_2020-08-0'!$Q$2:$Q$870,MATCH(Filter!B653,'TE_OA_20200805_INTRDY_2020-08-0'!$G$2:$G$870))</f>
        <v>4051</v>
      </c>
      <c r="J653">
        <f>INDEX('TE_OA_20200805_INTRDY_2020-08-0'!$R$2:$R$870,MATCH(Filter!B653,'TE_OA_20200805_INTRDY_2020-08-0'!$G$2:$G$870))</f>
        <v>250</v>
      </c>
    </row>
    <row r="654" spans="1:10" x14ac:dyDescent="0.25">
      <c r="A654" t="str">
        <f>INDEX('Pipe Table'!$E$2:$E$10,MATCH(INDEX('TE_OA_20200805_INTRDY_2020-08-0'!$T$2:$T$870,MATCH(Filter!B654,'TE_OA_20200805_INTRDY_2020-08-0'!$G$2:$G$870,0)),'Pipe Table'!$D$2:$D$10,0))</f>
        <v>TETCO</v>
      </c>
      <c r="B654">
        <v>73811</v>
      </c>
      <c r="C654" t="str">
        <f>INDEX('TE_OA_20200805_INTRDY_2020-08-0'!$J$2:$J$870,MATCH(Filter!B654,'TE_OA_20200805_INTRDY_2020-08-0'!$G$2:$G$870))</f>
        <v>Delivery</v>
      </c>
      <c r="D654" t="str">
        <f>INDEX('Pipe Table'!$B$2:$B$14,MATCH(INDEX(TeAllPoints!$I$2:$I$957,MATCH(Filter!B654,TeAllPoints!$B$2:$B$957,0)),'Pipe Table'!$A$2:$A$14,0))</f>
        <v>Intrcnnct</v>
      </c>
      <c r="E654" t="str">
        <f>INDEX('TE_OA_20200805_INTRDY_2020-08-0'!$H$2:$H$870,MATCH(Filter!B654,'TE_OA_20200805_INTRDY_2020-08-0'!$G$2:$G$870))</f>
        <v>Enterprise Products/Wallace Junction</v>
      </c>
      <c r="F654" t="str">
        <f>INDEX('Pipe Table'!$H$2:$H$8,MATCH('TE_OA_20200805_INTRDY_2020-08-0'!I635,'Pipe Table'!$G$2:$G$8,0))</f>
        <v>TETCO-STX</v>
      </c>
      <c r="G654" t="str">
        <f>INDEX(TeAllPoints!$D$2:$D$957,MATCH(Filter!B654,TeAllPoints!$B$2:$B$957,0))</f>
        <v>TX</v>
      </c>
      <c r="H654" t="str">
        <f>INDEX(TeAllPoints!$E$2:$E$957,MATCH(Filter!B654,TeAllPoints!$B$2:$B$957,0))</f>
        <v>CHAMBERS</v>
      </c>
      <c r="I654">
        <f>INDEX('TE_OA_20200805_INTRDY_2020-08-0'!$Q$2:$Q$870,MATCH(Filter!B654,'TE_OA_20200805_INTRDY_2020-08-0'!$G$2:$G$870))</f>
        <v>389202</v>
      </c>
      <c r="J654">
        <f>INDEX('TE_OA_20200805_INTRDY_2020-08-0'!$R$2:$R$870,MATCH(Filter!B654,'TE_OA_20200805_INTRDY_2020-08-0'!$G$2:$G$870))</f>
        <v>0</v>
      </c>
    </row>
    <row r="655" spans="1:10" x14ac:dyDescent="0.25">
      <c r="A655" t="str">
        <f>INDEX('Pipe Table'!$E$2:$E$10,MATCH(INDEX('TE_OA_20200805_INTRDY_2020-08-0'!$T$2:$T$870,MATCH(Filter!B655,'TE_OA_20200805_INTRDY_2020-08-0'!$G$2:$G$870,0)),'Pipe Table'!$D$2:$D$10,0))</f>
        <v>TETCO</v>
      </c>
      <c r="B655">
        <v>73812</v>
      </c>
      <c r="C655" t="str">
        <f>INDEX('TE_OA_20200805_INTRDY_2020-08-0'!$J$2:$J$870,MATCH(Filter!B655,'TE_OA_20200805_INTRDY_2020-08-0'!$G$2:$G$870))</f>
        <v>Receipt</v>
      </c>
      <c r="D655" t="str">
        <f>INDEX('Pipe Table'!$B$2:$B$14,MATCH(INDEX(TeAllPoints!$I$2:$I$957,MATCH(Filter!B655,TeAllPoints!$B$2:$B$957,0)),'Pipe Table'!$A$2:$A$14,0))</f>
        <v>Wellhead</v>
      </c>
      <c r="E655" t="str">
        <f>INDEX('TE_OA_20200805_INTRDY_2020-08-0'!$H$2:$H$870,MATCH(Filter!B655,'TE_OA_20200805_INTRDY_2020-08-0'!$G$2:$G$870))</f>
        <v>Markwest Utica Seneca  Monroe Co., OH</v>
      </c>
      <c r="F655" t="str">
        <f>INDEX('Pipe Table'!$H$2:$H$8,MATCH('TE_OA_20200805_INTRDY_2020-08-0'!I636,'Pipe Table'!$G$2:$G$8,0))</f>
        <v>TETCO-M2</v>
      </c>
      <c r="G655" t="str">
        <f>INDEX(TeAllPoints!$D$2:$D$957,MATCH(Filter!B655,TeAllPoints!$B$2:$B$957,0))</f>
        <v>OH</v>
      </c>
      <c r="H655" t="str">
        <f>INDEX(TeAllPoints!$E$2:$E$957,MATCH(Filter!B655,TeAllPoints!$B$2:$B$957,0))</f>
        <v>MONROE</v>
      </c>
      <c r="I655">
        <f>INDEX('TE_OA_20200805_INTRDY_2020-08-0'!$Q$2:$Q$870,MATCH(Filter!B655,'TE_OA_20200805_INTRDY_2020-08-0'!$G$2:$G$870))</f>
        <v>529884</v>
      </c>
      <c r="J655">
        <f>INDEX('TE_OA_20200805_INTRDY_2020-08-0'!$R$2:$R$870,MATCH(Filter!B655,'TE_OA_20200805_INTRDY_2020-08-0'!$G$2:$G$870))</f>
        <v>0</v>
      </c>
    </row>
    <row r="656" spans="1:10" x14ac:dyDescent="0.25">
      <c r="A656" t="str">
        <f>INDEX('Pipe Table'!$E$2:$E$10,MATCH(INDEX('TE_OA_20200805_INTRDY_2020-08-0'!$T$2:$T$870,MATCH(Filter!B656,'TE_OA_20200805_INTRDY_2020-08-0'!$G$2:$G$870,0)),'Pipe Table'!$D$2:$D$10,0))</f>
        <v>TETCO</v>
      </c>
      <c r="B656">
        <v>73813</v>
      </c>
      <c r="C656" t="str">
        <f>INDEX('TE_OA_20200805_INTRDY_2020-08-0'!$J$2:$J$870,MATCH(Filter!B656,'TE_OA_20200805_INTRDY_2020-08-0'!$G$2:$G$870))</f>
        <v>Receipt</v>
      </c>
      <c r="D656" t="str">
        <f>INDEX('Pipe Table'!$B$2:$B$14,MATCH(INDEX(TeAllPoints!$I$2:$I$957,MATCH(Filter!B656,TeAllPoints!$B$2:$B$957,0)),'Pipe Table'!$A$2:$A$14,0))</f>
        <v>Wellhead</v>
      </c>
      <c r="E656" t="str">
        <f>INDEX('TE_OA_20200805_INTRDY_2020-08-0'!$H$2:$H$870,MATCH(Filter!B656,'TE_OA_20200805_INTRDY_2020-08-0'!$G$2:$G$870))</f>
        <v>Rice Poseidon Midstream - McNay Ridge Road - Greene Co., PA.</v>
      </c>
      <c r="F656" t="str">
        <f>INDEX('Pipe Table'!$H$2:$H$8,MATCH('TE_OA_20200805_INTRDY_2020-08-0'!I637,'Pipe Table'!$G$2:$G$8,0))</f>
        <v>TETCO-M2</v>
      </c>
      <c r="G656" t="str">
        <f>INDEX(TeAllPoints!$D$2:$D$957,MATCH(Filter!B656,TeAllPoints!$B$2:$B$957,0))</f>
        <v>PA</v>
      </c>
      <c r="H656" t="str">
        <f>INDEX(TeAllPoints!$E$2:$E$957,MATCH(Filter!B656,TeAllPoints!$B$2:$B$957,0))</f>
        <v>GREENE</v>
      </c>
      <c r="I656">
        <f>INDEX('TE_OA_20200805_INTRDY_2020-08-0'!$Q$2:$Q$870,MATCH(Filter!B656,'TE_OA_20200805_INTRDY_2020-08-0'!$G$2:$G$870))</f>
        <v>186111</v>
      </c>
      <c r="J656">
        <f>INDEX('TE_OA_20200805_INTRDY_2020-08-0'!$R$2:$R$870,MATCH(Filter!B656,'TE_OA_20200805_INTRDY_2020-08-0'!$G$2:$G$870))</f>
        <v>173000</v>
      </c>
    </row>
    <row r="657" spans="1:10" x14ac:dyDescent="0.25">
      <c r="A657" t="str">
        <f>INDEX('Pipe Table'!$E$2:$E$10,MATCH(INDEX('TE_OA_20200805_INTRDY_2020-08-0'!$T$2:$T$870,MATCH(Filter!B657,'TE_OA_20200805_INTRDY_2020-08-0'!$G$2:$G$870,0)),'Pipe Table'!$D$2:$D$10,0))</f>
        <v>TETCO</v>
      </c>
      <c r="B657">
        <v>73814</v>
      </c>
      <c r="C657" t="str">
        <f>INDEX('TE_OA_20200805_INTRDY_2020-08-0'!$J$2:$J$870,MATCH(Filter!B657,'TE_OA_20200805_INTRDY_2020-08-0'!$G$2:$G$870))</f>
        <v>Delivery</v>
      </c>
      <c r="D657" t="str">
        <f>INDEX('Pipe Table'!$B$2:$B$14,MATCH(INDEX(TeAllPoints!$I$2:$I$957,MATCH(Filter!B657,TeAllPoints!$B$2:$B$957,0)),'Pipe Table'!$A$2:$A$14,0))</f>
        <v>EndUsr</v>
      </c>
      <c r="E657" t="str">
        <f>INDEX('TE_OA_20200805_INTRDY_2020-08-0'!$H$2:$H$870,MATCH(Filter!B657,'TE_OA_20200805_INTRDY_2020-08-0'!$G$2:$G$870))</f>
        <v>Graymont - Pleasant Gap / Weaver Hill Road, Centre Co., PA</v>
      </c>
      <c r="F657" t="str">
        <f>INDEX('Pipe Table'!$H$2:$H$8,MATCH('TE_OA_20200805_INTRDY_2020-08-0'!I638,'Pipe Table'!$G$2:$G$8,0))</f>
        <v>TETCO-M3</v>
      </c>
      <c r="G657" t="str">
        <f>INDEX(TeAllPoints!$D$2:$D$957,MATCH(Filter!B657,TeAllPoints!$B$2:$B$957,0))</f>
        <v>PA</v>
      </c>
      <c r="H657" t="str">
        <f>INDEX(TeAllPoints!$E$2:$E$957,MATCH(Filter!B657,TeAllPoints!$B$2:$B$957,0))</f>
        <v>CENTRE</v>
      </c>
      <c r="I657">
        <f>INDEX('TE_OA_20200805_INTRDY_2020-08-0'!$Q$2:$Q$870,MATCH(Filter!B657,'TE_OA_20200805_INTRDY_2020-08-0'!$G$2:$G$870))</f>
        <v>44892</v>
      </c>
      <c r="J657">
        <f>INDEX('TE_OA_20200805_INTRDY_2020-08-0'!$R$2:$R$870,MATCH(Filter!B657,'TE_OA_20200805_INTRDY_2020-08-0'!$G$2:$G$870))</f>
        <v>6500</v>
      </c>
    </row>
    <row r="658" spans="1:10" x14ac:dyDescent="0.25">
      <c r="A658" t="str">
        <f>INDEX('Pipe Table'!$E$2:$E$10,MATCH(INDEX('TE_OA_20200805_INTRDY_2020-08-0'!$T$2:$T$870,MATCH(Filter!B658,'TE_OA_20200805_INTRDY_2020-08-0'!$G$2:$G$870,0)),'Pipe Table'!$D$2:$D$10,0))</f>
        <v>TETCO</v>
      </c>
      <c r="B658">
        <v>73815</v>
      </c>
      <c r="C658" t="str">
        <f>INDEX('TE_OA_20200805_INTRDY_2020-08-0'!$J$2:$J$870,MATCH(Filter!B658,'TE_OA_20200805_INTRDY_2020-08-0'!$G$2:$G$870))</f>
        <v>Receipt</v>
      </c>
      <c r="D658" t="str">
        <f>INDEX('Pipe Table'!$B$2:$B$14,MATCH(INDEX(TeAllPoints!$I$2:$I$957,MATCH(Filter!B658,TeAllPoints!$B$2:$B$957,0)),'Pipe Table'!$A$2:$A$14,0))</f>
        <v>Wellhead</v>
      </c>
      <c r="E658" t="str">
        <f>INDEX('TE_OA_20200805_INTRDY_2020-08-0'!$H$2:$H$870,MATCH(Filter!B658,'TE_OA_20200805_INTRDY_2020-08-0'!$G$2:$G$870))</f>
        <v>Rice Poseidon Midstream / Rogersville - Barton Hollow Road, Centre</v>
      </c>
      <c r="F658" t="str">
        <f>INDEX('Pipe Table'!$H$2:$H$8,MATCH('TE_OA_20200805_INTRDY_2020-08-0'!I639,'Pipe Table'!$G$2:$G$8,0))</f>
        <v>TETCO-M2</v>
      </c>
      <c r="G658" t="str">
        <f>INDEX(TeAllPoints!$D$2:$D$957,MATCH(Filter!B658,TeAllPoints!$B$2:$B$957,0))</f>
        <v>PA</v>
      </c>
      <c r="H658" t="str">
        <f>INDEX(TeAllPoints!$E$2:$E$957,MATCH(Filter!B658,TeAllPoints!$B$2:$B$957,0))</f>
        <v>GREENE</v>
      </c>
      <c r="I658">
        <f>INDEX('TE_OA_20200805_INTRDY_2020-08-0'!$Q$2:$Q$870,MATCH(Filter!B658,'TE_OA_20200805_INTRDY_2020-08-0'!$G$2:$G$870))</f>
        <v>369635</v>
      </c>
      <c r="J658">
        <f>INDEX('TE_OA_20200805_INTRDY_2020-08-0'!$R$2:$R$870,MATCH(Filter!B658,'TE_OA_20200805_INTRDY_2020-08-0'!$G$2:$G$870))</f>
        <v>70000</v>
      </c>
    </row>
    <row r="659" spans="1:10" x14ac:dyDescent="0.25">
      <c r="A659" t="str">
        <f>INDEX('Pipe Table'!$E$2:$E$10,MATCH(INDEX('TE_OA_20200805_INTRDY_2020-08-0'!$T$2:$T$870,MATCH(Filter!B659,'TE_OA_20200805_INTRDY_2020-08-0'!$G$2:$G$870,0)),'Pipe Table'!$D$2:$D$10,0))</f>
        <v>TETCO</v>
      </c>
      <c r="B659">
        <v>73816</v>
      </c>
      <c r="C659" t="str">
        <f>INDEX('TE_OA_20200805_INTRDY_2020-08-0'!$J$2:$J$870,MATCH(Filter!B659,'TE_OA_20200805_INTRDY_2020-08-0'!$G$2:$G$870))</f>
        <v>Receipt</v>
      </c>
      <c r="D659" t="str">
        <f>INDEX('Pipe Table'!$B$2:$B$14,MATCH(INDEX(TeAllPoints!$I$2:$I$957,MATCH(Filter!B659,TeAllPoints!$B$2:$B$957,0)),'Pipe Table'!$A$2:$A$14,0))</f>
        <v>Wellhead</v>
      </c>
      <c r="E659" t="str">
        <f>INDEX('TE_OA_20200805_INTRDY_2020-08-0'!$H$2:$H$870,MATCH(Filter!B659,'TE_OA_20200805_INTRDY_2020-08-0'!$G$2:$G$870))</f>
        <v>Regency-Big Run /Twp. Road 964, Monroe Co.OH</v>
      </c>
      <c r="F659" t="str">
        <f>INDEX('Pipe Table'!$H$2:$H$8,MATCH('TE_OA_20200805_INTRDY_2020-08-0'!I640,'Pipe Table'!$G$2:$G$8,0))</f>
        <v>TETCO-M2</v>
      </c>
      <c r="G659" t="str">
        <f>INDEX(TeAllPoints!$D$2:$D$957,MATCH(Filter!B659,TeAllPoints!$B$2:$B$957,0))</f>
        <v>OH</v>
      </c>
      <c r="H659" t="str">
        <f>INDEX(TeAllPoints!$E$2:$E$957,MATCH(Filter!B659,TeAllPoints!$B$2:$B$957,0))</f>
        <v>MONROE</v>
      </c>
      <c r="I659">
        <f>INDEX('TE_OA_20200805_INTRDY_2020-08-0'!$Q$2:$Q$870,MATCH(Filter!B659,'TE_OA_20200805_INTRDY_2020-08-0'!$G$2:$G$870))</f>
        <v>739143</v>
      </c>
      <c r="J659">
        <f>INDEX('TE_OA_20200805_INTRDY_2020-08-0'!$R$2:$R$870,MATCH(Filter!B659,'TE_OA_20200805_INTRDY_2020-08-0'!$G$2:$G$870))</f>
        <v>0</v>
      </c>
    </row>
    <row r="660" spans="1:10" x14ac:dyDescent="0.25">
      <c r="A660" t="str">
        <f>INDEX('Pipe Table'!$E$2:$E$10,MATCH(INDEX('TE_OA_20200805_INTRDY_2020-08-0'!$T$2:$T$870,MATCH(Filter!B660,'TE_OA_20200805_INTRDY_2020-08-0'!$G$2:$G$870,0)),'Pipe Table'!$D$2:$D$10,0))</f>
        <v>TETCO</v>
      </c>
      <c r="B660">
        <v>73817</v>
      </c>
      <c r="C660" t="str">
        <f>INDEX('TE_OA_20200805_INTRDY_2020-08-0'!$J$2:$J$870,MATCH(Filter!B660,'TE_OA_20200805_INTRDY_2020-08-0'!$G$2:$G$870))</f>
        <v>Receipt</v>
      </c>
      <c r="D660" t="str">
        <f>INDEX('Pipe Table'!$B$2:$B$14,MATCH(INDEX(TeAllPoints!$I$2:$I$957,MATCH(Filter!B660,TeAllPoints!$B$2:$B$957,0)),'Pipe Table'!$A$2:$A$14,0))</f>
        <v>Wellhead</v>
      </c>
      <c r="E660" t="str">
        <f>INDEX('TE_OA_20200805_INTRDY_2020-08-0'!$H$2:$H$870,MATCH(Filter!B660,'TE_OA_20200805_INTRDY_2020-08-0'!$G$2:$G$870))</f>
        <v>KMK Oil &amp; Gas/Benton #1</v>
      </c>
      <c r="F660" t="str">
        <f>INDEX('Pipe Table'!$H$2:$H$8,MATCH('TE_OA_20200805_INTRDY_2020-08-0'!I641,'Pipe Table'!$G$2:$G$8,0))</f>
        <v>TETCO-ETX</v>
      </c>
      <c r="G660" t="str">
        <f>INDEX(TeAllPoints!$D$2:$D$957,MATCH(Filter!B660,TeAllPoints!$B$2:$B$957,0))</f>
        <v>TX</v>
      </c>
      <c r="H660" t="str">
        <f>INDEX(TeAllPoints!$E$2:$E$957,MATCH(Filter!B660,TeAllPoints!$B$2:$B$957,0))</f>
        <v>MARION</v>
      </c>
      <c r="I660">
        <f>INDEX('TE_OA_20200805_INTRDY_2020-08-0'!$Q$2:$Q$870,MATCH(Filter!B660,'TE_OA_20200805_INTRDY_2020-08-0'!$G$2:$G$870))</f>
        <v>8001</v>
      </c>
      <c r="J660">
        <f>INDEX('TE_OA_20200805_INTRDY_2020-08-0'!$R$2:$R$870,MATCH(Filter!B660,'TE_OA_20200805_INTRDY_2020-08-0'!$G$2:$G$870))</f>
        <v>251</v>
      </c>
    </row>
    <row r="661" spans="1:10" x14ac:dyDescent="0.25">
      <c r="A661" t="str">
        <f>INDEX('Pipe Table'!$E$2:$E$10,MATCH(INDEX('TE_OA_20200805_INTRDY_2020-08-0'!$T$2:$T$870,MATCH(Filter!B661,'TE_OA_20200805_INTRDY_2020-08-0'!$G$2:$G$870,0)),'Pipe Table'!$D$2:$D$10,0))</f>
        <v>TETCO</v>
      </c>
      <c r="B661">
        <v>73818</v>
      </c>
      <c r="C661" t="str">
        <f>INDEX('TE_OA_20200805_INTRDY_2020-08-0'!$J$2:$J$870,MATCH(Filter!B661,'TE_OA_20200805_INTRDY_2020-08-0'!$G$2:$G$870))</f>
        <v>Receipt</v>
      </c>
      <c r="D661" t="str">
        <f>INDEX('Pipe Table'!$B$2:$B$14,MATCH(INDEX(TeAllPoints!$I$2:$I$957,MATCH(Filter!B661,TeAllPoints!$B$2:$B$957,0)),'Pipe Table'!$A$2:$A$14,0))</f>
        <v>Wellhead</v>
      </c>
      <c r="E661" t="str">
        <f>INDEX('TE_OA_20200805_INTRDY_2020-08-0'!$H$2:$H$870,MATCH(Filter!B661,'TE_OA_20200805_INTRDY_2020-08-0'!$G$2:$G$870))</f>
        <v>Dewbre Petroleum/McGill Heirs #1-Santa Rose Ranch-Kenedy Co., TX</v>
      </c>
      <c r="F661" t="str">
        <f>INDEX('Pipe Table'!$H$2:$H$8,MATCH('TE_OA_20200805_INTRDY_2020-08-0'!I642,'Pipe Table'!$G$2:$G$8,0))</f>
        <v>TETCO-STX</v>
      </c>
      <c r="G661" t="str">
        <f>INDEX(TeAllPoints!$D$2:$D$957,MATCH(Filter!B661,TeAllPoints!$B$2:$B$957,0))</f>
        <v>TX</v>
      </c>
      <c r="H661" t="str">
        <f>INDEX(TeAllPoints!$E$2:$E$957,MATCH(Filter!B661,TeAllPoints!$B$2:$B$957,0))</f>
        <v>KENEDY</v>
      </c>
      <c r="I661">
        <f>INDEX('TE_OA_20200805_INTRDY_2020-08-0'!$Q$2:$Q$870,MATCH(Filter!B661,'TE_OA_20200805_INTRDY_2020-08-0'!$G$2:$G$870))</f>
        <v>4247</v>
      </c>
      <c r="J661">
        <f>INDEX('TE_OA_20200805_INTRDY_2020-08-0'!$R$2:$R$870,MATCH(Filter!B661,'TE_OA_20200805_INTRDY_2020-08-0'!$G$2:$G$870))</f>
        <v>90</v>
      </c>
    </row>
    <row r="662" spans="1:10" x14ac:dyDescent="0.25">
      <c r="A662" t="str">
        <f>INDEX('Pipe Table'!$E$2:$E$10,MATCH(INDEX('TE_OA_20200805_INTRDY_2020-08-0'!$T$2:$T$870,MATCH(Filter!B662,'TE_OA_20200805_INTRDY_2020-08-0'!$G$2:$G$870,0)),'Pipe Table'!$D$2:$D$10,0))</f>
        <v>TETCO</v>
      </c>
      <c r="B662">
        <v>73820</v>
      </c>
      <c r="C662" t="str">
        <f>INDEX('TE_OA_20200805_INTRDY_2020-08-0'!$J$2:$J$870,MATCH(Filter!B662,'TE_OA_20200805_INTRDY_2020-08-0'!$G$2:$G$870))</f>
        <v>Delivery</v>
      </c>
      <c r="D662" t="str">
        <f>INDEX('Pipe Table'!$B$2:$B$14,MATCH(INDEX(TeAllPoints!$I$2:$I$957,MATCH(Filter!B662,TeAllPoints!$B$2:$B$957,0)),'Pipe Table'!$A$2:$A$14,0))</f>
        <v>EndUsr</v>
      </c>
      <c r="E662" t="str">
        <f>INDEX('TE_OA_20200805_INTRDY_2020-08-0'!$H$2:$H$870,MATCH(Filter!B662,'TE_OA_20200805_INTRDY_2020-08-0'!$G$2:$G$870))</f>
        <v>NRG Energy/Big Cajun II Power Plant-Woodmen Lane</v>
      </c>
      <c r="F662" t="str">
        <f>INDEX('Pipe Table'!$H$2:$H$8,MATCH('TE_OA_20200805_INTRDY_2020-08-0'!I643,'Pipe Table'!$G$2:$G$8,0))</f>
        <v>TETCO-ELA</v>
      </c>
      <c r="G662" t="str">
        <f>INDEX(TeAllPoints!$D$2:$D$957,MATCH(Filter!B662,TeAllPoints!$B$2:$B$957,0))</f>
        <v>LA</v>
      </c>
      <c r="H662" t="str">
        <f>INDEX(TeAllPoints!$E$2:$E$957,MATCH(Filter!B662,TeAllPoints!$B$2:$B$957,0))</f>
        <v>POINTE COUPEE</v>
      </c>
      <c r="I662">
        <f>INDEX('TE_OA_20200805_INTRDY_2020-08-0'!$Q$2:$Q$870,MATCH(Filter!B662,'TE_OA_20200805_INTRDY_2020-08-0'!$G$2:$G$870))</f>
        <v>398012</v>
      </c>
      <c r="J662">
        <f>INDEX('TE_OA_20200805_INTRDY_2020-08-0'!$R$2:$R$870,MATCH(Filter!B662,'TE_OA_20200805_INTRDY_2020-08-0'!$G$2:$G$870))</f>
        <v>100000</v>
      </c>
    </row>
    <row r="663" spans="1:10" x14ac:dyDescent="0.25">
      <c r="A663" t="str">
        <f>INDEX('Pipe Table'!$E$2:$E$10,MATCH(INDEX('TE_OA_20200805_INTRDY_2020-08-0'!$T$2:$T$870,MATCH(Filter!B663,'TE_OA_20200805_INTRDY_2020-08-0'!$G$2:$G$870,0)),'Pipe Table'!$D$2:$D$10,0))</f>
        <v>TETCO</v>
      </c>
      <c r="B663">
        <v>73867</v>
      </c>
      <c r="C663" t="str">
        <f>INDEX('TE_OA_20200805_INTRDY_2020-08-0'!$J$2:$J$870,MATCH(Filter!B663,'TE_OA_20200805_INTRDY_2020-08-0'!$G$2:$G$870))</f>
        <v>Receipt</v>
      </c>
      <c r="D663" t="str">
        <f>INDEX('Pipe Table'!$B$2:$B$14,MATCH(INDEX(TeAllPoints!$I$2:$I$957,MATCH(Filter!B663,TeAllPoints!$B$2:$B$957,0)),'Pipe Table'!$A$2:$A$14,0))</f>
        <v>Wellhead</v>
      </c>
      <c r="E663" t="str">
        <f>INDEX('TE_OA_20200805_INTRDY_2020-08-0'!$H$2:$H$870,MATCH(Filter!B663,'TE_OA_20200805_INTRDY_2020-08-0'!$G$2:$G$870))</f>
        <v>Rice Energy-Alpha/Pettit Road, Greene Co. PA</v>
      </c>
      <c r="F663" t="str">
        <f>INDEX('Pipe Table'!$H$2:$H$8,MATCH('TE_OA_20200805_INTRDY_2020-08-0'!I644,'Pipe Table'!$G$2:$G$8,0))</f>
        <v>TETCO-M2</v>
      </c>
      <c r="G663" t="str">
        <f>INDEX(TeAllPoints!$D$2:$D$957,MATCH(Filter!B663,TeAllPoints!$B$2:$B$957,0))</f>
        <v>PA</v>
      </c>
      <c r="H663" t="str">
        <f>INDEX(TeAllPoints!$E$2:$E$957,MATCH(Filter!B663,TeAllPoints!$B$2:$B$957,0))</f>
        <v>GREENE</v>
      </c>
      <c r="I663">
        <f>INDEX('TE_OA_20200805_INTRDY_2020-08-0'!$Q$2:$Q$870,MATCH(Filter!B663,'TE_OA_20200805_INTRDY_2020-08-0'!$G$2:$G$870))</f>
        <v>400000</v>
      </c>
      <c r="J663">
        <f>INDEX('TE_OA_20200805_INTRDY_2020-08-0'!$R$2:$R$870,MATCH(Filter!B663,'TE_OA_20200805_INTRDY_2020-08-0'!$G$2:$G$870))</f>
        <v>146800</v>
      </c>
    </row>
    <row r="664" spans="1:10" x14ac:dyDescent="0.25">
      <c r="A664" t="str">
        <f>INDEX('Pipe Table'!$E$2:$E$10,MATCH(INDEX('TE_OA_20200805_INTRDY_2020-08-0'!$T$2:$T$870,MATCH(Filter!B664,'TE_OA_20200805_INTRDY_2020-08-0'!$G$2:$G$870,0)),'Pipe Table'!$D$2:$D$10,0))</f>
        <v>TETCO</v>
      </c>
      <c r="B664">
        <v>73868</v>
      </c>
      <c r="C664" t="str">
        <f>INDEX('TE_OA_20200805_INTRDY_2020-08-0'!$J$2:$J$870,MATCH(Filter!B664,'TE_OA_20200805_INTRDY_2020-08-0'!$G$2:$G$870))</f>
        <v>Receipt</v>
      </c>
      <c r="D664" t="str">
        <f>INDEX('Pipe Table'!$B$2:$B$14,MATCH(INDEX(TeAllPoints!$I$2:$I$957,MATCH(Filter!B664,TeAllPoints!$B$2:$B$957,0)),'Pipe Table'!$A$2:$A$14,0))</f>
        <v>Wellhead</v>
      </c>
      <c r="E664" t="str">
        <f>INDEX('TE_OA_20200805_INTRDY_2020-08-0'!$H$2:$H$870,MATCH(Filter!B664,'TE_OA_20200805_INTRDY_2020-08-0'!$G$2:$G$870))</f>
        <v>Rice Energy-Ohio/Boltz Ridge Road, Monroe Co., OH</v>
      </c>
      <c r="F664" t="str">
        <f>INDEX('Pipe Table'!$H$2:$H$8,MATCH('TE_OA_20200805_INTRDY_2020-08-0'!I645,'Pipe Table'!$G$2:$G$8,0))</f>
        <v>TETCO-M2</v>
      </c>
      <c r="G664" t="str">
        <f>INDEX(TeAllPoints!$D$2:$D$957,MATCH(Filter!B664,TeAllPoints!$B$2:$B$957,0))</f>
        <v>OH</v>
      </c>
      <c r="H664" t="str">
        <f>INDEX(TeAllPoints!$E$2:$E$957,MATCH(Filter!B664,TeAllPoints!$B$2:$B$957,0))</f>
        <v>MONROE</v>
      </c>
      <c r="I664">
        <f>INDEX('TE_OA_20200805_INTRDY_2020-08-0'!$Q$2:$Q$870,MATCH(Filter!B664,'TE_OA_20200805_INTRDY_2020-08-0'!$G$2:$G$870))</f>
        <v>1177085</v>
      </c>
      <c r="J664">
        <f>INDEX('TE_OA_20200805_INTRDY_2020-08-0'!$R$2:$R$870,MATCH(Filter!B664,'TE_OA_20200805_INTRDY_2020-08-0'!$G$2:$G$870))</f>
        <v>38325</v>
      </c>
    </row>
    <row r="665" spans="1:10" x14ac:dyDescent="0.25">
      <c r="A665" t="str">
        <f>INDEX('Pipe Table'!$E$2:$E$10,MATCH(INDEX('TE_OA_20200805_INTRDY_2020-08-0'!$T$2:$T$870,MATCH(Filter!B665,'TE_OA_20200805_INTRDY_2020-08-0'!$G$2:$G$870,0)),'Pipe Table'!$D$2:$D$10,0))</f>
        <v>TETCO</v>
      </c>
      <c r="B665">
        <v>73869</v>
      </c>
      <c r="C665" t="str">
        <f>INDEX('TE_OA_20200805_INTRDY_2020-08-0'!$J$2:$J$870,MATCH(Filter!B665,'TE_OA_20200805_INTRDY_2020-08-0'!$G$2:$G$870))</f>
        <v>Receipt</v>
      </c>
      <c r="D665" t="str">
        <f>INDEX('Pipe Table'!$B$2:$B$14,MATCH(INDEX(TeAllPoints!$I$2:$I$957,MATCH(Filter!B665,TeAllPoints!$B$2:$B$957,0)),'Pipe Table'!$A$2:$A$14,0))</f>
        <v>Wellhead</v>
      </c>
      <c r="E665" t="str">
        <f>INDEX('TE_OA_20200805_INTRDY_2020-08-0'!$H$2:$H$870,MATCH(Filter!B665,'TE_OA_20200805_INTRDY_2020-08-0'!$G$2:$G$870))</f>
        <v>Rice Energy-Denex (Tombstone) Akron Road, Greene Co., PA</v>
      </c>
      <c r="F665" t="str">
        <f>INDEX('Pipe Table'!$H$2:$H$8,MATCH('TE_OA_20200805_INTRDY_2020-08-0'!I646,'Pipe Table'!$G$2:$G$8,0))</f>
        <v>TETCO-M2</v>
      </c>
      <c r="G665" t="str">
        <f>INDEX(TeAllPoints!$D$2:$D$957,MATCH(Filter!B665,TeAllPoints!$B$2:$B$957,0))</f>
        <v>PA</v>
      </c>
      <c r="H665" t="str">
        <f>INDEX(TeAllPoints!$E$2:$E$957,MATCH(Filter!B665,TeAllPoints!$B$2:$B$957,0))</f>
        <v>GREENE</v>
      </c>
      <c r="I665">
        <f>INDEX('TE_OA_20200805_INTRDY_2020-08-0'!$Q$2:$Q$870,MATCH(Filter!B665,'TE_OA_20200805_INTRDY_2020-08-0'!$G$2:$G$870))</f>
        <v>1366446</v>
      </c>
      <c r="J665">
        <f>INDEX('TE_OA_20200805_INTRDY_2020-08-0'!$R$2:$R$870,MATCH(Filter!B665,'TE_OA_20200805_INTRDY_2020-08-0'!$G$2:$G$870))</f>
        <v>513013</v>
      </c>
    </row>
    <row r="666" spans="1:10" x14ac:dyDescent="0.25">
      <c r="A666" t="str">
        <f>INDEX('Pipe Table'!$E$2:$E$10,MATCH(INDEX('TE_OA_20200805_INTRDY_2020-08-0'!$T$2:$T$870,MATCH(Filter!B666,'TE_OA_20200805_INTRDY_2020-08-0'!$G$2:$G$870,0)),'Pipe Table'!$D$2:$D$10,0))</f>
        <v>TETCO</v>
      </c>
      <c r="B666">
        <v>73870</v>
      </c>
      <c r="C666" t="str">
        <f>INDEX('TE_OA_20200805_INTRDY_2020-08-0'!$J$2:$J$870,MATCH(Filter!B666,'TE_OA_20200805_INTRDY_2020-08-0'!$G$2:$G$870))</f>
        <v>Receipt</v>
      </c>
      <c r="D666" t="str">
        <f>INDEX('Pipe Table'!$B$2:$B$14,MATCH(INDEX(TeAllPoints!$I$2:$I$957,MATCH(Filter!B666,TeAllPoints!$B$2:$B$957,0)),'Pipe Table'!$A$2:$A$14,0))</f>
        <v>Intrcnnct</v>
      </c>
      <c r="E666" t="str">
        <f>INDEX('TE_OA_20200805_INTRDY_2020-08-0'!$H$2:$H$870,MATCH(Filter!B666,'TE_OA_20200805_INTRDY_2020-08-0'!$G$2:$G$870))</f>
        <v>Dominion East Ohio-Switzerland, Monroe Co., OH</v>
      </c>
      <c r="F666" t="str">
        <f>INDEX('Pipe Table'!$H$2:$H$8,MATCH('TE_OA_20200805_INTRDY_2020-08-0'!I647,'Pipe Table'!$G$2:$G$8,0))</f>
        <v>TETCO-M2</v>
      </c>
      <c r="G666" t="str">
        <f>INDEX(TeAllPoints!$D$2:$D$957,MATCH(Filter!B666,TeAllPoints!$B$2:$B$957,0))</f>
        <v>OH</v>
      </c>
      <c r="H666" t="str">
        <f>INDEX(TeAllPoints!$E$2:$E$957,MATCH(Filter!B666,TeAllPoints!$B$2:$B$957,0))</f>
        <v>MONROE</v>
      </c>
      <c r="I666">
        <f>INDEX('TE_OA_20200805_INTRDY_2020-08-0'!$Q$2:$Q$870,MATCH(Filter!B666,'TE_OA_20200805_INTRDY_2020-08-0'!$G$2:$G$870))</f>
        <v>389020</v>
      </c>
      <c r="J666">
        <f>INDEX('TE_OA_20200805_INTRDY_2020-08-0'!$R$2:$R$870,MATCH(Filter!B666,'TE_OA_20200805_INTRDY_2020-08-0'!$G$2:$G$870))</f>
        <v>0</v>
      </c>
    </row>
    <row r="667" spans="1:10" x14ac:dyDescent="0.25">
      <c r="A667" t="str">
        <f>INDEX('Pipe Table'!$E$2:$E$10,MATCH(INDEX('TE_OA_20200805_INTRDY_2020-08-0'!$T$2:$T$870,MATCH(Filter!B667,'TE_OA_20200805_INTRDY_2020-08-0'!$G$2:$G$870,0)),'Pipe Table'!$D$2:$D$10,0))</f>
        <v>TETCO</v>
      </c>
      <c r="B667">
        <v>73871</v>
      </c>
      <c r="C667" t="str">
        <f>INDEX('TE_OA_20200805_INTRDY_2020-08-0'!$J$2:$J$870,MATCH(Filter!B667,'TE_OA_20200805_INTRDY_2020-08-0'!$G$2:$G$870))</f>
        <v>Delivery</v>
      </c>
      <c r="D667" t="str">
        <f>INDEX('Pipe Table'!$B$2:$B$14,MATCH(INDEX(TeAllPoints!$I$2:$I$957,MATCH(Filter!B667,TeAllPoints!$B$2:$B$957,0)),'Pipe Table'!$A$2:$A$14,0))</f>
        <v>Intrcnnct</v>
      </c>
      <c r="E667" t="str">
        <f>INDEX('TE_OA_20200805_INTRDY_2020-08-0'!$H$2:$H$870,MATCH(Filter!B667,'TE_OA_20200805_INTRDY_2020-08-0'!$G$2:$G$870))</f>
        <v>DOMINION-TL 558/WV Rt. 2, MARSHALL CO., WVA</v>
      </c>
      <c r="F667" t="str">
        <f>INDEX('Pipe Table'!$H$2:$H$8,MATCH('TE_OA_20200805_INTRDY_2020-08-0'!I648,'Pipe Table'!$G$2:$G$8,0))</f>
        <v>TETCO-M2</v>
      </c>
      <c r="G667" t="str">
        <f>INDEX(TeAllPoints!$D$2:$D$957,MATCH(Filter!B667,TeAllPoints!$B$2:$B$957,0))</f>
        <v>WV</v>
      </c>
      <c r="H667" t="str">
        <f>INDEX(TeAllPoints!$E$2:$E$957,MATCH(Filter!B667,TeAllPoints!$B$2:$B$957,0))</f>
        <v>MARSHALL</v>
      </c>
      <c r="I667">
        <f>INDEX('TE_OA_20200805_INTRDY_2020-08-0'!$Q$2:$Q$870,MATCH(Filter!B667,'TE_OA_20200805_INTRDY_2020-08-0'!$G$2:$G$870))</f>
        <v>8136</v>
      </c>
      <c r="J667">
        <f>INDEX('TE_OA_20200805_INTRDY_2020-08-0'!$R$2:$R$870,MATCH(Filter!B667,'TE_OA_20200805_INTRDY_2020-08-0'!$G$2:$G$870))</f>
        <v>2000</v>
      </c>
    </row>
    <row r="668" spans="1:10" x14ac:dyDescent="0.25">
      <c r="A668" t="str">
        <f>INDEX('Pipe Table'!$E$2:$E$10,MATCH(INDEX('TE_OA_20200805_INTRDY_2020-08-0'!$T$2:$T$870,MATCH(Filter!B668,'TE_OA_20200805_INTRDY_2020-08-0'!$G$2:$G$870,0)),'Pipe Table'!$D$2:$D$10,0))</f>
        <v>TETCO</v>
      </c>
      <c r="B668">
        <v>73874</v>
      </c>
      <c r="C668" t="str">
        <f>INDEX('TE_OA_20200805_INTRDY_2020-08-0'!$J$2:$J$870,MATCH(Filter!B668,'TE_OA_20200805_INTRDY_2020-08-0'!$G$2:$G$870))</f>
        <v>Receipt</v>
      </c>
      <c r="D668" t="str">
        <f>INDEX('Pipe Table'!$B$2:$B$14,MATCH(INDEX(TeAllPoints!$I$2:$I$957,MATCH(Filter!B668,TeAllPoints!$B$2:$B$957,0)),'Pipe Table'!$A$2:$A$14,0))</f>
        <v>Wellhead</v>
      </c>
      <c r="E668" t="str">
        <f>INDEX('TE_OA_20200805_INTRDY_2020-08-0'!$H$2:$H$870,MATCH(Filter!B668,'TE_OA_20200805_INTRDY_2020-08-0'!$G$2:$G$870))</f>
        <v>Eureka Hunter/Krebs Ridge Road, Monroe Co., OH</v>
      </c>
      <c r="F668" t="str">
        <f>INDEX('Pipe Table'!$H$2:$H$8,MATCH('TE_OA_20200805_INTRDY_2020-08-0'!I649,'Pipe Table'!$G$2:$G$8,0))</f>
        <v>TETCO-M2</v>
      </c>
      <c r="G668" t="str">
        <f>INDEX(TeAllPoints!$D$2:$D$957,MATCH(Filter!B668,TeAllPoints!$B$2:$B$957,0))</f>
        <v>OH</v>
      </c>
      <c r="H668" t="str">
        <f>INDEX(TeAllPoints!$E$2:$E$957,MATCH(Filter!B668,TeAllPoints!$B$2:$B$957,0))</f>
        <v>MONROE</v>
      </c>
      <c r="I668">
        <f>INDEX('TE_OA_20200805_INTRDY_2020-08-0'!$Q$2:$Q$870,MATCH(Filter!B668,'TE_OA_20200805_INTRDY_2020-08-0'!$G$2:$G$870))</f>
        <v>626032</v>
      </c>
      <c r="J668">
        <f>INDEX('TE_OA_20200805_INTRDY_2020-08-0'!$R$2:$R$870,MATCH(Filter!B668,'TE_OA_20200805_INTRDY_2020-08-0'!$G$2:$G$870))</f>
        <v>1015</v>
      </c>
    </row>
    <row r="669" spans="1:10" x14ac:dyDescent="0.25">
      <c r="A669" t="str">
        <f>INDEX('Pipe Table'!$E$2:$E$10,MATCH(INDEX('TE_OA_20200805_INTRDY_2020-08-0'!$T$2:$T$870,MATCH(Filter!B669,'TE_OA_20200805_INTRDY_2020-08-0'!$G$2:$G$870,0)),'Pipe Table'!$D$2:$D$10,0))</f>
        <v>TETCO</v>
      </c>
      <c r="B669">
        <v>73875</v>
      </c>
      <c r="C669" t="str">
        <f>INDEX('TE_OA_20200805_INTRDY_2020-08-0'!$J$2:$J$870,MATCH(Filter!B669,'TE_OA_20200805_INTRDY_2020-08-0'!$G$2:$G$870))</f>
        <v>Receipt</v>
      </c>
      <c r="D669" t="str">
        <f>INDEX('Pipe Table'!$B$2:$B$14,MATCH(INDEX(TeAllPoints!$I$2:$I$957,MATCH(Filter!B669,TeAllPoints!$B$2:$B$957,0)),'Pipe Table'!$A$2:$A$14,0))</f>
        <v>Wellhead</v>
      </c>
      <c r="E669" t="str">
        <f>INDEX('TE_OA_20200805_INTRDY_2020-08-0'!$H$2:$H$870,MATCH(Filter!B669,'TE_OA_20200805_INTRDY_2020-08-0'!$G$2:$G$870))</f>
        <v>MarkWest-Beallsville/Bolon Ridge Road, Monroe Co., OH</v>
      </c>
      <c r="F669" t="str">
        <f>INDEX('Pipe Table'!$H$2:$H$8,MATCH('TE_OA_20200805_INTRDY_2020-08-0'!I650,'Pipe Table'!$G$2:$G$8,0))</f>
        <v>TETCO-M2</v>
      </c>
      <c r="G669" t="str">
        <f>INDEX(TeAllPoints!$D$2:$D$957,MATCH(Filter!B669,TeAllPoints!$B$2:$B$957,0))</f>
        <v>OH</v>
      </c>
      <c r="H669" t="str">
        <f>INDEX(TeAllPoints!$E$2:$E$957,MATCH(Filter!B669,TeAllPoints!$B$2:$B$957,0))</f>
        <v>MONROE</v>
      </c>
      <c r="I669">
        <f>INDEX('TE_OA_20200805_INTRDY_2020-08-0'!$Q$2:$Q$870,MATCH(Filter!B669,'TE_OA_20200805_INTRDY_2020-08-0'!$G$2:$G$870))</f>
        <v>586962</v>
      </c>
      <c r="J669">
        <f>INDEX('TE_OA_20200805_INTRDY_2020-08-0'!$R$2:$R$870,MATCH(Filter!B669,'TE_OA_20200805_INTRDY_2020-08-0'!$G$2:$G$870))</f>
        <v>62302</v>
      </c>
    </row>
    <row r="670" spans="1:10" x14ac:dyDescent="0.25">
      <c r="A670" t="str">
        <f>INDEX('Pipe Table'!$E$2:$E$10,MATCH(INDEX('TE_OA_20200805_INTRDY_2020-08-0'!$T$2:$T$870,MATCH(Filter!B670,'TE_OA_20200805_INTRDY_2020-08-0'!$G$2:$G$870,0)),'Pipe Table'!$D$2:$D$10,0))</f>
        <v>TETCO</v>
      </c>
      <c r="B670">
        <v>73876</v>
      </c>
      <c r="C670" t="str">
        <f>INDEX('TE_OA_20200805_INTRDY_2020-08-0'!$J$2:$J$870,MATCH(Filter!B670,'TE_OA_20200805_INTRDY_2020-08-0'!$G$2:$G$870))</f>
        <v>Receipt</v>
      </c>
      <c r="D670" t="str">
        <f>INDEX('Pipe Table'!$B$2:$B$14,MATCH(INDEX(TeAllPoints!$I$2:$I$957,MATCH(Filter!B670,TeAllPoints!$B$2:$B$957,0)),'Pipe Table'!$A$2:$A$14,0))</f>
        <v>Wellhead</v>
      </c>
      <c r="E670" t="str">
        <f>INDEX('TE_OA_20200805_INTRDY_2020-08-0'!$H$2:$H$870,MATCH(Filter!B670,'TE_OA_20200805_INTRDY_2020-08-0'!$G$2:$G$870))</f>
        <v>Elliott Oil&amp;Gas/Steindorf #1-FM 799-Bee Co.,TX</v>
      </c>
      <c r="F670" t="str">
        <f>INDEX('Pipe Table'!$H$2:$H$8,MATCH('TE_OA_20200805_INTRDY_2020-08-0'!I651,'Pipe Table'!$G$2:$G$8,0))</f>
        <v>TETCO-STX</v>
      </c>
      <c r="G670" t="str">
        <f>INDEX(TeAllPoints!$D$2:$D$957,MATCH(Filter!B670,TeAllPoints!$B$2:$B$957,0))</f>
        <v>TX</v>
      </c>
      <c r="H670" t="str">
        <f>INDEX(TeAllPoints!$E$2:$E$957,MATCH(Filter!B670,TeAllPoints!$B$2:$B$957,0))</f>
        <v>BEE</v>
      </c>
      <c r="I670">
        <f>INDEX('TE_OA_20200805_INTRDY_2020-08-0'!$Q$2:$Q$870,MATCH(Filter!B670,'TE_OA_20200805_INTRDY_2020-08-0'!$G$2:$G$870))</f>
        <v>1700</v>
      </c>
      <c r="J670">
        <f>INDEX('TE_OA_20200805_INTRDY_2020-08-0'!$R$2:$R$870,MATCH(Filter!B670,'TE_OA_20200805_INTRDY_2020-08-0'!$G$2:$G$870))</f>
        <v>0</v>
      </c>
    </row>
    <row r="671" spans="1:10" x14ac:dyDescent="0.25">
      <c r="A671" t="str">
        <f>INDEX('Pipe Table'!$E$2:$E$10,MATCH(INDEX('TE_OA_20200805_INTRDY_2020-08-0'!$T$2:$T$870,MATCH(Filter!B671,'TE_OA_20200805_INTRDY_2020-08-0'!$G$2:$G$870,0)),'Pipe Table'!$D$2:$D$10,0))</f>
        <v>TETCO</v>
      </c>
      <c r="B671">
        <v>73877</v>
      </c>
      <c r="C671" t="str">
        <f>INDEX('TE_OA_20200805_INTRDY_2020-08-0'!$J$2:$J$870,MATCH(Filter!B671,'TE_OA_20200805_INTRDY_2020-08-0'!$G$2:$G$870))</f>
        <v>Receipt</v>
      </c>
      <c r="D671" t="str">
        <f>INDEX('Pipe Table'!$B$2:$B$14,MATCH(INDEX(TeAllPoints!$I$2:$I$957,MATCH(Filter!B671,TeAllPoints!$B$2:$B$957,0)),'Pipe Table'!$A$2:$A$14,0))</f>
        <v>Wellhead</v>
      </c>
      <c r="E671" t="str">
        <f>INDEX('TE_OA_20200805_INTRDY_2020-08-0'!$H$2:$H$870,MATCH(Filter!B671,'TE_OA_20200805_INTRDY_2020-08-0'!$G$2:$G$870))</f>
        <v>Pennington O&amp;G/JS Kean et al #1 Shell Road-Pt Coupee Parish,LA</v>
      </c>
      <c r="F671" t="str">
        <f>INDEX('Pipe Table'!$H$2:$H$8,MATCH('TE_OA_20200805_INTRDY_2020-08-0'!I652,'Pipe Table'!$G$2:$G$8,0))</f>
        <v>TETCO-ELA</v>
      </c>
      <c r="G671" t="str">
        <f>INDEX(TeAllPoints!$D$2:$D$957,MATCH(Filter!B671,TeAllPoints!$B$2:$B$957,0))</f>
        <v>LA</v>
      </c>
      <c r="H671" t="str">
        <f>INDEX(TeAllPoints!$E$2:$E$957,MATCH(Filter!B671,TeAllPoints!$B$2:$B$957,0))</f>
        <v>POINTE COUPEE</v>
      </c>
      <c r="I671">
        <f>INDEX('TE_OA_20200805_INTRDY_2020-08-0'!$Q$2:$Q$870,MATCH(Filter!B671,'TE_OA_20200805_INTRDY_2020-08-0'!$G$2:$G$870))</f>
        <v>1627</v>
      </c>
      <c r="J671">
        <f>INDEX('TE_OA_20200805_INTRDY_2020-08-0'!$R$2:$R$870,MATCH(Filter!B671,'TE_OA_20200805_INTRDY_2020-08-0'!$G$2:$G$870))</f>
        <v>4572</v>
      </c>
    </row>
    <row r="672" spans="1:10" x14ac:dyDescent="0.25">
      <c r="A672" t="str">
        <f>INDEX('Pipe Table'!$E$2:$E$10,MATCH(INDEX('TE_OA_20200805_INTRDY_2020-08-0'!$T$2:$T$870,MATCH(Filter!B672,'TE_OA_20200805_INTRDY_2020-08-0'!$G$2:$G$870,0)),'Pipe Table'!$D$2:$D$10,0))</f>
        <v>TETCO</v>
      </c>
      <c r="B672">
        <v>73878</v>
      </c>
      <c r="C672" t="str">
        <f>INDEX('TE_OA_20200805_INTRDY_2020-08-0'!$J$2:$J$870,MATCH(Filter!B672,'TE_OA_20200805_INTRDY_2020-08-0'!$G$2:$G$870))</f>
        <v>Delivery</v>
      </c>
      <c r="D672" t="str">
        <f>INDEX('Pipe Table'!$B$2:$B$14,MATCH(INDEX(TeAllPoints!$I$2:$I$957,MATCH(Filter!B672,TeAllPoints!$B$2:$B$957,0)),'Pipe Table'!$A$2:$A$14,0))</f>
        <v>EndUsr</v>
      </c>
      <c r="E672" t="str">
        <f>INDEX('TE_OA_20200805_INTRDY_2020-08-0'!$H$2:$H$870,MATCH(Filter!B672,'TE_OA_20200805_INTRDY_2020-08-0'!$G$2:$G$870))</f>
        <v>Goliad Midstream Energy/City of Magnolia,TX-Enderli Street,Montgom</v>
      </c>
      <c r="F672" t="str">
        <f>INDEX('Pipe Table'!$H$2:$H$8,MATCH('TE_OA_20200805_INTRDY_2020-08-0'!I653,'Pipe Table'!$G$2:$G$8,0))</f>
        <v>TETCO-STX</v>
      </c>
      <c r="G672" t="str">
        <f>INDEX(TeAllPoints!$D$2:$D$957,MATCH(Filter!B672,TeAllPoints!$B$2:$B$957,0))</f>
        <v>TX</v>
      </c>
      <c r="H672" t="str">
        <f>INDEX(TeAllPoints!$E$2:$E$957,MATCH(Filter!B672,TeAllPoints!$B$2:$B$957,0))</f>
        <v>MONTGOMERY</v>
      </c>
      <c r="I672">
        <f>INDEX('TE_OA_20200805_INTRDY_2020-08-0'!$Q$2:$Q$870,MATCH(Filter!B672,'TE_OA_20200805_INTRDY_2020-08-0'!$G$2:$G$870))</f>
        <v>6100</v>
      </c>
      <c r="J672">
        <f>INDEX('TE_OA_20200805_INTRDY_2020-08-0'!$R$2:$R$870,MATCH(Filter!B672,'TE_OA_20200805_INTRDY_2020-08-0'!$G$2:$G$870))</f>
        <v>100</v>
      </c>
    </row>
    <row r="673" spans="1:10" x14ac:dyDescent="0.25">
      <c r="A673" t="str">
        <f>INDEX('Pipe Table'!$E$2:$E$10,MATCH(INDEX('TE_OA_20200805_INTRDY_2020-08-0'!$T$2:$T$870,MATCH(Filter!B673,'TE_OA_20200805_INTRDY_2020-08-0'!$G$2:$G$870,0)),'Pipe Table'!$D$2:$D$10,0))</f>
        <v>TETCO</v>
      </c>
      <c r="B673">
        <v>73880</v>
      </c>
      <c r="C673" t="str">
        <f>INDEX('TE_OA_20200805_INTRDY_2020-08-0'!$J$2:$J$870,MATCH(Filter!B673,'TE_OA_20200805_INTRDY_2020-08-0'!$G$2:$G$870))</f>
        <v>Receipt</v>
      </c>
      <c r="D673" t="str">
        <f>INDEX('Pipe Table'!$B$2:$B$14,MATCH(INDEX(TeAllPoints!$I$2:$I$957,MATCH(Filter!B673,TeAllPoints!$B$2:$B$957,0)),'Pipe Table'!$A$2:$A$14,0))</f>
        <v>Wellhead</v>
      </c>
      <c r="E673" t="str">
        <f>INDEX('TE_OA_20200805_INTRDY_2020-08-0'!$H$2:$H$870,MATCH(Filter!B673,'TE_OA_20200805_INTRDY_2020-08-0'!$G$2:$G$870))</f>
        <v>First Energy Corp Of America Ridge Road North, Greene Co., PA</v>
      </c>
      <c r="F673" t="str">
        <f>INDEX('Pipe Table'!$H$2:$H$8,MATCH('TE_OA_20200805_INTRDY_2020-08-0'!I654,'Pipe Table'!$G$2:$G$8,0))</f>
        <v>TETCO-M2</v>
      </c>
      <c r="G673" t="str">
        <f>INDEX(TeAllPoints!$D$2:$D$957,MATCH(Filter!B673,TeAllPoints!$B$2:$B$957,0))</f>
        <v>PA</v>
      </c>
      <c r="H673" t="str">
        <f>INDEX(TeAllPoints!$E$2:$E$957,MATCH(Filter!B673,TeAllPoints!$B$2:$B$957,0))</f>
        <v>GREENE</v>
      </c>
      <c r="I673">
        <f>INDEX('TE_OA_20200805_INTRDY_2020-08-0'!$Q$2:$Q$870,MATCH(Filter!B673,'TE_OA_20200805_INTRDY_2020-08-0'!$G$2:$G$870))</f>
        <v>134200</v>
      </c>
      <c r="J673">
        <f>INDEX('TE_OA_20200805_INTRDY_2020-08-0'!$R$2:$R$870,MATCH(Filter!B673,'TE_OA_20200805_INTRDY_2020-08-0'!$G$2:$G$870))</f>
        <v>0</v>
      </c>
    </row>
    <row r="674" spans="1:10" x14ac:dyDescent="0.25">
      <c r="A674" t="str">
        <f>INDEX('Pipe Table'!$E$2:$E$10,MATCH(INDEX('TE_OA_20200805_INTRDY_2020-08-0'!$T$2:$T$870,MATCH(Filter!B674,'TE_OA_20200805_INTRDY_2020-08-0'!$G$2:$G$870,0)),'Pipe Table'!$D$2:$D$10,0))</f>
        <v>TETCO</v>
      </c>
      <c r="B674">
        <v>73881</v>
      </c>
      <c r="C674" t="str">
        <f>INDEX('TE_OA_20200805_INTRDY_2020-08-0'!$J$2:$J$870,MATCH(Filter!B674,'TE_OA_20200805_INTRDY_2020-08-0'!$G$2:$G$870))</f>
        <v>Delivery</v>
      </c>
      <c r="D674" t="str">
        <f>INDEX('Pipe Table'!$B$2:$B$14,MATCH(INDEX(TeAllPoints!$I$2:$I$957,MATCH(Filter!B674,TeAllPoints!$B$2:$B$957,0)),'Pipe Table'!$A$2:$A$14,0))</f>
        <v>Intrcnnct</v>
      </c>
      <c r="E674" t="str">
        <f>INDEX('TE_OA_20200805_INTRDY_2020-08-0'!$H$2:$H$870,MATCH(Filter!B674,'TE_OA_20200805_INTRDY_2020-08-0'!$G$2:$G$870))</f>
        <v>Texas Gas - Lebanon Lateral, Warren  Co., OH</v>
      </c>
      <c r="F674" t="str">
        <f>INDEX('Pipe Table'!$H$2:$H$8,MATCH('TE_OA_20200805_INTRDY_2020-08-0'!I655,'Pipe Table'!$G$2:$G$8,0))</f>
        <v>TETCO-M2</v>
      </c>
      <c r="G674" t="str">
        <f>INDEX(TeAllPoints!$D$2:$D$957,MATCH(Filter!B674,TeAllPoints!$B$2:$B$957,0))</f>
        <v>OH</v>
      </c>
      <c r="H674" t="str">
        <f>INDEX(TeAllPoints!$E$2:$E$957,MATCH(Filter!B674,TeAllPoints!$B$2:$B$957,0))</f>
        <v>WARREN</v>
      </c>
      <c r="I674">
        <f>INDEX('TE_OA_20200805_INTRDY_2020-08-0'!$Q$2:$Q$870,MATCH(Filter!B674,'TE_OA_20200805_INTRDY_2020-08-0'!$G$2:$G$870))</f>
        <v>285821</v>
      </c>
      <c r="J674">
        <f>INDEX('TE_OA_20200805_INTRDY_2020-08-0'!$R$2:$R$870,MATCH(Filter!B674,'TE_OA_20200805_INTRDY_2020-08-0'!$G$2:$G$870))</f>
        <v>15467</v>
      </c>
    </row>
    <row r="675" spans="1:10" x14ac:dyDescent="0.25">
      <c r="A675" t="str">
        <f>INDEX('Pipe Table'!$E$2:$E$10,MATCH(INDEX('TE_OA_20200805_INTRDY_2020-08-0'!$T$2:$T$870,MATCH(Filter!B675,'TE_OA_20200805_INTRDY_2020-08-0'!$G$2:$G$870,0)),'Pipe Table'!$D$2:$D$10,0))</f>
        <v>TETCO</v>
      </c>
      <c r="B675">
        <v>73882</v>
      </c>
      <c r="C675" t="str">
        <f>INDEX('TE_OA_20200805_INTRDY_2020-08-0'!$J$2:$J$870,MATCH(Filter!B675,'TE_OA_20200805_INTRDY_2020-08-0'!$G$2:$G$870))</f>
        <v>Delivery</v>
      </c>
      <c r="D675" t="str">
        <f>INDEX('Pipe Table'!$B$2:$B$14,MATCH(INDEX(TeAllPoints!$I$2:$I$957,MATCH(Filter!B675,TeAllPoints!$B$2:$B$957,0)),'Pipe Table'!$A$2:$A$14,0))</f>
        <v>Intrcnnct</v>
      </c>
      <c r="E675" t="str">
        <f>INDEX('TE_OA_20200805_INTRDY_2020-08-0'!$H$2:$H$870,MATCH(Filter!B675,'TE_OA_20200805_INTRDY_2020-08-0'!$G$2:$G$870))</f>
        <v>Sempra/Cameron -Gulf Market</v>
      </c>
      <c r="F675" t="str">
        <f>INDEX('Pipe Table'!$H$2:$H$8,MATCH('TE_OA_20200805_INTRDY_2020-08-0'!I656,'Pipe Table'!$G$2:$G$8,0))</f>
        <v>TETCO-WLA</v>
      </c>
      <c r="G675" t="str">
        <f>INDEX(TeAllPoints!$D$2:$D$957,MATCH(Filter!B675,TeAllPoints!$B$2:$B$957,0))</f>
        <v>LA</v>
      </c>
      <c r="H675" t="str">
        <f>INDEX(TeAllPoints!$E$2:$E$957,MATCH(Filter!B675,TeAllPoints!$B$2:$B$957,0))</f>
        <v>BEAUREGARD</v>
      </c>
      <c r="I675">
        <f>INDEX('TE_OA_20200805_INTRDY_2020-08-0'!$Q$2:$Q$870,MATCH(Filter!B675,'TE_OA_20200805_INTRDY_2020-08-0'!$G$2:$G$870))</f>
        <v>500000</v>
      </c>
      <c r="J675">
        <f>INDEX('TE_OA_20200805_INTRDY_2020-08-0'!$R$2:$R$870,MATCH(Filter!B675,'TE_OA_20200805_INTRDY_2020-08-0'!$G$2:$G$870))</f>
        <v>25</v>
      </c>
    </row>
    <row r="676" spans="1:10" x14ac:dyDescent="0.25">
      <c r="A676" t="str">
        <f>INDEX('Pipe Table'!$E$2:$E$10,MATCH(INDEX('TE_OA_20200805_INTRDY_2020-08-0'!$T$2:$T$870,MATCH(Filter!B676,'TE_OA_20200805_INTRDY_2020-08-0'!$G$2:$G$870,0)),'Pipe Table'!$D$2:$D$10,0))</f>
        <v>TETCO</v>
      </c>
      <c r="B676">
        <v>73883</v>
      </c>
      <c r="C676" t="str">
        <f>INDEX('TE_OA_20200805_INTRDY_2020-08-0'!$J$2:$J$870,MATCH(Filter!B676,'TE_OA_20200805_INTRDY_2020-08-0'!$G$2:$G$870))</f>
        <v>Delivery</v>
      </c>
      <c r="D676" t="str">
        <f>INDEX('Pipe Table'!$B$2:$B$14,MATCH(INDEX(TeAllPoints!$I$2:$I$957,MATCH(Filter!B676,TeAllPoints!$B$2:$B$957,0)),'Pipe Table'!$A$2:$A$14,0))</f>
        <v>Intrcnnct</v>
      </c>
      <c r="E676" t="str">
        <f>INDEX('TE_OA_20200805_INTRDY_2020-08-0'!$H$2:$H$870,MATCH(Filter!B676,'TE_OA_20200805_INTRDY_2020-08-0'!$G$2:$G$870))</f>
        <v>Centerpoint Energy/IP Orange Mill-Owens Illinois Rd-Orange Co.,TX</v>
      </c>
      <c r="F676" t="str">
        <f>INDEX('Pipe Table'!$H$2:$H$8,MATCH('TE_OA_20200805_INTRDY_2020-08-0'!I657,'Pipe Table'!$G$2:$G$8,0))</f>
        <v>TETCO-WLA</v>
      </c>
      <c r="G676" t="str">
        <f>INDEX(TeAllPoints!$D$2:$D$957,MATCH(Filter!B676,TeAllPoints!$B$2:$B$957,0))</f>
        <v>TX</v>
      </c>
      <c r="H676" t="str">
        <f>INDEX(TeAllPoints!$E$2:$E$957,MATCH(Filter!B676,TeAllPoints!$B$2:$B$957,0))</f>
        <v>ORANGE</v>
      </c>
      <c r="I676">
        <f>INDEX('TE_OA_20200805_INTRDY_2020-08-0'!$Q$2:$Q$870,MATCH(Filter!B676,'TE_OA_20200805_INTRDY_2020-08-0'!$G$2:$G$870))</f>
        <v>61062</v>
      </c>
      <c r="J676">
        <f>INDEX('TE_OA_20200805_INTRDY_2020-08-0'!$R$2:$R$870,MATCH(Filter!B676,'TE_OA_20200805_INTRDY_2020-08-0'!$G$2:$G$870))</f>
        <v>8221</v>
      </c>
    </row>
    <row r="677" spans="1:10" x14ac:dyDescent="0.25">
      <c r="A677" t="str">
        <f>INDEX('Pipe Table'!$E$2:$E$10,MATCH(INDEX('TE_OA_20200805_INTRDY_2020-08-0'!$T$2:$T$870,MATCH(Filter!B677,'TE_OA_20200805_INTRDY_2020-08-0'!$G$2:$G$870,0)),'Pipe Table'!$D$2:$D$10,0))</f>
        <v>TETCO</v>
      </c>
      <c r="B677">
        <v>73887</v>
      </c>
      <c r="C677" t="str">
        <f>INDEX('TE_OA_20200805_INTRDY_2020-08-0'!$J$2:$J$870,MATCH(Filter!B677,'TE_OA_20200805_INTRDY_2020-08-0'!$G$2:$G$870))</f>
        <v>Delivery</v>
      </c>
      <c r="D677" t="str">
        <f>INDEX('Pipe Table'!$B$2:$B$14,MATCH(INDEX(TeAllPoints!$I$2:$I$957,MATCH(Filter!B677,TeAllPoints!$B$2:$B$957,0)),'Pipe Table'!$A$2:$A$14,0))</f>
        <v>EndUsr</v>
      </c>
      <c r="E677" t="str">
        <f>INDEX('TE_OA_20200805_INTRDY_2020-08-0'!$H$2:$H$870,MATCH(Filter!B677,'TE_OA_20200805_INTRDY_2020-08-0'!$G$2:$G$870))</f>
        <v>Alegacy/CNG Industrial Campus-Bus US 290-Waller Co.,TX</v>
      </c>
      <c r="F677" t="str">
        <f>INDEX('Pipe Table'!$H$2:$H$8,MATCH('TE_OA_20200805_INTRDY_2020-08-0'!I658,'Pipe Table'!$G$2:$G$8,0))</f>
        <v>TETCO-STX</v>
      </c>
      <c r="G677" t="str">
        <f>INDEX(TeAllPoints!$D$2:$D$957,MATCH(Filter!B677,TeAllPoints!$B$2:$B$957,0))</f>
        <v>TX</v>
      </c>
      <c r="H677" t="str">
        <f>INDEX(TeAllPoints!$E$2:$E$957,MATCH(Filter!B677,TeAllPoints!$B$2:$B$957,0))</f>
        <v>WALLER</v>
      </c>
      <c r="I677">
        <f>INDEX('TE_OA_20200805_INTRDY_2020-08-0'!$Q$2:$Q$870,MATCH(Filter!B677,'TE_OA_20200805_INTRDY_2020-08-0'!$G$2:$G$870))</f>
        <v>1000</v>
      </c>
      <c r="J677">
        <f>INDEX('TE_OA_20200805_INTRDY_2020-08-0'!$R$2:$R$870,MATCH(Filter!B677,'TE_OA_20200805_INTRDY_2020-08-0'!$G$2:$G$870))</f>
        <v>1</v>
      </c>
    </row>
    <row r="678" spans="1:10" x14ac:dyDescent="0.25">
      <c r="A678" t="str">
        <f>INDEX('Pipe Table'!$E$2:$E$10,MATCH(INDEX('TE_OA_20200805_INTRDY_2020-08-0'!$T$2:$T$870,MATCH(Filter!B678,'TE_OA_20200805_INTRDY_2020-08-0'!$G$2:$G$870,0)),'Pipe Table'!$D$2:$D$10,0))</f>
        <v>TETCO</v>
      </c>
      <c r="B678">
        <v>73892</v>
      </c>
      <c r="C678" t="str">
        <f>INDEX('TE_OA_20200805_INTRDY_2020-08-0'!$J$2:$J$870,MATCH(Filter!B678,'TE_OA_20200805_INTRDY_2020-08-0'!$G$2:$G$870))</f>
        <v>Receipt</v>
      </c>
      <c r="D678" t="str">
        <f>INDEX('Pipe Table'!$B$2:$B$14,MATCH(INDEX(TeAllPoints!$I$2:$I$957,MATCH(Filter!B678,TeAllPoints!$B$2:$B$957,0)),'Pipe Table'!$A$2:$A$14,0))</f>
        <v>Wellhead</v>
      </c>
      <c r="E678" t="str">
        <f>INDEX('TE_OA_20200805_INTRDY_2020-08-0'!$H$2:$H$870,MATCH(Filter!B678,'TE_OA_20200805_INTRDY_2020-08-0'!$G$2:$G$870))</f>
        <v>Hilcorp Energy/St. Charles Refuge Gathering-Backgate Road-Refugio</v>
      </c>
      <c r="F678" t="str">
        <f>INDEX('Pipe Table'!$H$2:$H$8,MATCH('TE_OA_20200805_INTRDY_2020-08-0'!I659,'Pipe Table'!$G$2:$G$8,0))</f>
        <v>TETCO-STX</v>
      </c>
      <c r="G678" t="str">
        <f>INDEX(TeAllPoints!$D$2:$D$957,MATCH(Filter!B678,TeAllPoints!$B$2:$B$957,0))</f>
        <v>TX</v>
      </c>
      <c r="H678" t="str">
        <f>INDEX(TeAllPoints!$E$2:$E$957,MATCH(Filter!B678,TeAllPoints!$B$2:$B$957,0))</f>
        <v>REFUGIO</v>
      </c>
      <c r="I678">
        <f>INDEX('TE_OA_20200805_INTRDY_2020-08-0'!$Q$2:$Q$870,MATCH(Filter!B678,'TE_OA_20200805_INTRDY_2020-08-0'!$G$2:$G$870))</f>
        <v>67000</v>
      </c>
      <c r="J678">
        <f>INDEX('TE_OA_20200805_INTRDY_2020-08-0'!$R$2:$R$870,MATCH(Filter!B678,'TE_OA_20200805_INTRDY_2020-08-0'!$G$2:$G$870))</f>
        <v>0</v>
      </c>
    </row>
    <row r="679" spans="1:10" x14ac:dyDescent="0.25">
      <c r="A679" t="str">
        <f>INDEX('Pipe Table'!$E$2:$E$10,MATCH(INDEX('TE_OA_20200805_INTRDY_2020-08-0'!$T$2:$T$870,MATCH(Filter!B679,'TE_OA_20200805_INTRDY_2020-08-0'!$G$2:$G$870,0)),'Pipe Table'!$D$2:$D$10,0))</f>
        <v>TETCO</v>
      </c>
      <c r="B679">
        <v>73893</v>
      </c>
      <c r="C679" t="str">
        <f>INDEX('TE_OA_20200805_INTRDY_2020-08-0'!$J$2:$J$870,MATCH(Filter!B679,'TE_OA_20200805_INTRDY_2020-08-0'!$G$2:$G$870))</f>
        <v>Delivery</v>
      </c>
      <c r="D679" t="str">
        <f>INDEX('Pipe Table'!$B$2:$B$14,MATCH(INDEX(TeAllPoints!$I$2:$I$957,MATCH(Filter!B679,TeAllPoints!$B$2:$B$957,0)),'Pipe Table'!$A$2:$A$14,0))</f>
        <v>EndUsr</v>
      </c>
      <c r="E679" t="str">
        <f>INDEX('TE_OA_20200805_INTRDY_2020-08-0'!$H$2:$H$870,MATCH(Filter!B679,'TE_OA_20200805_INTRDY_2020-08-0'!$G$2:$G$870))</f>
        <v>Talen - Brunner Island/Jerusalem School Rd, York Co., PA</v>
      </c>
      <c r="F679" t="str">
        <f>INDEX('Pipe Table'!$H$2:$H$8,MATCH('TE_OA_20200805_INTRDY_2020-08-0'!I660,'Pipe Table'!$G$2:$G$8,0))</f>
        <v>TETCO-M3</v>
      </c>
      <c r="G679" t="str">
        <f>INDEX(TeAllPoints!$D$2:$D$957,MATCH(Filter!B679,TeAllPoints!$B$2:$B$957,0))</f>
        <v>PA</v>
      </c>
      <c r="H679" t="str">
        <f>INDEX(TeAllPoints!$E$2:$E$957,MATCH(Filter!B679,TeAllPoints!$B$2:$B$957,0))</f>
        <v>YORK</v>
      </c>
      <c r="I679">
        <f>INDEX('TE_OA_20200805_INTRDY_2020-08-0'!$Q$2:$Q$870,MATCH(Filter!B679,'TE_OA_20200805_INTRDY_2020-08-0'!$G$2:$G$870))</f>
        <v>542836</v>
      </c>
      <c r="J679">
        <f>INDEX('TE_OA_20200805_INTRDY_2020-08-0'!$R$2:$R$870,MATCH(Filter!B679,'TE_OA_20200805_INTRDY_2020-08-0'!$G$2:$G$870))</f>
        <v>119328</v>
      </c>
    </row>
    <row r="680" spans="1:10" x14ac:dyDescent="0.25">
      <c r="A680" t="str">
        <f>INDEX('Pipe Table'!$E$2:$E$10,MATCH(INDEX('TE_OA_20200805_INTRDY_2020-08-0'!$T$2:$T$870,MATCH(Filter!B680,'TE_OA_20200805_INTRDY_2020-08-0'!$G$2:$G$870,0)),'Pipe Table'!$D$2:$D$10,0))</f>
        <v>TETCO</v>
      </c>
      <c r="B680">
        <v>73894</v>
      </c>
      <c r="C680" t="str">
        <f>INDEX('TE_OA_20200805_INTRDY_2020-08-0'!$J$2:$J$870,MATCH(Filter!B680,'TE_OA_20200805_INTRDY_2020-08-0'!$G$2:$G$870))</f>
        <v>Delivery</v>
      </c>
      <c r="D680" t="str">
        <f>INDEX('Pipe Table'!$B$2:$B$14,MATCH(INDEX(TeAllPoints!$I$2:$I$957,MATCH(Filter!B680,TeAllPoints!$B$2:$B$957,0)),'Pipe Table'!$A$2:$A$14,0))</f>
        <v>Intrcnnct</v>
      </c>
      <c r="E680" t="str">
        <f>INDEX('TE_OA_20200805_INTRDY_2020-08-0'!$H$2:$H$870,MATCH(Filter!B680,'TE_OA_20200805_INTRDY_2020-08-0'!$G$2:$G$870))</f>
        <v>DTI Taylors Ridge Road</v>
      </c>
      <c r="F680" t="str">
        <f>INDEX('Pipe Table'!$H$2:$H$8,MATCH('TE_OA_20200805_INTRDY_2020-08-0'!I661,'Pipe Table'!$G$2:$G$8,0))</f>
        <v>TETCO-M2</v>
      </c>
      <c r="G680" t="str">
        <f>INDEX(TeAllPoints!$D$2:$D$957,MATCH(Filter!B680,TeAllPoints!$B$2:$B$957,0))</f>
        <v>WV</v>
      </c>
      <c r="H680" t="str">
        <f>INDEX(TeAllPoints!$E$2:$E$957,MATCH(Filter!B680,TeAllPoints!$B$2:$B$957,0))</f>
        <v>MARSHALL</v>
      </c>
      <c r="I680">
        <f>INDEX('TE_OA_20200805_INTRDY_2020-08-0'!$Q$2:$Q$870,MATCH(Filter!B680,'TE_OA_20200805_INTRDY_2020-08-0'!$G$2:$G$870))</f>
        <v>10400</v>
      </c>
      <c r="J680">
        <f>INDEX('TE_OA_20200805_INTRDY_2020-08-0'!$R$2:$R$870,MATCH(Filter!B680,'TE_OA_20200805_INTRDY_2020-08-0'!$G$2:$G$870))</f>
        <v>2000</v>
      </c>
    </row>
    <row r="681" spans="1:10" x14ac:dyDescent="0.25">
      <c r="A681" t="str">
        <f>INDEX('Pipe Table'!$E$2:$E$10,MATCH(INDEX('TE_OA_20200805_INTRDY_2020-08-0'!$T$2:$T$870,MATCH(Filter!B681,'TE_OA_20200805_INTRDY_2020-08-0'!$G$2:$G$870,0)),'Pipe Table'!$D$2:$D$10,0))</f>
        <v>TETCO</v>
      </c>
      <c r="B681">
        <v>73895</v>
      </c>
      <c r="C681" t="str">
        <f>INDEX('TE_OA_20200805_INTRDY_2020-08-0'!$J$2:$J$870,MATCH(Filter!B681,'TE_OA_20200805_INTRDY_2020-08-0'!$G$2:$G$870))</f>
        <v>Receipt</v>
      </c>
      <c r="D681" t="str">
        <f>INDEX('Pipe Table'!$B$2:$B$14,MATCH(INDEX(TeAllPoints!$I$2:$I$957,MATCH(Filter!B681,TeAllPoints!$B$2:$B$957,0)),'Pipe Table'!$A$2:$A$14,0))</f>
        <v>Intrcnnct</v>
      </c>
      <c r="E681" t="str">
        <f>INDEX('TE_OA_20200805_INTRDY_2020-08-0'!$H$2:$H$870,MATCH(Filter!B681,'TE_OA_20200805_INTRDY_2020-08-0'!$G$2:$G$870))</f>
        <v>DTI-Arman Hill (Mullet) / Twp. Road 964, Monroe Co., OH</v>
      </c>
      <c r="F681" t="str">
        <f>INDEX('Pipe Table'!$H$2:$H$8,MATCH('TE_OA_20200805_INTRDY_2020-08-0'!I662,'Pipe Table'!$G$2:$G$8,0))</f>
        <v>TETCO-M2</v>
      </c>
      <c r="G681" t="str">
        <f>INDEX(TeAllPoints!$D$2:$D$957,MATCH(Filter!B681,TeAllPoints!$B$2:$B$957,0))</f>
        <v>OH</v>
      </c>
      <c r="H681" t="str">
        <f>INDEX(TeAllPoints!$E$2:$E$957,MATCH(Filter!B681,TeAllPoints!$B$2:$B$957,0))</f>
        <v>MONROE</v>
      </c>
      <c r="I681">
        <f>INDEX('TE_OA_20200805_INTRDY_2020-08-0'!$Q$2:$Q$870,MATCH(Filter!B681,'TE_OA_20200805_INTRDY_2020-08-0'!$G$2:$G$870))</f>
        <v>280000</v>
      </c>
      <c r="J681">
        <f>INDEX('TE_OA_20200805_INTRDY_2020-08-0'!$R$2:$R$870,MATCH(Filter!B681,'TE_OA_20200805_INTRDY_2020-08-0'!$G$2:$G$870))</f>
        <v>0</v>
      </c>
    </row>
    <row r="682" spans="1:10" x14ac:dyDescent="0.25">
      <c r="A682" t="str">
        <f>INDEX('Pipe Table'!$E$2:$E$10,MATCH(INDEX('TE_OA_20200805_INTRDY_2020-08-0'!$T$2:$T$870,MATCH(Filter!B682,'TE_OA_20200805_INTRDY_2020-08-0'!$G$2:$G$870,0)),'Pipe Table'!$D$2:$D$10,0))</f>
        <v>TETCO</v>
      </c>
      <c r="B682">
        <v>73896</v>
      </c>
      <c r="C682" t="str">
        <f>INDEX('TE_OA_20200805_INTRDY_2020-08-0'!$J$2:$J$870,MATCH(Filter!B682,'TE_OA_20200805_INTRDY_2020-08-0'!$G$2:$G$870))</f>
        <v>Delivery</v>
      </c>
      <c r="D682" t="str">
        <f>INDEX('Pipe Table'!$B$2:$B$14,MATCH(INDEX(TeAllPoints!$I$2:$I$957,MATCH(Filter!B682,TeAllPoints!$B$2:$B$957,0)),'Pipe Table'!$A$2:$A$14,0))</f>
        <v>EndUsr</v>
      </c>
      <c r="E682" t="str">
        <f>INDEX('TE_OA_20200805_INTRDY_2020-08-0'!$H$2:$H$870,MATCH(Filter!B682,'TE_OA_20200805_INTRDY_2020-08-0'!$G$2:$G$870))</f>
        <v>Eastman Chemical/TXO-Callahan Rd., Harrison Co., TX</v>
      </c>
      <c r="F682" t="str">
        <f>INDEX('Pipe Table'!$H$2:$H$8,MATCH('TE_OA_20200805_INTRDY_2020-08-0'!I663,'Pipe Table'!$G$2:$G$8,0))</f>
        <v>TETCO-ETX</v>
      </c>
      <c r="G682" t="str">
        <f>INDEX(TeAllPoints!$D$2:$D$957,MATCH(Filter!B682,TeAllPoints!$B$2:$B$957,0))</f>
        <v>TX</v>
      </c>
      <c r="H682" t="str">
        <f>INDEX(TeAllPoints!$E$2:$E$957,MATCH(Filter!B682,TeAllPoints!$B$2:$B$957,0))</f>
        <v>HARRISON</v>
      </c>
      <c r="I682">
        <f>INDEX('TE_OA_20200805_INTRDY_2020-08-0'!$Q$2:$Q$870,MATCH(Filter!B682,'TE_OA_20200805_INTRDY_2020-08-0'!$G$2:$G$870))</f>
        <v>101700</v>
      </c>
      <c r="J682">
        <f>INDEX('TE_OA_20200805_INTRDY_2020-08-0'!$R$2:$R$870,MATCH(Filter!B682,'TE_OA_20200805_INTRDY_2020-08-0'!$G$2:$G$870))</f>
        <v>35000</v>
      </c>
    </row>
    <row r="683" spans="1:10" x14ac:dyDescent="0.25">
      <c r="A683" t="str">
        <f>INDEX('Pipe Table'!$E$2:$E$10,MATCH(INDEX('TE_OA_20200805_INTRDY_2020-08-0'!$T$2:$T$870,MATCH(Filter!B683,'TE_OA_20200805_INTRDY_2020-08-0'!$G$2:$G$870,0)),'Pipe Table'!$D$2:$D$10,0))</f>
        <v>TETCO</v>
      </c>
      <c r="B683">
        <v>73899</v>
      </c>
      <c r="C683" t="str">
        <f>INDEX('TE_OA_20200805_INTRDY_2020-08-0'!$J$2:$J$870,MATCH(Filter!B683,'TE_OA_20200805_INTRDY_2020-08-0'!$G$2:$G$870))</f>
        <v>Delivery</v>
      </c>
      <c r="D683" t="str">
        <f>INDEX('Pipe Table'!$B$2:$B$14,MATCH(INDEX(TeAllPoints!$I$2:$I$957,MATCH(Filter!B683,TeAllPoints!$B$2:$B$957,0)),'Pipe Table'!$A$2:$A$14,0))</f>
        <v>EndUsr</v>
      </c>
      <c r="E683" t="str">
        <f>INDEX('TE_OA_20200805_INTRDY_2020-08-0'!$H$2:$H$870,MATCH(Filter!B683,'TE_OA_20200805_INTRDY_2020-08-0'!$G$2:$G$870))</f>
        <v>Bayonne Energy Center - NJ Route 440</v>
      </c>
      <c r="F683" t="str">
        <f>INDEX('Pipe Table'!$H$2:$H$8,MATCH('TE_OA_20200805_INTRDY_2020-08-0'!I664,'Pipe Table'!$G$2:$G$8,0))</f>
        <v>TETCO-M3</v>
      </c>
      <c r="G683" t="str">
        <f>INDEX(TeAllPoints!$D$2:$D$957,MATCH(Filter!B683,TeAllPoints!$B$2:$B$957,0))</f>
        <v>NJ</v>
      </c>
      <c r="H683" t="str">
        <f>INDEX(TeAllPoints!$E$2:$E$957,MATCH(Filter!B683,TeAllPoints!$B$2:$B$957,0))</f>
        <v>HUDSON</v>
      </c>
      <c r="I683">
        <f>INDEX('TE_OA_20200805_INTRDY_2020-08-0'!$Q$2:$Q$870,MATCH(Filter!B683,'TE_OA_20200805_INTRDY_2020-08-0'!$G$2:$G$870))</f>
        <v>192345</v>
      </c>
      <c r="J683">
        <f>INDEX('TE_OA_20200805_INTRDY_2020-08-0'!$R$2:$R$870,MATCH(Filter!B683,'TE_OA_20200805_INTRDY_2020-08-0'!$G$2:$G$870))</f>
        <v>0</v>
      </c>
    </row>
    <row r="684" spans="1:10" x14ac:dyDescent="0.25">
      <c r="A684" t="str">
        <f>INDEX('Pipe Table'!$E$2:$E$10,MATCH(INDEX('TE_OA_20200805_INTRDY_2020-08-0'!$T$2:$T$870,MATCH(Filter!B684,'TE_OA_20200805_INTRDY_2020-08-0'!$G$2:$G$870,0)),'Pipe Table'!$D$2:$D$10,0))</f>
        <v>TETCO</v>
      </c>
      <c r="B684">
        <v>73900</v>
      </c>
      <c r="C684" t="str">
        <f>INDEX('TE_OA_20200805_INTRDY_2020-08-0'!$J$2:$J$870,MATCH(Filter!B684,'TE_OA_20200805_INTRDY_2020-08-0'!$G$2:$G$870))</f>
        <v>Delivery</v>
      </c>
      <c r="D684" t="str">
        <f>INDEX('Pipe Table'!$B$2:$B$14,MATCH(INDEX(TeAllPoints!$I$2:$I$957,MATCH(Filter!B684,TeAllPoints!$B$2:$B$957,0)),'Pipe Table'!$A$2:$A$14,0))</f>
        <v>LDC</v>
      </c>
      <c r="E684" t="str">
        <f>INDEX('TE_OA_20200805_INTRDY_2020-08-0'!$H$2:$H$870,MATCH(Filter!B684,'TE_OA_20200805_INTRDY_2020-08-0'!$G$2:$G$870))</f>
        <v>Town of Centreville, Wilkinson Co., MS</v>
      </c>
      <c r="F684" t="str">
        <f>INDEX('Pipe Table'!$H$2:$H$8,MATCH('TE_OA_20200805_INTRDY_2020-08-0'!I665,'Pipe Table'!$G$2:$G$8,0))</f>
        <v>TETCO-ELA</v>
      </c>
      <c r="G684" t="str">
        <f>INDEX(TeAllPoints!$D$2:$D$957,MATCH(Filter!B684,TeAllPoints!$B$2:$B$957,0))</f>
        <v>MS</v>
      </c>
      <c r="H684" t="str">
        <f>INDEX(TeAllPoints!$E$2:$E$957,MATCH(Filter!B684,TeAllPoints!$B$2:$B$957,0))</f>
        <v>WILKINSON</v>
      </c>
      <c r="I684">
        <f>INDEX('TE_OA_20200805_INTRDY_2020-08-0'!$Q$2:$Q$870,MATCH(Filter!B684,'TE_OA_20200805_INTRDY_2020-08-0'!$G$2:$G$870))</f>
        <v>1900</v>
      </c>
      <c r="J684">
        <f>INDEX('TE_OA_20200805_INTRDY_2020-08-0'!$R$2:$R$870,MATCH(Filter!B684,'TE_OA_20200805_INTRDY_2020-08-0'!$G$2:$G$870))</f>
        <v>185</v>
      </c>
    </row>
    <row r="685" spans="1:10" x14ac:dyDescent="0.25">
      <c r="A685" t="str">
        <f>INDEX('Pipe Table'!$E$2:$E$10,MATCH(INDEX('TE_OA_20200805_INTRDY_2020-08-0'!$T$2:$T$870,MATCH(Filter!B685,'TE_OA_20200805_INTRDY_2020-08-0'!$G$2:$G$870,0)),'Pipe Table'!$D$2:$D$10,0))</f>
        <v>TETCO</v>
      </c>
      <c r="B685">
        <v>73901</v>
      </c>
      <c r="C685" t="str">
        <f>INDEX('TE_OA_20200805_INTRDY_2020-08-0'!$J$2:$J$870,MATCH(Filter!B685,'TE_OA_20200805_INTRDY_2020-08-0'!$G$2:$G$870))</f>
        <v>Delivery</v>
      </c>
      <c r="D685" t="str">
        <f>INDEX('Pipe Table'!$B$2:$B$14,MATCH(INDEX(TeAllPoints!$I$2:$I$957,MATCH(Filter!B685,TeAllPoints!$B$2:$B$957,0)),'Pipe Table'!$A$2:$A$14,0))</f>
        <v>LDC</v>
      </c>
      <c r="E685" t="str">
        <f>INDEX('TE_OA_20200805_INTRDY_2020-08-0'!$H$2:$H$870,MATCH(Filter!B685,'TE_OA_20200805_INTRDY_2020-08-0'!$G$2:$G$870))</f>
        <v>Gas Utilities District #1 Angola Del., State Hwy 10, W.Feliciana P</v>
      </c>
      <c r="F685" t="str">
        <f>INDEX('Pipe Table'!$H$2:$H$8,MATCH('TE_OA_20200805_INTRDY_2020-08-0'!I666,'Pipe Table'!$G$2:$G$8,0))</f>
        <v>TETCO-ELA</v>
      </c>
      <c r="G685" t="str">
        <f>INDEX(TeAllPoints!$D$2:$D$957,MATCH(Filter!B685,TeAllPoints!$B$2:$B$957,0))</f>
        <v>LA</v>
      </c>
      <c r="H685" t="str">
        <f>INDEX(TeAllPoints!$E$2:$E$957,MATCH(Filter!B685,TeAllPoints!$B$2:$B$957,0))</f>
        <v>WEST FELICIANA</v>
      </c>
      <c r="I685">
        <f>INDEX('TE_OA_20200805_INTRDY_2020-08-0'!$Q$2:$Q$870,MATCH(Filter!B685,'TE_OA_20200805_INTRDY_2020-08-0'!$G$2:$G$870))</f>
        <v>8000</v>
      </c>
      <c r="J685">
        <f>INDEX('TE_OA_20200805_INTRDY_2020-08-0'!$R$2:$R$870,MATCH(Filter!B685,'TE_OA_20200805_INTRDY_2020-08-0'!$G$2:$G$870))</f>
        <v>790</v>
      </c>
    </row>
    <row r="686" spans="1:10" x14ac:dyDescent="0.25">
      <c r="A686" t="str">
        <f>INDEX('Pipe Table'!$E$2:$E$10,MATCH(INDEX('TE_OA_20200805_INTRDY_2020-08-0'!$T$2:$T$870,MATCH(Filter!B686,'TE_OA_20200805_INTRDY_2020-08-0'!$G$2:$G$870,0)),'Pipe Table'!$D$2:$D$10,0))</f>
        <v>TETCO</v>
      </c>
      <c r="B686">
        <v>73902</v>
      </c>
      <c r="C686" t="str">
        <f>INDEX('TE_OA_20200805_INTRDY_2020-08-0'!$J$2:$J$870,MATCH(Filter!B686,'TE_OA_20200805_INTRDY_2020-08-0'!$G$2:$G$870))</f>
        <v>Delivery</v>
      </c>
      <c r="D686" t="str">
        <f>INDEX('Pipe Table'!$B$2:$B$14,MATCH(INDEX(TeAllPoints!$I$2:$I$957,MATCH(Filter!B686,TeAllPoints!$B$2:$B$957,0)),'Pipe Table'!$A$2:$A$14,0))</f>
        <v>LDC</v>
      </c>
      <c r="E686" t="str">
        <f>INDEX('TE_OA_20200805_INTRDY_2020-08-0'!$H$2:$H$870,MATCH(Filter!B686,'TE_OA_20200805_INTRDY_2020-08-0'!$G$2:$G$870))</f>
        <v>Gas Utilities District #1 Spillman Delivery State Hwy 421;W.Felici</v>
      </c>
      <c r="F686" t="str">
        <f>INDEX('Pipe Table'!$H$2:$H$8,MATCH('TE_OA_20200805_INTRDY_2020-08-0'!I667,'Pipe Table'!$G$2:$G$8,0))</f>
        <v>TETCO-ELA</v>
      </c>
      <c r="G686" t="str">
        <f>INDEX(TeAllPoints!$D$2:$D$957,MATCH(Filter!B686,TeAllPoints!$B$2:$B$957,0))</f>
        <v>LA</v>
      </c>
      <c r="H686" t="str">
        <f>INDEX(TeAllPoints!$E$2:$E$957,MATCH(Filter!B686,TeAllPoints!$B$2:$B$957,0))</f>
        <v>WEST FELICIANA</v>
      </c>
      <c r="I686">
        <f>INDEX('TE_OA_20200805_INTRDY_2020-08-0'!$Q$2:$Q$870,MATCH(Filter!B686,'TE_OA_20200805_INTRDY_2020-08-0'!$G$2:$G$870))</f>
        <v>400</v>
      </c>
      <c r="J686">
        <f>INDEX('TE_OA_20200805_INTRDY_2020-08-0'!$R$2:$R$870,MATCH(Filter!B686,'TE_OA_20200805_INTRDY_2020-08-0'!$G$2:$G$870))</f>
        <v>1</v>
      </c>
    </row>
    <row r="687" spans="1:10" x14ac:dyDescent="0.25">
      <c r="A687" t="str">
        <f>INDEX('Pipe Table'!$E$2:$E$10,MATCH(INDEX('TE_OA_20200805_INTRDY_2020-08-0'!$T$2:$T$870,MATCH(Filter!B687,'TE_OA_20200805_INTRDY_2020-08-0'!$G$2:$G$870,0)),'Pipe Table'!$D$2:$D$10,0))</f>
        <v>TETCO</v>
      </c>
      <c r="B687">
        <v>73904</v>
      </c>
      <c r="C687" t="str">
        <f>INDEX('TE_OA_20200805_INTRDY_2020-08-0'!$J$2:$J$870,MATCH(Filter!B687,'TE_OA_20200805_INTRDY_2020-08-0'!$G$2:$G$870))</f>
        <v>Delivery</v>
      </c>
      <c r="D687" t="str">
        <f>INDEX('Pipe Table'!$B$2:$B$14,MATCH(INDEX(TeAllPoints!$I$2:$I$957,MATCH(Filter!B687,TeAllPoints!$B$2:$B$957,0)),'Pipe Table'!$A$2:$A$14,0))</f>
        <v>Intrcnnct</v>
      </c>
      <c r="E687" t="str">
        <f>INDEX('TE_OA_20200805_INTRDY_2020-08-0'!$H$2:$H$870,MATCH(Filter!B687,'TE_OA_20200805_INTRDY_2020-08-0'!$G$2:$G$870))</f>
        <v>Southern Natural Gas Kosciusko Reversal</v>
      </c>
      <c r="F687" t="str">
        <f>INDEX('Pipe Table'!$H$2:$H$8,MATCH('TE_OA_20200805_INTRDY_2020-08-0'!I668,'Pipe Table'!$G$2:$G$8,0))</f>
        <v>TETCO-M1</v>
      </c>
      <c r="G687" t="str">
        <f>INDEX(TeAllPoints!$D$2:$D$957,MATCH(Filter!B687,TeAllPoints!$B$2:$B$957,0))</f>
        <v>MS</v>
      </c>
      <c r="H687" t="str">
        <f>INDEX(TeAllPoints!$E$2:$E$957,MATCH(Filter!B687,TeAllPoints!$B$2:$B$957,0))</f>
        <v>ATTALA</v>
      </c>
      <c r="I687">
        <f>INDEX('TE_OA_20200805_INTRDY_2020-08-0'!$Q$2:$Q$870,MATCH(Filter!B687,'TE_OA_20200805_INTRDY_2020-08-0'!$G$2:$G$870))</f>
        <v>162720</v>
      </c>
      <c r="J687">
        <f>INDEX('TE_OA_20200805_INTRDY_2020-08-0'!$R$2:$R$870,MATCH(Filter!B687,'TE_OA_20200805_INTRDY_2020-08-0'!$G$2:$G$870))</f>
        <v>55900</v>
      </c>
    </row>
    <row r="688" spans="1:10" x14ac:dyDescent="0.25">
      <c r="A688" t="str">
        <f>INDEX('Pipe Table'!$E$2:$E$10,MATCH(INDEX('TE_OA_20200805_INTRDY_2020-08-0'!$T$2:$T$870,MATCH(Filter!B688,'TE_OA_20200805_INTRDY_2020-08-0'!$G$2:$G$870,0)),'Pipe Table'!$D$2:$D$10,0))</f>
        <v>TETCO</v>
      </c>
      <c r="B688">
        <v>73905</v>
      </c>
      <c r="C688" t="str">
        <f>INDEX('TE_OA_20200805_INTRDY_2020-08-0'!$J$2:$J$870,MATCH(Filter!B688,'TE_OA_20200805_INTRDY_2020-08-0'!$G$2:$G$870))</f>
        <v>Receipt</v>
      </c>
      <c r="D688" t="str">
        <f>INDEX('Pipe Table'!$B$2:$B$14,MATCH(INDEX(TeAllPoints!$I$2:$I$957,MATCH(Filter!B688,TeAllPoints!$B$2:$B$957,0)),'Pipe Table'!$A$2:$A$14,0))</f>
        <v>Wellhead</v>
      </c>
      <c r="E688" t="str">
        <f>INDEX('TE_OA_20200805_INTRDY_2020-08-0'!$H$2:$H$870,MATCH(Filter!B688,'TE_OA_20200805_INTRDY_2020-08-0'!$G$2:$G$870))</f>
        <v>Fieldwood EC 250</v>
      </c>
      <c r="F688" t="str">
        <f>INDEX('Pipe Table'!$H$2:$H$8,MATCH('TE_OA_20200805_INTRDY_2020-08-0'!I669,'Pipe Table'!$G$2:$G$8,0))</f>
        <v>TETCO-WLA</v>
      </c>
      <c r="G688" t="str">
        <f>INDEX(TeAllPoints!$D$2:$D$957,MATCH(Filter!B688,TeAllPoints!$B$2:$B$957,0))</f>
        <v>LA</v>
      </c>
      <c r="H688" t="str">
        <f>INDEX(TeAllPoints!$E$2:$E$957,MATCH(Filter!B688,TeAllPoints!$B$2:$B$957,0))</f>
        <v>EAST CAMERON-SOUTH</v>
      </c>
      <c r="I688">
        <f>INDEX('TE_OA_20200805_INTRDY_2020-08-0'!$Q$2:$Q$870,MATCH(Filter!B688,'TE_OA_20200805_INTRDY_2020-08-0'!$G$2:$G$870))</f>
        <v>3562</v>
      </c>
      <c r="J688">
        <f>INDEX('TE_OA_20200805_INTRDY_2020-08-0'!$R$2:$R$870,MATCH(Filter!B688,'TE_OA_20200805_INTRDY_2020-08-0'!$G$2:$G$870))</f>
        <v>0</v>
      </c>
    </row>
    <row r="689" spans="1:10" x14ac:dyDescent="0.25">
      <c r="A689" t="str">
        <f>INDEX('Pipe Table'!$E$2:$E$10,MATCH(INDEX('TE_OA_20200805_INTRDY_2020-08-0'!$T$2:$T$870,MATCH(Filter!B689,'TE_OA_20200805_INTRDY_2020-08-0'!$G$2:$G$870,0)),'Pipe Table'!$D$2:$D$10,0))</f>
        <v>TETCO</v>
      </c>
      <c r="B689">
        <v>73907</v>
      </c>
      <c r="C689" t="str">
        <f>INDEX('TE_OA_20200805_INTRDY_2020-08-0'!$J$2:$J$870,MATCH(Filter!B689,'TE_OA_20200805_INTRDY_2020-08-0'!$G$2:$G$870))</f>
        <v>Receipt</v>
      </c>
      <c r="D689" t="str">
        <f>INDEX('Pipe Table'!$B$2:$B$14,MATCH(INDEX(TeAllPoints!$I$2:$I$957,MATCH(Filter!B689,TeAllPoints!$B$2:$B$957,0)),'Pipe Table'!$A$2:$A$14,0))</f>
        <v>Wellhead</v>
      </c>
      <c r="E689" t="str">
        <f>INDEX('TE_OA_20200805_INTRDY_2020-08-0'!$H$2:$H$870,MATCH(Filter!B689,'TE_OA_20200805_INTRDY_2020-08-0'!$G$2:$G$870))</f>
        <v>EQT- Braden Run II, Greene Co., PA.</v>
      </c>
      <c r="F689" t="str">
        <f>INDEX('Pipe Table'!$H$2:$H$8,MATCH('TE_OA_20200805_INTRDY_2020-08-0'!I670,'Pipe Table'!$G$2:$G$8,0))</f>
        <v>TETCO-M2</v>
      </c>
      <c r="G689" t="str">
        <f>INDEX(TeAllPoints!$D$2:$D$957,MATCH(Filter!B689,TeAllPoints!$B$2:$B$957,0))</f>
        <v>PA</v>
      </c>
      <c r="H689" t="str">
        <f>INDEX(TeAllPoints!$E$2:$E$957,MATCH(Filter!B689,TeAllPoints!$B$2:$B$957,0))</f>
        <v>GREENE</v>
      </c>
      <c r="I689">
        <f>INDEX('TE_OA_20200805_INTRDY_2020-08-0'!$Q$2:$Q$870,MATCH(Filter!B689,'TE_OA_20200805_INTRDY_2020-08-0'!$G$2:$G$870))</f>
        <v>500000</v>
      </c>
      <c r="J689">
        <f>INDEX('TE_OA_20200805_INTRDY_2020-08-0'!$R$2:$R$870,MATCH(Filter!B689,'TE_OA_20200805_INTRDY_2020-08-0'!$G$2:$G$870))</f>
        <v>387961</v>
      </c>
    </row>
    <row r="690" spans="1:10" x14ac:dyDescent="0.25">
      <c r="A690" t="str">
        <f>INDEX('Pipe Table'!$E$2:$E$10,MATCH(INDEX('TE_OA_20200805_INTRDY_2020-08-0'!$T$2:$T$870,MATCH(Filter!B690,'TE_OA_20200805_INTRDY_2020-08-0'!$G$2:$G$870,0)),'Pipe Table'!$D$2:$D$10,0))</f>
        <v>TETCO</v>
      </c>
      <c r="B690">
        <v>73908</v>
      </c>
      <c r="C690" t="str">
        <f>INDEX('TE_OA_20200805_INTRDY_2020-08-0'!$J$2:$J$870,MATCH(Filter!B690,'TE_OA_20200805_INTRDY_2020-08-0'!$G$2:$G$870))</f>
        <v>Receipt</v>
      </c>
      <c r="D690" t="e">
        <f>INDEX('Pipe Table'!$B$2:$B$14,MATCH(INDEX(TeAllPoints!$I$2:$I$957,MATCH(Filter!B690,TeAllPoints!$B$2:$B$957,0)),'Pipe Table'!$A$2:$A$14,0))</f>
        <v>#N/A</v>
      </c>
      <c r="E690" t="str">
        <f>INDEX('TE_OA_20200805_INTRDY_2020-08-0'!$H$2:$H$870,MATCH(Filter!B690,'TE_OA_20200805_INTRDY_2020-08-0'!$G$2:$G$870))</f>
        <v>WG Gas Rich Land Seed Gathering-Swan Lake Road-Morehouse, LA</v>
      </c>
      <c r="F690" t="str">
        <f>INDEX('Pipe Table'!$H$2:$H$8,MATCH('TE_OA_20200805_INTRDY_2020-08-0'!I671,'Pipe Table'!$G$2:$G$8,0))</f>
        <v>TETCO-ELA</v>
      </c>
      <c r="G690" t="e">
        <f>INDEX(TeAllPoints!$D$2:$D$957,MATCH(Filter!B690,TeAllPoints!$B$2:$B$957,0))</f>
        <v>#N/A</v>
      </c>
      <c r="H690" t="e">
        <f>INDEX(TeAllPoints!$E$2:$E$957,MATCH(Filter!B690,TeAllPoints!$B$2:$B$957,0))</f>
        <v>#N/A</v>
      </c>
      <c r="I690">
        <f>INDEX('TE_OA_20200805_INTRDY_2020-08-0'!$Q$2:$Q$870,MATCH(Filter!B690,'TE_OA_20200805_INTRDY_2020-08-0'!$G$2:$G$870))</f>
        <v>10170</v>
      </c>
      <c r="J690">
        <f>INDEX('TE_OA_20200805_INTRDY_2020-08-0'!$R$2:$R$870,MATCH(Filter!B690,'TE_OA_20200805_INTRDY_2020-08-0'!$G$2:$G$870))</f>
        <v>0</v>
      </c>
    </row>
    <row r="691" spans="1:10" x14ac:dyDescent="0.25">
      <c r="A691" t="str">
        <f>INDEX('Pipe Table'!$E$2:$E$10,MATCH(INDEX('TE_OA_20200805_INTRDY_2020-08-0'!$T$2:$T$870,MATCH(Filter!B691,'TE_OA_20200805_INTRDY_2020-08-0'!$G$2:$G$870,0)),'Pipe Table'!$D$2:$D$10,0))</f>
        <v>TETCO</v>
      </c>
      <c r="B691">
        <v>73909</v>
      </c>
      <c r="C691" t="str">
        <f>INDEX('TE_OA_20200805_INTRDY_2020-08-0'!$J$2:$J$870,MATCH(Filter!B691,'TE_OA_20200805_INTRDY_2020-08-0'!$G$2:$G$870))</f>
        <v>Delivery</v>
      </c>
      <c r="D691" t="str">
        <f>INDEX('Pipe Table'!$B$2:$B$14,MATCH(INDEX(TeAllPoints!$I$2:$I$957,MATCH(Filter!B691,TeAllPoints!$B$2:$B$957,0)),'Pipe Table'!$A$2:$A$14,0))</f>
        <v>EndUsr</v>
      </c>
      <c r="E691" t="str">
        <f>INDEX('TE_OA_20200805_INTRDY_2020-08-0'!$H$2:$H$870,MATCH(Filter!B691,'TE_OA_20200805_INTRDY_2020-08-0'!$G$2:$G$870))</f>
        <v>Linden Cogen Bayway</v>
      </c>
      <c r="F691" t="str">
        <f>INDEX('Pipe Table'!$H$2:$H$8,MATCH('TE_OA_20200805_INTRDY_2020-08-0'!I672,'Pipe Table'!$G$2:$G$8,0))</f>
        <v>TETCO-M3</v>
      </c>
      <c r="G691" t="str">
        <f>INDEX(TeAllPoints!$D$2:$D$957,MATCH(Filter!B691,TeAllPoints!$B$2:$B$957,0))</f>
        <v>NJ</v>
      </c>
      <c r="H691" t="str">
        <f>INDEX(TeAllPoints!$E$2:$E$957,MATCH(Filter!B691,TeAllPoints!$B$2:$B$957,0))</f>
        <v>UNION</v>
      </c>
      <c r="I691">
        <f>INDEX('TE_OA_20200805_INTRDY_2020-08-0'!$Q$2:$Q$870,MATCH(Filter!B691,'TE_OA_20200805_INTRDY_2020-08-0'!$G$2:$G$870))</f>
        <v>234000</v>
      </c>
      <c r="J691">
        <f>INDEX('TE_OA_20200805_INTRDY_2020-08-0'!$R$2:$R$870,MATCH(Filter!B691,'TE_OA_20200805_INTRDY_2020-08-0'!$G$2:$G$870))</f>
        <v>110122</v>
      </c>
    </row>
    <row r="692" spans="1:10" x14ac:dyDescent="0.25">
      <c r="A692" t="str">
        <f>INDEX('Pipe Table'!$E$2:$E$10,MATCH(INDEX('TE_OA_20200805_INTRDY_2020-08-0'!$T$2:$T$870,MATCH(Filter!B692,'TE_OA_20200805_INTRDY_2020-08-0'!$G$2:$G$870,0)),'Pipe Table'!$D$2:$D$10,0))</f>
        <v>TETCO</v>
      </c>
      <c r="B692">
        <v>73910</v>
      </c>
      <c r="C692" t="str">
        <f>INDEX('TE_OA_20200805_INTRDY_2020-08-0'!$J$2:$J$870,MATCH(Filter!B692,'TE_OA_20200805_INTRDY_2020-08-0'!$G$2:$G$870))</f>
        <v>Delivery</v>
      </c>
      <c r="D692" t="str">
        <f>INDEX('Pipe Table'!$B$2:$B$14,MATCH(INDEX(TeAllPoints!$I$2:$I$957,MATCH(Filter!B692,TeAllPoints!$B$2:$B$957,0)),'Pipe Table'!$A$2:$A$14,0))</f>
        <v>EndUsr</v>
      </c>
      <c r="E692" t="str">
        <f>INDEX('TE_OA_20200805_INTRDY_2020-08-0'!$H$2:$H$870,MATCH(Filter!B692,'TE_OA_20200805_INTRDY_2020-08-0'!$G$2:$G$870))</f>
        <v>Phillips 66 Bayway</v>
      </c>
      <c r="F692" t="str">
        <f>INDEX('Pipe Table'!$H$2:$H$8,MATCH('TE_OA_20200805_INTRDY_2020-08-0'!I673,'Pipe Table'!$G$2:$G$8,0))</f>
        <v>TETCO-M3</v>
      </c>
      <c r="G692" t="str">
        <f>INDEX(TeAllPoints!$D$2:$D$957,MATCH(Filter!B692,TeAllPoints!$B$2:$B$957,0))</f>
        <v>NJ</v>
      </c>
      <c r="H692" t="str">
        <f>INDEX(TeAllPoints!$E$2:$E$957,MATCH(Filter!B692,TeAllPoints!$B$2:$B$957,0))</f>
        <v>UNION</v>
      </c>
      <c r="I692">
        <f>INDEX('TE_OA_20200805_INTRDY_2020-08-0'!$Q$2:$Q$870,MATCH(Filter!B692,'TE_OA_20200805_INTRDY_2020-08-0'!$G$2:$G$870))</f>
        <v>75000</v>
      </c>
      <c r="J692">
        <f>INDEX('TE_OA_20200805_INTRDY_2020-08-0'!$R$2:$R$870,MATCH(Filter!B692,'TE_OA_20200805_INTRDY_2020-08-0'!$G$2:$G$870))</f>
        <v>45500</v>
      </c>
    </row>
    <row r="693" spans="1:10" x14ac:dyDescent="0.25">
      <c r="A693" t="str">
        <f>INDEX('Pipe Table'!$E$2:$E$10,MATCH(INDEX('TE_OA_20200805_INTRDY_2020-08-0'!$T$2:$T$870,MATCH(Filter!B693,'TE_OA_20200805_INTRDY_2020-08-0'!$G$2:$G$870,0)),'Pipe Table'!$D$2:$D$10,0))</f>
        <v>TETCO</v>
      </c>
      <c r="B693">
        <v>73911</v>
      </c>
      <c r="C693" t="str">
        <f>INDEX('TE_OA_20200805_INTRDY_2020-08-0'!$J$2:$J$870,MATCH(Filter!B693,'TE_OA_20200805_INTRDY_2020-08-0'!$G$2:$G$870))</f>
        <v>Delivery</v>
      </c>
      <c r="D693" t="str">
        <f>INDEX('Pipe Table'!$B$2:$B$14,MATCH(INDEX(TeAllPoints!$I$2:$I$957,MATCH(Filter!B693,TeAllPoints!$B$2:$B$957,0)),'Pipe Table'!$A$2:$A$14,0))</f>
        <v>EndUsr</v>
      </c>
      <c r="E693" t="str">
        <f>INDEX('TE_OA_20200805_INTRDY_2020-08-0'!$H$2:$H$870,MATCH(Filter!B693,'TE_OA_20200805_INTRDY_2020-08-0'!$G$2:$G$870))</f>
        <v>CPV-Fairview, Jackson Township, PA</v>
      </c>
      <c r="F693" t="str">
        <f>INDEX('Pipe Table'!$H$2:$H$8,MATCH('TE_OA_20200805_INTRDY_2020-08-0'!I674,'Pipe Table'!$G$2:$G$8,0))</f>
        <v>TETCO-M3</v>
      </c>
      <c r="G693" t="str">
        <f>INDEX(TeAllPoints!$D$2:$D$957,MATCH(Filter!B693,TeAllPoints!$B$2:$B$957,0))</f>
        <v>PA</v>
      </c>
      <c r="H693" t="str">
        <f>INDEX(TeAllPoints!$E$2:$E$957,MATCH(Filter!B693,TeAllPoints!$B$2:$B$957,0))</f>
        <v>CAMBRIA</v>
      </c>
      <c r="I693">
        <f>INDEX('TE_OA_20200805_INTRDY_2020-08-0'!$Q$2:$Q$870,MATCH(Filter!B693,'TE_OA_20200805_INTRDY_2020-08-0'!$G$2:$G$870))</f>
        <v>183060</v>
      </c>
      <c r="J693">
        <f>INDEX('TE_OA_20200805_INTRDY_2020-08-0'!$R$2:$R$870,MATCH(Filter!B693,'TE_OA_20200805_INTRDY_2020-08-0'!$G$2:$G$870))</f>
        <v>145000</v>
      </c>
    </row>
    <row r="694" spans="1:10" x14ac:dyDescent="0.25">
      <c r="A694" t="str">
        <f>INDEX('Pipe Table'!$E$2:$E$10,MATCH(INDEX('TE_OA_20200805_INTRDY_2020-08-0'!$T$2:$T$870,MATCH(Filter!B694,'TE_OA_20200805_INTRDY_2020-08-0'!$G$2:$G$870,0)),'Pipe Table'!$D$2:$D$10,0))</f>
        <v>TETCO</v>
      </c>
      <c r="B694">
        <v>73912</v>
      </c>
      <c r="C694" t="str">
        <f>INDEX('TE_OA_20200805_INTRDY_2020-08-0'!$J$2:$J$870,MATCH(Filter!B694,'TE_OA_20200805_INTRDY_2020-08-0'!$G$2:$G$870))</f>
        <v>Delivery</v>
      </c>
      <c r="D694" t="str">
        <f>INDEX('Pipe Table'!$B$2:$B$14,MATCH(INDEX(TeAllPoints!$I$2:$I$957,MATCH(Filter!B694,TeAllPoints!$B$2:$B$957,0)),'Pipe Table'!$A$2:$A$14,0))</f>
        <v>Intrcnnct</v>
      </c>
      <c r="E694" t="str">
        <f>INDEX('TE_OA_20200805_INTRDY_2020-08-0'!$H$2:$H$870,MATCH(Filter!B694,'TE_OA_20200805_INTRDY_2020-08-0'!$G$2:$G$870))</f>
        <v>BIG Pipeline-TETCO Delivery, Brazoria Co., TX</v>
      </c>
      <c r="F694" t="str">
        <f>INDEX('Pipe Table'!$H$2:$H$8,MATCH('TE_OA_20200805_INTRDY_2020-08-0'!I675,'Pipe Table'!$G$2:$G$8,0))</f>
        <v>TETCO-STX</v>
      </c>
      <c r="G694" t="str">
        <f>INDEX(TeAllPoints!$D$2:$D$957,MATCH(Filter!B694,TeAllPoints!$B$2:$B$957,0))</f>
        <v>TX</v>
      </c>
      <c r="H694" t="str">
        <f>INDEX(TeAllPoints!$E$2:$E$957,MATCH(Filter!B694,TeAllPoints!$B$2:$B$957,0))</f>
        <v>BRAZORIA</v>
      </c>
      <c r="I694">
        <f>INDEX('TE_OA_20200805_INTRDY_2020-08-0'!$Q$2:$Q$870,MATCH(Filter!B694,'TE_OA_20200805_INTRDY_2020-08-0'!$G$2:$G$870))</f>
        <v>509485</v>
      </c>
      <c r="J694">
        <f>INDEX('TE_OA_20200805_INTRDY_2020-08-0'!$R$2:$R$870,MATCH(Filter!B694,'TE_OA_20200805_INTRDY_2020-08-0'!$G$2:$G$870))</f>
        <v>0</v>
      </c>
    </row>
    <row r="695" spans="1:10" x14ac:dyDescent="0.25">
      <c r="A695" t="str">
        <f>INDEX('Pipe Table'!$E$2:$E$10,MATCH(INDEX('TE_OA_20200805_INTRDY_2020-08-0'!$T$2:$T$870,MATCH(Filter!B695,'TE_OA_20200805_INTRDY_2020-08-0'!$G$2:$G$870,0)),'Pipe Table'!$D$2:$D$10,0))</f>
        <v>TETCO</v>
      </c>
      <c r="B695">
        <v>73913</v>
      </c>
      <c r="C695" t="str">
        <f>INDEX('TE_OA_20200805_INTRDY_2020-08-0'!$J$2:$J$870,MATCH(Filter!B695,'TE_OA_20200805_INTRDY_2020-08-0'!$G$2:$G$870))</f>
        <v>Delivery</v>
      </c>
      <c r="D695" t="str">
        <f>INDEX('Pipe Table'!$B$2:$B$14,MATCH(INDEX(TeAllPoints!$I$2:$I$957,MATCH(Filter!B695,TeAllPoints!$B$2:$B$957,0)),'Pipe Table'!$A$2:$A$14,0))</f>
        <v>EndUsr</v>
      </c>
      <c r="E695" t="str">
        <f>INDEX('TE_OA_20200805_INTRDY_2020-08-0'!$H$2:$H$870,MATCH(Filter!B695,'TE_OA_20200805_INTRDY_2020-08-0'!$G$2:$G$870))</f>
        <v>Tenaska Pennsylvania Partners, LLC - Westmoreland Co., PA</v>
      </c>
      <c r="F695" t="str">
        <f>INDEX('Pipe Table'!$H$2:$H$8,MATCH('TE_OA_20200805_INTRDY_2020-08-0'!I676,'Pipe Table'!$G$2:$G$8,0))</f>
        <v>TETCO-M2</v>
      </c>
      <c r="G695" t="str">
        <f>INDEX(TeAllPoints!$D$2:$D$957,MATCH(Filter!B695,TeAllPoints!$B$2:$B$957,0))</f>
        <v>PA</v>
      </c>
      <c r="H695" t="str">
        <f>INDEX(TeAllPoints!$E$2:$E$957,MATCH(Filter!B695,TeAllPoints!$B$2:$B$957,0))</f>
        <v>WESTMORELAND</v>
      </c>
      <c r="I695">
        <f>INDEX('TE_OA_20200805_INTRDY_2020-08-0'!$Q$2:$Q$870,MATCH(Filter!B695,'TE_OA_20200805_INTRDY_2020-08-0'!$G$2:$G$870))</f>
        <v>163850</v>
      </c>
      <c r="J695">
        <f>INDEX('TE_OA_20200805_INTRDY_2020-08-0'!$R$2:$R$870,MATCH(Filter!B695,'TE_OA_20200805_INTRDY_2020-08-0'!$G$2:$G$870))</f>
        <v>100</v>
      </c>
    </row>
    <row r="696" spans="1:10" x14ac:dyDescent="0.25">
      <c r="A696" t="str">
        <f>INDEX('Pipe Table'!$E$2:$E$10,MATCH(INDEX('TE_OA_20200805_INTRDY_2020-08-0'!$T$2:$T$870,MATCH(Filter!B696,'TE_OA_20200805_INTRDY_2020-08-0'!$G$2:$G$870,0)),'Pipe Table'!$D$2:$D$10,0))</f>
        <v>TETCO</v>
      </c>
      <c r="B696">
        <v>73914</v>
      </c>
      <c r="C696" t="str">
        <f>INDEX('TE_OA_20200805_INTRDY_2020-08-0'!$J$2:$J$870,MATCH(Filter!B696,'TE_OA_20200805_INTRDY_2020-08-0'!$G$2:$G$870))</f>
        <v>Delivery</v>
      </c>
      <c r="D696" t="str">
        <f>INDEX('Pipe Table'!$B$2:$B$14,MATCH(INDEX(TeAllPoints!$I$2:$I$957,MATCH(Filter!B696,TeAllPoints!$B$2:$B$957,0)),'Pipe Table'!$A$2:$A$14,0))</f>
        <v>Intrcnnct</v>
      </c>
      <c r="E696" t="str">
        <f>INDEX('TE_OA_20200805_INTRDY_2020-08-0'!$H$2:$H$870,MATCH(Filter!B696,'TE_OA_20200805_INTRDY_2020-08-0'!$G$2:$G$870))</f>
        <v>DTE - Rockland, Forgedale Rd, Berks Co, PA</v>
      </c>
      <c r="F696" t="str">
        <f>INDEX('Pipe Table'!$H$2:$H$8,MATCH('TE_OA_20200805_INTRDY_2020-08-0'!I677,'Pipe Table'!$G$2:$G$8,0))</f>
        <v>TETCO-M3</v>
      </c>
      <c r="G696" t="str">
        <f>INDEX(TeAllPoints!$D$2:$D$957,MATCH(Filter!B696,TeAllPoints!$B$2:$B$957,0))</f>
        <v>PA</v>
      </c>
      <c r="H696" t="str">
        <f>INDEX(TeAllPoints!$E$2:$E$957,MATCH(Filter!B696,TeAllPoints!$B$2:$B$957,0))</f>
        <v>BERKS</v>
      </c>
      <c r="I696">
        <f>INDEX('TE_OA_20200805_INTRDY_2020-08-0'!$Q$2:$Q$870,MATCH(Filter!B696,'TE_OA_20200805_INTRDY_2020-08-0'!$G$2:$G$870))</f>
        <v>81400</v>
      </c>
      <c r="J696">
        <f>INDEX('TE_OA_20200805_INTRDY_2020-08-0'!$R$2:$R$870,MATCH(Filter!B696,'TE_OA_20200805_INTRDY_2020-08-0'!$G$2:$G$870))</f>
        <v>70000</v>
      </c>
    </row>
    <row r="697" spans="1:10" x14ac:dyDescent="0.25">
      <c r="A697" t="str">
        <f>INDEX('Pipe Table'!$E$2:$E$10,MATCH(INDEX('TE_OA_20200805_INTRDY_2020-08-0'!$T$2:$T$870,MATCH(Filter!B697,'TE_OA_20200805_INTRDY_2020-08-0'!$G$2:$G$870,0)),'Pipe Table'!$D$2:$D$10,0))</f>
        <v>TETCO</v>
      </c>
      <c r="B697">
        <v>73915</v>
      </c>
      <c r="C697" t="str">
        <f>INDEX('TE_OA_20200805_INTRDY_2020-08-0'!$J$2:$J$870,MATCH(Filter!B697,'TE_OA_20200805_INTRDY_2020-08-0'!$G$2:$G$870))</f>
        <v>Receipt</v>
      </c>
      <c r="D697" t="str">
        <f>INDEX('Pipe Table'!$B$2:$B$14,MATCH(INDEX(TeAllPoints!$I$2:$I$957,MATCH(Filter!B697,TeAllPoints!$B$2:$B$957,0)),'Pipe Table'!$A$2:$A$14,0))</f>
        <v>Wellhead</v>
      </c>
      <c r="E697" t="str">
        <f>INDEX('TE_OA_20200805_INTRDY_2020-08-0'!$H$2:$H$870,MATCH(Filter!B697,'TE_OA_20200805_INTRDY_2020-08-0'!$G$2:$G$870))</f>
        <v>Rice Energy - Bambino, Greene Co., PA</v>
      </c>
      <c r="F697" t="str">
        <f>INDEX('Pipe Table'!$H$2:$H$8,MATCH('TE_OA_20200805_INTRDY_2020-08-0'!I678,'Pipe Table'!$G$2:$G$8,0))</f>
        <v>TETCO-M2</v>
      </c>
      <c r="G697" t="str">
        <f>INDEX(TeAllPoints!$D$2:$D$957,MATCH(Filter!B697,TeAllPoints!$B$2:$B$957,0))</f>
        <v>PA</v>
      </c>
      <c r="H697" t="str">
        <f>INDEX(TeAllPoints!$E$2:$E$957,MATCH(Filter!B697,TeAllPoints!$B$2:$B$957,0))</f>
        <v>GREENE</v>
      </c>
      <c r="I697">
        <f>INDEX('TE_OA_20200805_INTRDY_2020-08-0'!$Q$2:$Q$870,MATCH(Filter!B697,'TE_OA_20200805_INTRDY_2020-08-0'!$G$2:$G$870))</f>
        <v>529328</v>
      </c>
      <c r="J697">
        <f>INDEX('TE_OA_20200805_INTRDY_2020-08-0'!$R$2:$R$870,MATCH(Filter!B697,'TE_OA_20200805_INTRDY_2020-08-0'!$G$2:$G$870))</f>
        <v>187000</v>
      </c>
    </row>
    <row r="698" spans="1:10" x14ac:dyDescent="0.25">
      <c r="A698" t="str">
        <f>INDEX('Pipe Table'!$E$2:$E$10,MATCH(INDEX('TE_OA_20200805_INTRDY_2020-08-0'!$T$2:$T$870,MATCH(Filter!B698,'TE_OA_20200805_INTRDY_2020-08-0'!$G$2:$G$870,0)),'Pipe Table'!$D$2:$D$10,0))</f>
        <v>TETCO</v>
      </c>
      <c r="B698">
        <v>73918</v>
      </c>
      <c r="C698" t="str">
        <f>INDEX('TE_OA_20200805_INTRDY_2020-08-0'!$J$2:$J$870,MATCH(Filter!B698,'TE_OA_20200805_INTRDY_2020-08-0'!$G$2:$G$870))</f>
        <v>Delivery</v>
      </c>
      <c r="D698" t="str">
        <f>INDEX('Pipe Table'!$B$2:$B$14,MATCH(INDEX(TeAllPoints!$I$2:$I$957,MATCH(Filter!B698,TeAllPoints!$B$2:$B$957,0)),'Pipe Table'!$A$2:$A$14,0))</f>
        <v>Intrcnnct</v>
      </c>
      <c r="E698" t="str">
        <f>INDEX('TE_OA_20200805_INTRDY_2020-08-0'!$H$2:$H$870,MATCH(Filter!B698,'TE_OA_20200805_INTRDY_2020-08-0'!$G$2:$G$870))</f>
        <v>Columbia Gas Johnson Road, York Co., PA</v>
      </c>
      <c r="F698" t="str">
        <f>INDEX('Pipe Table'!$H$2:$H$8,MATCH('TE_OA_20200805_INTRDY_2020-08-0'!I679,'Pipe Table'!$G$2:$G$8,0))</f>
        <v>TETCO-M3</v>
      </c>
      <c r="G698" t="str">
        <f>INDEX(TeAllPoints!$D$2:$D$957,MATCH(Filter!B698,TeAllPoints!$B$2:$B$957,0))</f>
        <v>PA</v>
      </c>
      <c r="H698" t="str">
        <f>INDEX(TeAllPoints!$E$2:$E$957,MATCH(Filter!B698,TeAllPoints!$B$2:$B$957,0))</f>
        <v>YORK</v>
      </c>
      <c r="I698">
        <f>INDEX('TE_OA_20200805_INTRDY_2020-08-0'!$Q$2:$Q$870,MATCH(Filter!B698,'TE_OA_20200805_INTRDY_2020-08-0'!$G$2:$G$870))</f>
        <v>97700</v>
      </c>
      <c r="J698">
        <f>INDEX('TE_OA_20200805_INTRDY_2020-08-0'!$R$2:$R$870,MATCH(Filter!B698,'TE_OA_20200805_INTRDY_2020-08-0'!$G$2:$G$870))</f>
        <v>0</v>
      </c>
    </row>
    <row r="699" spans="1:10" x14ac:dyDescent="0.25">
      <c r="A699" t="str">
        <f>INDEX('Pipe Table'!$E$2:$E$10,MATCH(INDEX('TE_OA_20200805_INTRDY_2020-08-0'!$T$2:$T$870,MATCH(Filter!B699,'TE_OA_20200805_INTRDY_2020-08-0'!$G$2:$G$870,0)),'Pipe Table'!$D$2:$D$10,0))</f>
        <v>TETCO</v>
      </c>
      <c r="B699">
        <v>73919</v>
      </c>
      <c r="C699" t="str">
        <f>INDEX('TE_OA_20200805_INTRDY_2020-08-0'!$J$2:$J$870,MATCH(Filter!B699,'TE_OA_20200805_INTRDY_2020-08-0'!$G$2:$G$870))</f>
        <v>Receipt</v>
      </c>
      <c r="D699" t="str">
        <f>INDEX('Pipe Table'!$B$2:$B$14,MATCH(INDEX(TeAllPoints!$I$2:$I$957,MATCH(Filter!B699,TeAllPoints!$B$2:$B$957,0)),'Pipe Table'!$A$2:$A$14,0))</f>
        <v>Wellhead</v>
      </c>
      <c r="E699" t="str">
        <f>INDEX('TE_OA_20200805_INTRDY_2020-08-0'!$H$2:$H$870,MATCH(Filter!B699,'TE_OA_20200805_INTRDY_2020-08-0'!$G$2:$G$870))</f>
        <v>EQT Redband, Strope Rd, Greene Co., PA</v>
      </c>
      <c r="F699" t="str">
        <f>INDEX('Pipe Table'!$H$2:$H$8,MATCH('TE_OA_20200805_INTRDY_2020-08-0'!I680,'Pipe Table'!$G$2:$G$8,0))</f>
        <v>TETCO-M2</v>
      </c>
      <c r="G699" t="str">
        <f>INDEX(TeAllPoints!$D$2:$D$957,MATCH(Filter!B699,TeAllPoints!$B$2:$B$957,0))</f>
        <v>PA</v>
      </c>
      <c r="H699" t="str">
        <f>INDEX(TeAllPoints!$E$2:$E$957,MATCH(Filter!B699,TeAllPoints!$B$2:$B$957,0))</f>
        <v>GREENE</v>
      </c>
      <c r="I699">
        <f>INDEX('TE_OA_20200805_INTRDY_2020-08-0'!$Q$2:$Q$870,MATCH(Filter!B699,'TE_OA_20200805_INTRDY_2020-08-0'!$G$2:$G$870))</f>
        <v>305100</v>
      </c>
      <c r="J699">
        <f>INDEX('TE_OA_20200805_INTRDY_2020-08-0'!$R$2:$R$870,MATCH(Filter!B699,'TE_OA_20200805_INTRDY_2020-08-0'!$G$2:$G$870))</f>
        <v>290000</v>
      </c>
    </row>
    <row r="700" spans="1:10" x14ac:dyDescent="0.25">
      <c r="A700" t="str">
        <f>INDEX('Pipe Table'!$E$2:$E$10,MATCH(INDEX('TE_OA_20200805_INTRDY_2020-08-0'!$T$2:$T$870,MATCH(Filter!B700,'TE_OA_20200805_INTRDY_2020-08-0'!$G$2:$G$870,0)),'Pipe Table'!$D$2:$D$10,0))</f>
        <v>TETCO</v>
      </c>
      <c r="B700">
        <v>73920</v>
      </c>
      <c r="C700" t="str">
        <f>INDEX('TE_OA_20200805_INTRDY_2020-08-0'!$J$2:$J$870,MATCH(Filter!B700,'TE_OA_20200805_INTRDY_2020-08-0'!$G$2:$G$870))</f>
        <v>Delivery</v>
      </c>
      <c r="D700" t="str">
        <f>INDEX('Pipe Table'!$B$2:$B$14,MATCH(INDEX(TeAllPoints!$I$2:$I$957,MATCH(Filter!B700,TeAllPoints!$B$2:$B$957,0)),'Pipe Table'!$A$2:$A$14,0))</f>
        <v>Intrcnnct</v>
      </c>
      <c r="E700" t="str">
        <f>INDEX('TE_OA_20200805_INTRDY_2020-08-0'!$H$2:$H$870,MATCH(Filter!B700,'TE_OA_20200805_INTRDY_2020-08-0'!$G$2:$G$870))</f>
        <v>Transco Williams-Cajun Rd (St.James) Pointe Coupee LA</v>
      </c>
      <c r="F700" t="str">
        <f>INDEX('Pipe Table'!$H$2:$H$8,MATCH('TE_OA_20200805_INTRDY_2020-08-0'!I681,'Pipe Table'!$G$2:$G$8,0))</f>
        <v>TETCO-ELA</v>
      </c>
      <c r="G700" t="str">
        <f>INDEX(TeAllPoints!$D$2:$D$957,MATCH(Filter!B700,TeAllPoints!$B$2:$B$957,0))</f>
        <v>LA</v>
      </c>
      <c r="H700" t="str">
        <f>INDEX(TeAllPoints!$E$2:$E$957,MATCH(Filter!B700,TeAllPoints!$B$2:$B$957,0))</f>
        <v>POINTE COUPEE</v>
      </c>
      <c r="I700">
        <f>INDEX('TE_OA_20200805_INTRDY_2020-08-0'!$Q$2:$Q$870,MATCH(Filter!B700,'TE_OA_20200805_INTRDY_2020-08-0'!$G$2:$G$870))</f>
        <v>508500</v>
      </c>
      <c r="J700">
        <f>INDEX('TE_OA_20200805_INTRDY_2020-08-0'!$R$2:$R$870,MATCH(Filter!B700,'TE_OA_20200805_INTRDY_2020-08-0'!$G$2:$G$870))</f>
        <v>38743</v>
      </c>
    </row>
    <row r="701" spans="1:10" x14ac:dyDescent="0.25">
      <c r="A701" t="str">
        <f>INDEX('Pipe Table'!$E$2:$E$10,MATCH(INDEX('TE_OA_20200805_INTRDY_2020-08-0'!$T$2:$T$870,MATCH(Filter!B701,'TE_OA_20200805_INTRDY_2020-08-0'!$G$2:$G$870,0)),'Pipe Table'!$D$2:$D$10,0))</f>
        <v>TETCO</v>
      </c>
      <c r="B701">
        <v>73921</v>
      </c>
      <c r="C701" t="str">
        <f>INDEX('TE_OA_20200805_INTRDY_2020-08-0'!$J$2:$J$870,MATCH(Filter!B701,'TE_OA_20200805_INTRDY_2020-08-0'!$G$2:$G$870))</f>
        <v>Receipt</v>
      </c>
      <c r="D701" t="str">
        <f>INDEX('Pipe Table'!$B$2:$B$14,MATCH(INDEX(TeAllPoints!$I$2:$I$957,MATCH(Filter!B701,TeAllPoints!$B$2:$B$957,0)),'Pipe Table'!$A$2:$A$14,0))</f>
        <v>Intrcnnct</v>
      </c>
      <c r="E701" t="str">
        <f>INDEX('TE_OA_20200805_INTRDY_2020-08-0'!$H$2:$H$870,MATCH(Filter!B701,'TE_OA_20200805_INTRDY_2020-08-0'!$G$2:$G$870))</f>
        <v>Midcoast Vidor Interconnect Mansfield Ferry Road Orange Co TX</v>
      </c>
      <c r="F701" t="str">
        <f>INDEX('Pipe Table'!$H$2:$H$8,MATCH('TE_OA_20200805_INTRDY_2020-08-0'!I682,'Pipe Table'!$G$2:$G$8,0))</f>
        <v>TETCO-STX</v>
      </c>
      <c r="G701" t="str">
        <f>INDEX(TeAllPoints!$D$2:$D$957,MATCH(Filter!B701,TeAllPoints!$B$2:$B$957,0))</f>
        <v>TX</v>
      </c>
      <c r="H701" t="str">
        <f>INDEX(TeAllPoints!$E$2:$E$957,MATCH(Filter!B701,TeAllPoints!$B$2:$B$957,0))</f>
        <v>ORANGE</v>
      </c>
      <c r="I701">
        <f>INDEX('TE_OA_20200805_INTRDY_2020-08-0'!$Q$2:$Q$870,MATCH(Filter!B701,'TE_OA_20200805_INTRDY_2020-08-0'!$G$2:$G$870))</f>
        <v>254427</v>
      </c>
      <c r="J701">
        <f>INDEX('TE_OA_20200805_INTRDY_2020-08-0'!$R$2:$R$870,MATCH(Filter!B701,'TE_OA_20200805_INTRDY_2020-08-0'!$G$2:$G$870))</f>
        <v>127500</v>
      </c>
    </row>
    <row r="702" spans="1:10" x14ac:dyDescent="0.25">
      <c r="A702" t="str">
        <f>INDEX('Pipe Table'!$E$2:$E$10,MATCH(INDEX('TE_OA_20200805_INTRDY_2020-08-0'!$T$2:$T$870,MATCH(Filter!B702,'TE_OA_20200805_INTRDY_2020-08-0'!$G$2:$G$870,0)),'Pipe Table'!$D$2:$D$10,0))</f>
        <v>TETCO</v>
      </c>
      <c r="B702">
        <v>73923</v>
      </c>
      <c r="C702" t="str">
        <f>INDEX('TE_OA_20200805_INTRDY_2020-08-0'!$J$2:$J$870,MATCH(Filter!B702,'TE_OA_20200805_INTRDY_2020-08-0'!$G$2:$G$870))</f>
        <v>Delivery</v>
      </c>
      <c r="D702" t="str">
        <f>INDEX('Pipe Table'!$B$2:$B$14,MATCH(INDEX(TeAllPoints!$I$2:$I$957,MATCH(Filter!B702,TeAllPoints!$B$2:$B$957,0)),'Pipe Table'!$A$2:$A$14,0))</f>
        <v>EndUsr</v>
      </c>
      <c r="E702" t="str">
        <f>INDEX('TE_OA_20200805_INTRDY_2020-08-0'!$H$2:$H$870,MATCH(Filter!B702,'TE_OA_20200805_INTRDY_2020-08-0'!$G$2:$G$870))</f>
        <v>Entergy Services/Hinds 2 Delivery-Beasley Rd</v>
      </c>
      <c r="F702" t="str">
        <f>INDEX('Pipe Table'!$H$2:$H$8,MATCH('TE_OA_20200805_INTRDY_2020-08-0'!I683,'Pipe Table'!$G$2:$G$8,0))</f>
        <v>TETCO-ELA</v>
      </c>
      <c r="G702" t="str">
        <f>INDEX(TeAllPoints!$D$2:$D$957,MATCH(Filter!B702,TeAllPoints!$B$2:$B$957,0))</f>
        <v>MS</v>
      </c>
      <c r="H702" t="str">
        <f>INDEX(TeAllPoints!$E$2:$E$957,MATCH(Filter!B702,TeAllPoints!$B$2:$B$957,0))</f>
        <v>HINDS</v>
      </c>
      <c r="I702">
        <f>INDEX('TE_OA_20200805_INTRDY_2020-08-0'!$Q$2:$Q$870,MATCH(Filter!B702,'TE_OA_20200805_INTRDY_2020-08-0'!$G$2:$G$870))</f>
        <v>10177</v>
      </c>
      <c r="J702">
        <f>INDEX('TE_OA_20200805_INTRDY_2020-08-0'!$R$2:$R$870,MATCH(Filter!B702,'TE_OA_20200805_INTRDY_2020-08-0'!$G$2:$G$870))</f>
        <v>0</v>
      </c>
    </row>
    <row r="703" spans="1:10" x14ac:dyDescent="0.25">
      <c r="A703" t="str">
        <f>INDEX('Pipe Table'!$E$2:$E$10,MATCH(INDEX('TE_OA_20200805_INTRDY_2020-08-0'!$T$2:$T$870,MATCH(Filter!B703,'TE_OA_20200805_INTRDY_2020-08-0'!$G$2:$G$870,0)),'Pipe Table'!$D$2:$D$10,0))</f>
        <v>TETCO</v>
      </c>
      <c r="B703">
        <v>73924</v>
      </c>
      <c r="C703" t="str">
        <f>INDEX('TE_OA_20200805_INTRDY_2020-08-0'!$J$2:$J$870,MATCH(Filter!B703,'TE_OA_20200805_INTRDY_2020-08-0'!$G$2:$G$870))</f>
        <v>Receipt</v>
      </c>
      <c r="D703" t="str">
        <f>INDEX('Pipe Table'!$B$2:$B$14,MATCH(INDEX(TeAllPoints!$I$2:$I$957,MATCH(Filter!B703,TeAllPoints!$B$2:$B$957,0)),'Pipe Table'!$A$2:$A$14,0))</f>
        <v>Wellhead</v>
      </c>
      <c r="E703" t="str">
        <f>INDEX('TE_OA_20200805_INTRDY_2020-08-0'!$H$2:$H$870,MATCH(Filter!B703,'TE_OA_20200805_INTRDY_2020-08-0'!$G$2:$G$870))</f>
        <v>XCL Midstream Blue Ridge, Marshall County WV</v>
      </c>
      <c r="F703" t="str">
        <f>INDEX('Pipe Table'!$H$2:$H$8,MATCH('TE_OA_20200805_INTRDY_2020-08-0'!I684,'Pipe Table'!$G$2:$G$8,0))</f>
        <v>TETCO-M2</v>
      </c>
      <c r="G703" t="str">
        <f>INDEX(TeAllPoints!$D$2:$D$957,MATCH(Filter!B703,TeAllPoints!$B$2:$B$957,0))</f>
        <v>WV</v>
      </c>
      <c r="H703" t="str">
        <f>INDEX(TeAllPoints!$E$2:$E$957,MATCH(Filter!B703,TeAllPoints!$B$2:$B$957,0))</f>
        <v>MARSHALL</v>
      </c>
      <c r="I703">
        <f>INDEX('TE_OA_20200805_INTRDY_2020-08-0'!$Q$2:$Q$870,MATCH(Filter!B703,'TE_OA_20200805_INTRDY_2020-08-0'!$G$2:$G$870))</f>
        <v>508500</v>
      </c>
      <c r="J703">
        <f>INDEX('TE_OA_20200805_INTRDY_2020-08-0'!$R$2:$R$870,MATCH(Filter!B703,'TE_OA_20200805_INTRDY_2020-08-0'!$G$2:$G$870))</f>
        <v>63803</v>
      </c>
    </row>
    <row r="704" spans="1:10" x14ac:dyDescent="0.25">
      <c r="A704" t="str">
        <f>INDEX('Pipe Table'!$E$2:$E$10,MATCH(INDEX('TE_OA_20200805_INTRDY_2020-08-0'!$T$2:$T$870,MATCH(Filter!B704,'TE_OA_20200805_INTRDY_2020-08-0'!$G$2:$G$870,0)),'Pipe Table'!$D$2:$D$10,0))</f>
        <v>TETCO</v>
      </c>
      <c r="B704">
        <v>73925</v>
      </c>
      <c r="C704" t="str">
        <f>INDEX('TE_OA_20200805_INTRDY_2020-08-0'!$J$2:$J$870,MATCH(Filter!B704,'TE_OA_20200805_INTRDY_2020-08-0'!$G$2:$G$870))</f>
        <v>Receipt</v>
      </c>
      <c r="D704" t="str">
        <f>INDEX('Pipe Table'!$B$2:$B$14,MATCH(INDEX(TeAllPoints!$I$2:$I$957,MATCH(Filter!B704,TeAllPoints!$B$2:$B$957,0)),'Pipe Table'!$A$2:$A$14,0))</f>
        <v>Wellhead</v>
      </c>
      <c r="E704" t="str">
        <f>INDEX('TE_OA_20200805_INTRDY_2020-08-0'!$H$2:$H$870,MATCH(Filter!B704,'TE_OA_20200805_INTRDY_2020-08-0'!$G$2:$G$870))</f>
        <v>CNX Rich Hill, Green Co. PA</v>
      </c>
      <c r="F704" t="str">
        <f>INDEX('Pipe Table'!$H$2:$H$8,MATCH('TE_OA_20200805_INTRDY_2020-08-0'!I685,'Pipe Table'!$G$2:$G$8,0))</f>
        <v>TETCO-M2</v>
      </c>
      <c r="G704" t="str">
        <f>INDEX(TeAllPoints!$D$2:$D$957,MATCH(Filter!B704,TeAllPoints!$B$2:$B$957,0))</f>
        <v>PA</v>
      </c>
      <c r="H704" t="str">
        <f>INDEX(TeAllPoints!$E$2:$E$957,MATCH(Filter!B704,TeAllPoints!$B$2:$B$957,0))</f>
        <v>GREENE</v>
      </c>
      <c r="I704">
        <f>INDEX('TE_OA_20200805_INTRDY_2020-08-0'!$Q$2:$Q$870,MATCH(Filter!B704,'TE_OA_20200805_INTRDY_2020-08-0'!$G$2:$G$870))</f>
        <v>610625</v>
      </c>
      <c r="J704">
        <f>INDEX('TE_OA_20200805_INTRDY_2020-08-0'!$R$2:$R$870,MATCH(Filter!B704,'TE_OA_20200805_INTRDY_2020-08-0'!$G$2:$G$870))</f>
        <v>0</v>
      </c>
    </row>
    <row r="705" spans="1:10" x14ac:dyDescent="0.25">
      <c r="A705" t="str">
        <f>INDEX('Pipe Table'!$E$2:$E$10,MATCH(INDEX('TE_OA_20200805_INTRDY_2020-08-0'!$T$2:$T$870,MATCH(Filter!B705,'TE_OA_20200805_INTRDY_2020-08-0'!$G$2:$G$870,0)),'Pipe Table'!$D$2:$D$10,0))</f>
        <v>TETCO</v>
      </c>
      <c r="B705">
        <v>73927</v>
      </c>
      <c r="C705" t="str">
        <f>INDEX('TE_OA_20200805_INTRDY_2020-08-0'!$J$2:$J$870,MATCH(Filter!B705,'TE_OA_20200805_INTRDY_2020-08-0'!$G$2:$G$870))</f>
        <v>Receipt</v>
      </c>
      <c r="D705" t="str">
        <f>INDEX('Pipe Table'!$B$2:$B$14,MATCH(INDEX(TeAllPoints!$I$2:$I$957,MATCH(Filter!B705,TeAllPoints!$B$2:$B$957,0)),'Pipe Table'!$A$2:$A$14,0))</f>
        <v>Wellhead</v>
      </c>
      <c r="E705" t="str">
        <f>INDEX('TE_OA_20200805_INTRDY_2020-08-0'!$H$2:$H$870,MATCH(Filter!B705,'TE_OA_20200805_INTRDY_2020-08-0'!$G$2:$G$870))</f>
        <v>Kudo Midstream-Martinsville Gathering-CR 342-Nacogdoches Co., Tx</v>
      </c>
      <c r="F705" t="str">
        <f>INDEX('Pipe Table'!$H$2:$H$8,MATCH('TE_OA_20200805_INTRDY_2020-08-0'!I686,'Pipe Table'!$G$2:$G$8,0))</f>
        <v>TETCO-ETX</v>
      </c>
      <c r="G705" t="str">
        <f>INDEX(TeAllPoints!$D$2:$D$957,MATCH(Filter!B705,TeAllPoints!$B$2:$B$957,0))</f>
        <v>TX</v>
      </c>
      <c r="H705" t="str">
        <f>INDEX(TeAllPoints!$E$2:$E$957,MATCH(Filter!B705,TeAllPoints!$B$2:$B$957,0))</f>
        <v>NACOGDOCHES</v>
      </c>
      <c r="I705">
        <f>INDEX('TE_OA_20200805_INTRDY_2020-08-0'!$Q$2:$Q$870,MATCH(Filter!B705,'TE_OA_20200805_INTRDY_2020-08-0'!$G$2:$G$870))</f>
        <v>152550</v>
      </c>
      <c r="J705">
        <f>INDEX('TE_OA_20200805_INTRDY_2020-08-0'!$R$2:$R$870,MATCH(Filter!B705,'TE_OA_20200805_INTRDY_2020-08-0'!$G$2:$G$870))</f>
        <v>135752</v>
      </c>
    </row>
    <row r="706" spans="1:10" x14ac:dyDescent="0.25">
      <c r="A706" t="str">
        <f>INDEX('Pipe Table'!$E$2:$E$10,MATCH(INDEX('TE_OA_20200805_INTRDY_2020-08-0'!$T$2:$T$870,MATCH(Filter!B706,'TE_OA_20200805_INTRDY_2020-08-0'!$G$2:$G$870,0)),'Pipe Table'!$D$2:$D$10,0))</f>
        <v>TETCO</v>
      </c>
      <c r="B706">
        <v>73930</v>
      </c>
      <c r="C706" t="str">
        <f>INDEX('TE_OA_20200805_INTRDY_2020-08-0'!$J$2:$J$870,MATCH(Filter!B706,'TE_OA_20200805_INTRDY_2020-08-0'!$G$2:$G$870))</f>
        <v>Receipt</v>
      </c>
      <c r="D706" t="str">
        <f>INDEX('Pipe Table'!$B$2:$B$14,MATCH(INDEX(TeAllPoints!$I$2:$I$957,MATCH(Filter!B706,TeAllPoints!$B$2:$B$957,0)),'Pipe Table'!$A$2:$A$14,0))</f>
        <v>Wellhead</v>
      </c>
      <c r="E706" t="str">
        <f>INDEX('TE_OA_20200805_INTRDY_2020-08-0'!$H$2:$H$870,MATCH(Filter!B706,'TE_OA_20200805_INTRDY_2020-08-0'!$G$2:$G$870))</f>
        <v>Planet Operationg/Savoy 1 Hwy 758-St.Landry Parish, LA</v>
      </c>
      <c r="F706" t="str">
        <f>INDEX('Pipe Table'!$H$2:$H$8,MATCH('TE_OA_20200805_INTRDY_2020-08-0'!I687,'Pipe Table'!$G$2:$G$8,0))</f>
        <v>TETCO-WLA</v>
      </c>
      <c r="G706" t="str">
        <f>INDEX(TeAllPoints!$D$2:$D$957,MATCH(Filter!B706,TeAllPoints!$B$2:$B$957,0))</f>
        <v>LA</v>
      </c>
      <c r="H706" t="str">
        <f>INDEX(TeAllPoints!$E$2:$E$957,MATCH(Filter!B706,TeAllPoints!$B$2:$B$957,0))</f>
        <v>ST LANDRY</v>
      </c>
      <c r="I706">
        <f>INDEX('TE_OA_20200805_INTRDY_2020-08-0'!$Q$2:$Q$870,MATCH(Filter!B706,'TE_OA_20200805_INTRDY_2020-08-0'!$G$2:$G$870))</f>
        <v>2035</v>
      </c>
      <c r="J706">
        <f>INDEX('TE_OA_20200805_INTRDY_2020-08-0'!$R$2:$R$870,MATCH(Filter!B706,'TE_OA_20200805_INTRDY_2020-08-0'!$G$2:$G$870))</f>
        <v>600</v>
      </c>
    </row>
    <row r="707" spans="1:10" x14ac:dyDescent="0.25">
      <c r="A707" t="str">
        <f>INDEX('Pipe Table'!$E$2:$E$10,MATCH(INDEX('TE_OA_20200805_INTRDY_2020-08-0'!$T$2:$T$870,MATCH(Filter!B707,'TE_OA_20200805_INTRDY_2020-08-0'!$G$2:$G$870,0)),'Pipe Table'!$D$2:$D$10,0))</f>
        <v>TETCO</v>
      </c>
      <c r="B707">
        <v>74040</v>
      </c>
      <c r="C707" t="str">
        <f>INDEX('TE_OA_20200805_INTRDY_2020-08-0'!$J$2:$J$870,MATCH(Filter!B707,'TE_OA_20200805_INTRDY_2020-08-0'!$G$2:$G$870))</f>
        <v>Delivery</v>
      </c>
      <c r="D707" t="str">
        <f>INDEX('Pipe Table'!$B$2:$B$14,MATCH(INDEX(TeAllPoints!$I$2:$I$957,MATCH(Filter!B707,TeAllPoints!$B$2:$B$957,0)),'Pipe Table'!$A$2:$A$14,0))</f>
        <v>LDC</v>
      </c>
      <c r="E707" t="str">
        <f>INDEX('TE_OA_20200805_INTRDY_2020-08-0'!$H$2:$H$870,MATCH(Filter!B707,'TE_OA_20200805_INTRDY_2020-08-0'!$G$2:$G$870))</f>
        <v>East Ohio Gas - Clarington, OH</v>
      </c>
      <c r="F707" t="str">
        <f>INDEX('Pipe Table'!$H$2:$H$8,MATCH('TE_OA_20200805_INTRDY_2020-08-0'!I688,'Pipe Table'!$G$2:$G$8,0))</f>
        <v>TETCO-M2</v>
      </c>
      <c r="G707" t="str">
        <f>INDEX(TeAllPoints!$D$2:$D$957,MATCH(Filter!B707,TeAllPoints!$B$2:$B$957,0))</f>
        <v>OH</v>
      </c>
      <c r="H707" t="str">
        <f>INDEX(TeAllPoints!$E$2:$E$957,MATCH(Filter!B707,TeAllPoints!$B$2:$B$957,0))</f>
        <v>MONROE</v>
      </c>
      <c r="I707">
        <f>INDEX('TE_OA_20200805_INTRDY_2020-08-0'!$Q$2:$Q$870,MATCH(Filter!B707,'TE_OA_20200805_INTRDY_2020-08-0'!$G$2:$G$870))</f>
        <v>277877</v>
      </c>
      <c r="J707">
        <f>INDEX('TE_OA_20200805_INTRDY_2020-08-0'!$R$2:$R$870,MATCH(Filter!B707,'TE_OA_20200805_INTRDY_2020-08-0'!$G$2:$G$870))</f>
        <v>0</v>
      </c>
    </row>
    <row r="708" spans="1:10" x14ac:dyDescent="0.25">
      <c r="A708" t="str">
        <f>INDEX('Pipe Table'!$E$2:$E$10,MATCH(INDEX('TE_OA_20200805_INTRDY_2020-08-0'!$T$2:$T$870,MATCH(Filter!B708,'TE_OA_20200805_INTRDY_2020-08-0'!$G$2:$G$870,0)),'Pipe Table'!$D$2:$D$10,0))</f>
        <v>TETCO</v>
      </c>
      <c r="B708">
        <v>74058</v>
      </c>
      <c r="C708" t="str">
        <f>INDEX('TE_OA_20200805_INTRDY_2020-08-0'!$J$2:$J$870,MATCH(Filter!B708,'TE_OA_20200805_INTRDY_2020-08-0'!$G$2:$G$870))</f>
        <v>Delivery</v>
      </c>
      <c r="D708" t="str">
        <f>INDEX('Pipe Table'!$B$2:$B$14,MATCH(INDEX(TeAllPoints!$I$2:$I$957,MATCH(Filter!B708,TeAllPoints!$B$2:$B$957,0)),'Pipe Table'!$A$2:$A$14,0))</f>
        <v>LDC</v>
      </c>
      <c r="E708" t="str">
        <f>INDEX('TE_OA_20200805_INTRDY_2020-08-0'!$H$2:$H$870,MATCH(Filter!B708,'TE_OA_20200805_INTRDY_2020-08-0'!$G$2:$G$870))</f>
        <v>National Grid Metro NY, Goethals Rd., Staten Island, Richmond Co.,</v>
      </c>
      <c r="F708" t="str">
        <f>INDEX('Pipe Table'!$H$2:$H$8,MATCH('TE_OA_20200805_INTRDY_2020-08-0'!I689,'Pipe Table'!$G$2:$G$8,0))</f>
        <v>TETCO-M3</v>
      </c>
      <c r="G708" t="str">
        <f>INDEX(TeAllPoints!$D$2:$D$957,MATCH(Filter!B708,TeAllPoints!$B$2:$B$957,0))</f>
        <v>NY</v>
      </c>
      <c r="H708" t="str">
        <f>INDEX(TeAllPoints!$E$2:$E$957,MATCH(Filter!B708,TeAllPoints!$B$2:$B$957,0))</f>
        <v>RICHMOND</v>
      </c>
      <c r="I708">
        <f>INDEX('TE_OA_20200805_INTRDY_2020-08-0'!$Q$2:$Q$870,MATCH(Filter!B708,'TE_OA_20200805_INTRDY_2020-08-0'!$G$2:$G$870))</f>
        <v>660131</v>
      </c>
      <c r="J708">
        <f>INDEX('TE_OA_20200805_INTRDY_2020-08-0'!$R$2:$R$870,MATCH(Filter!B708,'TE_OA_20200805_INTRDY_2020-08-0'!$G$2:$G$870))</f>
        <v>138560</v>
      </c>
    </row>
    <row r="709" spans="1:10" x14ac:dyDescent="0.25">
      <c r="A709" t="str">
        <f>INDEX('Pipe Table'!$E$2:$E$10,MATCH(INDEX('TE_OA_20200805_INTRDY_2020-08-0'!$T$2:$T$870,MATCH(Filter!B709,'TE_OA_20200805_INTRDY_2020-08-0'!$G$2:$G$870,0)),'Pipe Table'!$D$2:$D$10,0))</f>
        <v>TETCO</v>
      </c>
      <c r="B709">
        <v>74059</v>
      </c>
      <c r="C709" t="str">
        <f>INDEX('TE_OA_20200805_INTRDY_2020-08-0'!$J$2:$J$870,MATCH(Filter!B709,'TE_OA_20200805_INTRDY_2020-08-0'!$G$2:$G$870))</f>
        <v>Delivery</v>
      </c>
      <c r="D709" t="e">
        <f>INDEX('Pipe Table'!$B$2:$B$14,MATCH(INDEX(TeAllPoints!$I$2:$I$957,MATCH(Filter!B709,TeAllPoints!$B$2:$B$957,0)),'Pipe Table'!$A$2:$A$14,0))</f>
        <v>#N/A</v>
      </c>
      <c r="E709" t="str">
        <f>INDEX('TE_OA_20200805_INTRDY_2020-08-0'!$H$2:$H$870,MATCH(Filter!B709,'TE_OA_20200805_INTRDY_2020-08-0'!$G$2:$G$870))</f>
        <v>BUG CO NAT- Brooklyn Union Gas Company (National Grid NY)</v>
      </c>
      <c r="F709" t="str">
        <f>INDEX('Pipe Table'!$H$2:$H$8,MATCH('TE_OA_20200805_INTRDY_2020-08-0'!I690,'Pipe Table'!$G$2:$G$8,0))</f>
        <v>TETCO-M3</v>
      </c>
      <c r="G709" t="e">
        <f>INDEX(TeAllPoints!$D$2:$D$957,MATCH(Filter!B709,TeAllPoints!$B$2:$B$957,0))</f>
        <v>#N/A</v>
      </c>
      <c r="H709" t="e">
        <f>INDEX(TeAllPoints!$E$2:$E$957,MATCH(Filter!B709,TeAllPoints!$B$2:$B$957,0))</f>
        <v>#N/A</v>
      </c>
      <c r="I709">
        <f>INDEX('TE_OA_20200805_INTRDY_2020-08-0'!$Q$2:$Q$870,MATCH(Filter!B709,'TE_OA_20200805_INTRDY_2020-08-0'!$G$2:$G$870))</f>
        <v>183860</v>
      </c>
      <c r="J709">
        <f>INDEX('TE_OA_20200805_INTRDY_2020-08-0'!$R$2:$R$870,MATCH(Filter!B709,'TE_OA_20200805_INTRDY_2020-08-0'!$G$2:$G$870))</f>
        <v>0</v>
      </c>
    </row>
    <row r="710" spans="1:10" x14ac:dyDescent="0.25">
      <c r="A710" t="str">
        <f>INDEX('Pipe Table'!$E$2:$E$10,MATCH(INDEX('TE_OA_20200805_INTRDY_2020-08-0'!$T$2:$T$870,MATCH(Filter!B710,'TE_OA_20200805_INTRDY_2020-08-0'!$G$2:$G$870,0)),'Pipe Table'!$D$2:$D$10,0))</f>
        <v>TETCO</v>
      </c>
      <c r="B710">
        <v>74128</v>
      </c>
      <c r="C710" t="str">
        <f>INDEX('TE_OA_20200805_INTRDY_2020-08-0'!$J$2:$J$870,MATCH(Filter!B710,'TE_OA_20200805_INTRDY_2020-08-0'!$G$2:$G$870))</f>
        <v>Delivery</v>
      </c>
      <c r="D710" t="str">
        <f>INDEX('Pipe Table'!$B$2:$B$14,MATCH(INDEX(TeAllPoints!$I$2:$I$957,MATCH(Filter!B710,TeAllPoints!$B$2:$B$957,0)),'Pipe Table'!$A$2:$A$14,0))</f>
        <v>LDC</v>
      </c>
      <c r="E710" t="str">
        <f>INDEX('TE_OA_20200805_INTRDY_2020-08-0'!$H$2:$H$870,MATCH(Filter!B710,'TE_OA_20200805_INTRDY_2020-08-0'!$G$2:$G$870))</f>
        <v>MR 128 UPGRADE (PUBLIC SERVICE - LINDEN, NJ) DEL</v>
      </c>
      <c r="F710" t="str">
        <f>INDEX('Pipe Table'!$H$2:$H$8,MATCH('TE_OA_20200805_INTRDY_2020-08-0'!I691,'Pipe Table'!$G$2:$G$8,0))</f>
        <v>TETCO-M3</v>
      </c>
      <c r="G710" t="str">
        <f>INDEX(TeAllPoints!$D$2:$D$957,MATCH(Filter!B710,TeAllPoints!$B$2:$B$957,0))</f>
        <v>NJ</v>
      </c>
      <c r="H710" t="str">
        <f>INDEX(TeAllPoints!$E$2:$E$957,MATCH(Filter!B710,TeAllPoints!$B$2:$B$957,0))</f>
        <v>UNION</v>
      </c>
      <c r="I710">
        <f>INDEX('TE_OA_20200805_INTRDY_2020-08-0'!$Q$2:$Q$870,MATCH(Filter!B710,'TE_OA_20200805_INTRDY_2020-08-0'!$G$2:$G$870))</f>
        <v>574801</v>
      </c>
      <c r="J710">
        <f>INDEX('TE_OA_20200805_INTRDY_2020-08-0'!$R$2:$R$870,MATCH(Filter!B710,'TE_OA_20200805_INTRDY_2020-08-0'!$G$2:$G$870))</f>
        <v>0</v>
      </c>
    </row>
    <row r="711" spans="1:10" x14ac:dyDescent="0.25">
      <c r="A711" t="str">
        <f>INDEX('Pipe Table'!$E$2:$E$10,MATCH(INDEX('TE_OA_20200805_INTRDY_2020-08-0'!$T$2:$T$870,MATCH(Filter!B711,'TE_OA_20200805_INTRDY_2020-08-0'!$G$2:$G$870,0)),'Pipe Table'!$D$2:$D$10,0))</f>
        <v>TETCO</v>
      </c>
      <c r="B711">
        <v>74186</v>
      </c>
      <c r="C711" t="str">
        <f>INDEX('TE_OA_20200805_INTRDY_2020-08-0'!$J$2:$J$870,MATCH(Filter!B711,'TE_OA_20200805_INTRDY_2020-08-0'!$G$2:$G$870))</f>
        <v>Receipt</v>
      </c>
      <c r="D711" t="e">
        <f>INDEX('Pipe Table'!$B$2:$B$14,MATCH(INDEX(TeAllPoints!$I$2:$I$957,MATCH(Filter!B711,TeAllPoints!$B$2:$B$957,0)),'Pipe Table'!$A$2:$A$14,0))</f>
        <v>#N/A</v>
      </c>
      <c r="E711" t="str">
        <f>INDEX('TE_OA_20200805_INTRDY_2020-08-0'!$H$2:$H$870,MATCH(Filter!B711,'TE_OA_20200805_INTRDY_2020-08-0'!$G$2:$G$870))</f>
        <v>DEFS (Line #23 - Inlet Bypass) - Provident City, TX</v>
      </c>
      <c r="F711" t="str">
        <f>INDEX('Pipe Table'!$H$2:$H$8,MATCH('TE_OA_20200805_INTRDY_2020-08-0'!I692,'Pipe Table'!$G$2:$G$8,0))</f>
        <v>TETCO-STX</v>
      </c>
      <c r="G711" t="e">
        <f>INDEX(TeAllPoints!$D$2:$D$957,MATCH(Filter!B711,TeAllPoints!$B$2:$B$957,0))</f>
        <v>#N/A</v>
      </c>
      <c r="H711" t="e">
        <f>INDEX(TeAllPoints!$E$2:$E$957,MATCH(Filter!B711,TeAllPoints!$B$2:$B$957,0))</f>
        <v>#N/A</v>
      </c>
      <c r="I711">
        <f>INDEX('TE_OA_20200805_INTRDY_2020-08-0'!$Q$2:$Q$870,MATCH(Filter!B711,'TE_OA_20200805_INTRDY_2020-08-0'!$G$2:$G$870))</f>
        <v>136041</v>
      </c>
      <c r="J711">
        <f>INDEX('TE_OA_20200805_INTRDY_2020-08-0'!$R$2:$R$870,MATCH(Filter!B711,'TE_OA_20200805_INTRDY_2020-08-0'!$G$2:$G$870))</f>
        <v>0</v>
      </c>
    </row>
    <row r="712" spans="1:10" x14ac:dyDescent="0.25">
      <c r="A712" t="str">
        <f>INDEX('Pipe Table'!$E$2:$E$10,MATCH(INDEX('TE_OA_20200805_INTRDY_2020-08-0'!$T$2:$T$870,MATCH(Filter!B712,'TE_OA_20200805_INTRDY_2020-08-0'!$G$2:$G$870,0)),'Pipe Table'!$D$2:$D$10,0))</f>
        <v>TETCO</v>
      </c>
      <c r="B712">
        <v>74187</v>
      </c>
      <c r="C712" t="str">
        <f>INDEX('TE_OA_20200805_INTRDY_2020-08-0'!$J$2:$J$870,MATCH(Filter!B712,'TE_OA_20200805_INTRDY_2020-08-0'!$G$2:$G$870))</f>
        <v>Delivery</v>
      </c>
      <c r="D712" t="str">
        <f>INDEX('Pipe Table'!$B$2:$B$14,MATCH(INDEX(TeAllPoints!$I$2:$I$957,MATCH(Filter!B712,TeAllPoints!$B$2:$B$957,0)),'Pipe Table'!$A$2:$A$14,0))</f>
        <v>LDC</v>
      </c>
      <c r="E712" t="str">
        <f>INDEX('TE_OA_20200805_INTRDY_2020-08-0'!$H$2:$H$870,MATCH(Filter!B712,'TE_OA_20200805_INTRDY_2020-08-0'!$G$2:$G$870))</f>
        <v>DEFS - Guadalupe Delivery - Lavaca Co., TX</v>
      </c>
      <c r="F712" t="str">
        <f>INDEX('Pipe Table'!$H$2:$H$8,MATCH('TE_OA_20200805_INTRDY_2020-08-0'!I693,'Pipe Table'!$G$2:$G$8,0))</f>
        <v>TETCO-STX</v>
      </c>
      <c r="G712" t="str">
        <f>INDEX(TeAllPoints!$D$2:$D$957,MATCH(Filter!B712,TeAllPoints!$B$2:$B$957,0))</f>
        <v>TX</v>
      </c>
      <c r="H712" t="str">
        <f>INDEX(TeAllPoints!$E$2:$E$957,MATCH(Filter!B712,TeAllPoints!$B$2:$B$957,0))</f>
        <v>LAVACA</v>
      </c>
      <c r="I712">
        <f>INDEX('TE_OA_20200805_INTRDY_2020-08-0'!$Q$2:$Q$870,MATCH(Filter!B712,'TE_OA_20200805_INTRDY_2020-08-0'!$G$2:$G$870))</f>
        <v>366393</v>
      </c>
      <c r="J712">
        <f>INDEX('TE_OA_20200805_INTRDY_2020-08-0'!$R$2:$R$870,MATCH(Filter!B712,'TE_OA_20200805_INTRDY_2020-08-0'!$G$2:$G$870))</f>
        <v>0</v>
      </c>
    </row>
    <row r="713" spans="1:10" x14ac:dyDescent="0.25">
      <c r="A713" t="str">
        <f>INDEX('Pipe Table'!$E$2:$E$10,MATCH(INDEX('TE_OA_20200805_INTRDY_2020-08-0'!$T$2:$T$870,MATCH(Filter!B713,'TE_OA_20200805_INTRDY_2020-08-0'!$G$2:$G$870,0)),'Pipe Table'!$D$2:$D$10,0))</f>
        <v>TETCO</v>
      </c>
      <c r="B713">
        <v>74200</v>
      </c>
      <c r="C713" t="str">
        <f>INDEX('TE_OA_20200805_INTRDY_2020-08-0'!$J$2:$J$870,MATCH(Filter!B713,'TE_OA_20200805_INTRDY_2020-08-0'!$G$2:$G$870))</f>
        <v>Receipt</v>
      </c>
      <c r="D713" t="str">
        <f>INDEX('Pipe Table'!$B$2:$B$14,MATCH(INDEX(TeAllPoints!$I$2:$I$957,MATCH(Filter!B713,TeAllPoints!$B$2:$B$957,0)),'Pipe Table'!$A$2:$A$14,0))</f>
        <v>Wellhead</v>
      </c>
      <c r="E713" t="str">
        <f>INDEX('TE_OA_20200805_INTRDY_2020-08-0'!$H$2:$H$870,MATCH(Filter!B713,'TE_OA_20200805_INTRDY_2020-08-0'!$G$2:$G$870))</f>
        <v>Momentum Kensington / Highway 644, Columbiana Co., OH</v>
      </c>
      <c r="F713" t="str">
        <f>INDEX('Pipe Table'!$H$2:$H$8,MATCH('TE_OA_20200805_INTRDY_2020-08-0'!I694,'Pipe Table'!$G$2:$G$8,0))</f>
        <v>TETCO-M2</v>
      </c>
      <c r="G713" t="str">
        <f>INDEX(TeAllPoints!$D$2:$D$957,MATCH(Filter!B713,TeAllPoints!$B$2:$B$957,0))</f>
        <v>OH</v>
      </c>
      <c r="H713" t="str">
        <f>INDEX(TeAllPoints!$E$2:$E$957,MATCH(Filter!B713,TeAllPoints!$B$2:$B$957,0))</f>
        <v>COLUMBIANA</v>
      </c>
      <c r="I713">
        <f>INDEX('TE_OA_20200805_INTRDY_2020-08-0'!$Q$2:$Q$870,MATCH(Filter!B713,'TE_OA_20200805_INTRDY_2020-08-0'!$G$2:$G$870))</f>
        <v>661700</v>
      </c>
      <c r="J713">
        <f>INDEX('TE_OA_20200805_INTRDY_2020-08-0'!$R$2:$R$870,MATCH(Filter!B713,'TE_OA_20200805_INTRDY_2020-08-0'!$G$2:$G$870))</f>
        <v>0</v>
      </c>
    </row>
    <row r="714" spans="1:10" x14ac:dyDescent="0.25">
      <c r="A714" t="str">
        <f>INDEX('Pipe Table'!$E$2:$E$10,MATCH(INDEX('TE_OA_20200805_INTRDY_2020-08-0'!$T$2:$T$870,MATCH(Filter!B714,'TE_OA_20200805_INTRDY_2020-08-0'!$G$2:$G$870,0)),'Pipe Table'!$D$2:$D$10,0))</f>
        <v>TETCO</v>
      </c>
      <c r="B714">
        <v>74201</v>
      </c>
      <c r="C714" t="str">
        <f>INDEX('TE_OA_20200805_INTRDY_2020-08-0'!$J$2:$J$870,MATCH(Filter!B714,'TE_OA_20200805_INTRDY_2020-08-0'!$G$2:$G$870))</f>
        <v>Receipt</v>
      </c>
      <c r="D714" t="str">
        <f>INDEX('Pipe Table'!$B$2:$B$14,MATCH(INDEX(TeAllPoints!$I$2:$I$957,MATCH(Filter!B714,TeAllPoints!$B$2:$B$957,0)),'Pipe Table'!$A$2:$A$14,0))</f>
        <v>Wellhead</v>
      </c>
      <c r="E714" t="str">
        <f>INDEX('TE_OA_20200805_INTRDY_2020-08-0'!$H$2:$H$870,MATCH(Filter!B714,'TE_OA_20200805_INTRDY_2020-08-0'!$G$2:$G$870))</f>
        <v>Access Midstream Clarks Mill Road-Jefferson Co., OH</v>
      </c>
      <c r="F714" t="str">
        <f>INDEX('Pipe Table'!$H$2:$H$8,MATCH('TE_OA_20200805_INTRDY_2020-08-0'!I695,'Pipe Table'!$G$2:$G$8,0))</f>
        <v>TETCO-M2</v>
      </c>
      <c r="G714" t="str">
        <f>INDEX(TeAllPoints!$D$2:$D$957,MATCH(Filter!B714,TeAllPoints!$B$2:$B$957,0))</f>
        <v>OH</v>
      </c>
      <c r="H714" t="str">
        <f>INDEX(TeAllPoints!$E$2:$E$957,MATCH(Filter!B714,TeAllPoints!$B$2:$B$957,0))</f>
        <v>JEFFERSON</v>
      </c>
      <c r="I714">
        <f>INDEX('TE_OA_20200805_INTRDY_2020-08-0'!$Q$2:$Q$870,MATCH(Filter!B714,'TE_OA_20200805_INTRDY_2020-08-0'!$G$2:$G$870))</f>
        <v>470789</v>
      </c>
      <c r="J714">
        <f>INDEX('TE_OA_20200805_INTRDY_2020-08-0'!$R$2:$R$870,MATCH(Filter!B714,'TE_OA_20200805_INTRDY_2020-08-0'!$G$2:$G$870))</f>
        <v>0</v>
      </c>
    </row>
    <row r="715" spans="1:10" x14ac:dyDescent="0.25">
      <c r="A715" t="str">
        <f>INDEX('Pipe Table'!$E$2:$E$10,MATCH(INDEX('TE_OA_20200805_INTRDY_2020-08-0'!$T$2:$T$870,MATCH(Filter!B715,'TE_OA_20200805_INTRDY_2020-08-0'!$G$2:$G$870,0)),'Pipe Table'!$D$2:$D$10,0))</f>
        <v>TETCO</v>
      </c>
      <c r="B715">
        <v>74202</v>
      </c>
      <c r="C715" t="str">
        <f>INDEX('TE_OA_20200805_INTRDY_2020-08-0'!$J$2:$J$870,MATCH(Filter!B715,'TE_OA_20200805_INTRDY_2020-08-0'!$G$2:$G$870))</f>
        <v>Receipt</v>
      </c>
      <c r="D715" t="str">
        <f>INDEX('Pipe Table'!$B$2:$B$14,MATCH(INDEX(TeAllPoints!$I$2:$I$957,MATCH(Filter!B715,TeAllPoints!$B$2:$B$957,0)),'Pipe Table'!$A$2:$A$14,0))</f>
        <v>Wellhead</v>
      </c>
      <c r="E715" t="str">
        <f>INDEX('TE_OA_20200805_INTRDY_2020-08-0'!$H$2:$H$870,MATCH(Filter!B715,'TE_OA_20200805_INTRDY_2020-08-0'!$G$2:$G$870))</f>
        <v>Access Midstream Highway 219 - Jefferson Co., OH</v>
      </c>
      <c r="F715" t="str">
        <f>INDEX('Pipe Table'!$H$2:$H$8,MATCH('TE_OA_20200805_INTRDY_2020-08-0'!I696,'Pipe Table'!$G$2:$G$8,0))</f>
        <v>TETCO-M2</v>
      </c>
      <c r="G715" t="str">
        <f>INDEX(TeAllPoints!$D$2:$D$957,MATCH(Filter!B715,TeAllPoints!$B$2:$B$957,0))</f>
        <v>OH</v>
      </c>
      <c r="H715" t="str">
        <f>INDEX(TeAllPoints!$E$2:$E$957,MATCH(Filter!B715,TeAllPoints!$B$2:$B$957,0))</f>
        <v>JEFFERSON</v>
      </c>
      <c r="I715">
        <f>INDEX('TE_OA_20200805_INTRDY_2020-08-0'!$Q$2:$Q$870,MATCH(Filter!B715,'TE_OA_20200805_INTRDY_2020-08-0'!$G$2:$G$870))</f>
        <v>440000</v>
      </c>
      <c r="J715">
        <f>INDEX('TE_OA_20200805_INTRDY_2020-08-0'!$R$2:$R$870,MATCH(Filter!B715,'TE_OA_20200805_INTRDY_2020-08-0'!$G$2:$G$870))</f>
        <v>469991</v>
      </c>
    </row>
    <row r="716" spans="1:10" x14ac:dyDescent="0.25">
      <c r="A716" t="str">
        <f>INDEX('Pipe Table'!$E$2:$E$10,MATCH(INDEX('TE_OA_20200805_INTRDY_2020-08-0'!$T$2:$T$870,MATCH(Filter!B716,'TE_OA_20200805_INTRDY_2020-08-0'!$G$2:$G$870,0)),'Pipe Table'!$D$2:$D$10,0))</f>
        <v>TETCO</v>
      </c>
      <c r="B716">
        <v>74203</v>
      </c>
      <c r="C716" t="str">
        <f>INDEX('TE_OA_20200805_INTRDY_2020-08-0'!$J$2:$J$870,MATCH(Filter!B716,'TE_OA_20200805_INTRDY_2020-08-0'!$G$2:$G$870))</f>
        <v>Delivery</v>
      </c>
      <c r="D716" t="str">
        <f>INDEX('Pipe Table'!$B$2:$B$14,MATCH(INDEX(TeAllPoints!$I$2:$I$957,MATCH(Filter!B716,TeAllPoints!$B$2:$B$957,0)),'Pipe Table'!$A$2:$A$14,0))</f>
        <v>Intrcnnct</v>
      </c>
      <c r="E716" t="str">
        <f>INDEX('TE_OA_20200805_INTRDY_2020-08-0'!$H$2:$H$870,MATCH(Filter!B716,'TE_OA_20200805_INTRDY_2020-08-0'!$G$2:$G$870))</f>
        <v>DTI- Clarks Mill Road, Jefferson Co, OH</v>
      </c>
      <c r="F716" t="str">
        <f>INDEX('Pipe Table'!$H$2:$H$8,MATCH('TE_OA_20200805_INTRDY_2020-08-0'!I697,'Pipe Table'!$G$2:$G$8,0))</f>
        <v>TETCO-M2</v>
      </c>
      <c r="G716" t="str">
        <f>INDEX(TeAllPoints!$D$2:$D$957,MATCH(Filter!B716,TeAllPoints!$B$2:$B$957,0))</f>
        <v>OH</v>
      </c>
      <c r="H716" t="str">
        <f>INDEX(TeAllPoints!$E$2:$E$957,MATCH(Filter!B716,TeAllPoints!$B$2:$B$957,0))</f>
        <v>JEFFERSON</v>
      </c>
      <c r="I716">
        <f>INDEX('TE_OA_20200805_INTRDY_2020-08-0'!$Q$2:$Q$870,MATCH(Filter!B716,'TE_OA_20200805_INTRDY_2020-08-0'!$G$2:$G$870))</f>
        <v>173687</v>
      </c>
      <c r="J716">
        <f>INDEX('TE_OA_20200805_INTRDY_2020-08-0'!$R$2:$R$870,MATCH(Filter!B716,'TE_OA_20200805_INTRDY_2020-08-0'!$G$2:$G$870))</f>
        <v>100000</v>
      </c>
    </row>
    <row r="717" spans="1:10" x14ac:dyDescent="0.25">
      <c r="A717" t="str">
        <f>INDEX('Pipe Table'!$E$2:$E$10,MATCH(INDEX('TE_OA_20200805_INTRDY_2020-08-0'!$T$2:$T$870,MATCH(Filter!B717,'TE_OA_20200805_INTRDY_2020-08-0'!$G$2:$G$870,0)),'Pipe Table'!$D$2:$D$10,0))</f>
        <v>TETCO</v>
      </c>
      <c r="B717">
        <v>74215</v>
      </c>
      <c r="C717" t="str">
        <f>INDEX('TE_OA_20200805_INTRDY_2020-08-0'!$J$2:$J$870,MATCH(Filter!B717,'TE_OA_20200805_INTRDY_2020-08-0'!$G$2:$G$870))</f>
        <v>Delivery</v>
      </c>
      <c r="D717" t="str">
        <f>INDEX('Pipe Table'!$B$2:$B$14,MATCH(INDEX(TeAllPoints!$I$2:$I$957,MATCH(Filter!B717,TeAllPoints!$B$2:$B$957,0)),'Pipe Table'!$A$2:$A$14,0))</f>
        <v>Intrcnnct</v>
      </c>
      <c r="E717" t="str">
        <f>INDEX('TE_OA_20200805_INTRDY_2020-08-0'!$H$2:$H$870,MATCH(Filter!B717,'TE_OA_20200805_INTRDY_2020-08-0'!$G$2:$G$870))</f>
        <v>Texas Gas Transmission LLC - Lebanon, OH</v>
      </c>
      <c r="F717" t="str">
        <f>INDEX('Pipe Table'!$H$2:$H$8,MATCH('TE_OA_20200805_INTRDY_2020-08-0'!I698,'Pipe Table'!$G$2:$G$8,0))</f>
        <v>TETCO-M2</v>
      </c>
      <c r="G717" t="str">
        <f>INDEX(TeAllPoints!$D$2:$D$957,MATCH(Filter!B717,TeAllPoints!$B$2:$B$957,0))</f>
        <v>OH</v>
      </c>
      <c r="H717" t="str">
        <f>INDEX(TeAllPoints!$E$2:$E$957,MATCH(Filter!B717,TeAllPoints!$B$2:$B$957,0))</f>
        <v>WARREN</v>
      </c>
      <c r="I717">
        <f>INDEX('TE_OA_20200805_INTRDY_2020-08-0'!$Q$2:$Q$870,MATCH(Filter!B717,'TE_OA_20200805_INTRDY_2020-08-0'!$G$2:$G$870))</f>
        <v>232000</v>
      </c>
      <c r="J717">
        <f>INDEX('TE_OA_20200805_INTRDY_2020-08-0'!$R$2:$R$870,MATCH(Filter!B717,'TE_OA_20200805_INTRDY_2020-08-0'!$G$2:$G$870))</f>
        <v>160533</v>
      </c>
    </row>
    <row r="718" spans="1:10" x14ac:dyDescent="0.25">
      <c r="A718" t="str">
        <f>INDEX('Pipe Table'!$E$2:$E$10,MATCH(INDEX('TE_OA_20200805_INTRDY_2020-08-0'!$T$2:$T$870,MATCH(Filter!B718,'TE_OA_20200805_INTRDY_2020-08-0'!$G$2:$G$870,0)),'Pipe Table'!$D$2:$D$10,0))</f>
        <v>TETCO</v>
      </c>
      <c r="B718">
        <v>74217</v>
      </c>
      <c r="C718" t="str">
        <f>INDEX('TE_OA_20200805_INTRDY_2020-08-0'!$J$2:$J$870,MATCH(Filter!B718,'TE_OA_20200805_INTRDY_2020-08-0'!$G$2:$G$870))</f>
        <v>Delivery</v>
      </c>
      <c r="D718" t="str">
        <f>INDEX('Pipe Table'!$B$2:$B$14,MATCH(INDEX(TeAllPoints!$I$2:$I$957,MATCH(Filter!B718,TeAllPoints!$B$2:$B$957,0)),'Pipe Table'!$A$2:$A$14,0))</f>
        <v>Intrcnnct</v>
      </c>
      <c r="E718" t="str">
        <f>INDEX('TE_OA_20200805_INTRDY_2020-08-0'!$H$2:$H$870,MATCH(Filter!B718,'TE_OA_20200805_INTRDY_2020-08-0'!$G$2:$G$870))</f>
        <v>Gulf South-Kosciusko, Attala Co., MS (Bi-Dir Rec 70217)</v>
      </c>
      <c r="F718" t="str">
        <f>INDEX('Pipe Table'!$H$2:$H$8,MATCH('TE_OA_20200805_INTRDY_2020-08-0'!I699,'Pipe Table'!$G$2:$G$8,0))</f>
        <v>TETCO-M1</v>
      </c>
      <c r="G718" t="str">
        <f>INDEX(TeAllPoints!$D$2:$D$957,MATCH(Filter!B718,TeAllPoints!$B$2:$B$957,0))</f>
        <v>MS</v>
      </c>
      <c r="H718" t="str">
        <f>INDEX(TeAllPoints!$E$2:$E$957,MATCH(Filter!B718,TeAllPoints!$B$2:$B$957,0))</f>
        <v>ATTALA</v>
      </c>
      <c r="I718">
        <f>INDEX('TE_OA_20200805_INTRDY_2020-08-0'!$Q$2:$Q$870,MATCH(Filter!B718,'TE_OA_20200805_INTRDY_2020-08-0'!$G$2:$G$870))</f>
        <v>162720</v>
      </c>
      <c r="J718">
        <f>INDEX('TE_OA_20200805_INTRDY_2020-08-0'!$R$2:$R$870,MATCH(Filter!B718,'TE_OA_20200805_INTRDY_2020-08-0'!$G$2:$G$870))</f>
        <v>0</v>
      </c>
    </row>
    <row r="719" spans="1:10" x14ac:dyDescent="0.25">
      <c r="A719" t="str">
        <f>INDEX('Pipe Table'!$E$2:$E$10,MATCH(INDEX('TE_OA_20200805_INTRDY_2020-08-0'!$T$2:$T$870,MATCH(Filter!B719,'TE_OA_20200805_INTRDY_2020-08-0'!$G$2:$G$870,0)),'Pipe Table'!$D$2:$D$10,0))</f>
        <v>TETCO</v>
      </c>
      <c r="B719">
        <v>74825</v>
      </c>
      <c r="C719" t="str">
        <f>INDEX('TE_OA_20200805_INTRDY_2020-08-0'!$J$2:$J$870,MATCH(Filter!B719,'TE_OA_20200805_INTRDY_2020-08-0'!$G$2:$G$870))</f>
        <v>Receipt</v>
      </c>
      <c r="D719" t="e">
        <f>INDEX('Pipe Table'!$B$2:$B$14,MATCH(INDEX(TeAllPoints!$I$2:$I$957,MATCH(Filter!B719,TeAllPoints!$B$2:$B$957,0)),'Pipe Table'!$A$2:$A$14,0))</f>
        <v>#N/A</v>
      </c>
      <c r="E719" t="str">
        <f>INDEX('TE_OA_20200805_INTRDY_2020-08-0'!$H$2:$H$870,MATCH(Filter!B719,'TE_OA_20200805_INTRDY_2020-08-0'!$G$2:$G$870))</f>
        <v>DEFS (Wallace By-pass) - Lavaca Co., TX. (REC)</v>
      </c>
      <c r="F719" t="str">
        <f>INDEX('Pipe Table'!$H$2:$H$8,MATCH('TE_OA_20200805_INTRDY_2020-08-0'!I700,'Pipe Table'!$G$2:$G$8,0))</f>
        <v>TETCO-STX</v>
      </c>
      <c r="G719" t="e">
        <f>INDEX(TeAllPoints!$D$2:$D$957,MATCH(Filter!B719,TeAllPoints!$B$2:$B$957,0))</f>
        <v>#N/A</v>
      </c>
      <c r="H719" t="e">
        <f>INDEX(TeAllPoints!$E$2:$E$957,MATCH(Filter!B719,TeAllPoints!$B$2:$B$957,0))</f>
        <v>#N/A</v>
      </c>
      <c r="I719">
        <f>INDEX('TE_OA_20200805_INTRDY_2020-08-0'!$Q$2:$Q$870,MATCH(Filter!B719,'TE_OA_20200805_INTRDY_2020-08-0'!$G$2:$G$870))</f>
        <v>141484</v>
      </c>
      <c r="J719">
        <f>INDEX('TE_OA_20200805_INTRDY_2020-08-0'!$R$2:$R$870,MATCH(Filter!B719,'TE_OA_20200805_INTRDY_2020-08-0'!$G$2:$G$870))</f>
        <v>0</v>
      </c>
    </row>
    <row r="720" spans="1:10" x14ac:dyDescent="0.25">
      <c r="A720" t="str">
        <f>INDEX('Pipe Table'!$E$2:$E$10,MATCH(INDEX('TE_OA_20200805_INTRDY_2020-08-0'!$T$2:$T$870,MATCH(Filter!B720,'TE_OA_20200805_INTRDY_2020-08-0'!$G$2:$G$870,0)),'Pipe Table'!$D$2:$D$10,0))</f>
        <v>TETCO</v>
      </c>
      <c r="B720">
        <v>74902</v>
      </c>
      <c r="C720" t="str">
        <f>INDEX('TE_OA_20200805_INTRDY_2020-08-0'!$J$2:$J$870,MATCH(Filter!B720,'TE_OA_20200805_INTRDY_2020-08-0'!$G$2:$G$870))</f>
        <v>Receipt</v>
      </c>
      <c r="D720" t="str">
        <f>INDEX('Pipe Table'!$B$2:$B$14,MATCH(INDEX(TeAllPoints!$I$2:$I$957,MATCH(Filter!B720,TeAllPoints!$B$2:$B$957,0)),'Pipe Table'!$A$2:$A$14,0))</f>
        <v>Intrcnnct</v>
      </c>
      <c r="E720" t="str">
        <f>INDEX('TE_OA_20200805_INTRDY_2020-08-0'!$H$2:$H$870,MATCH(Filter!B720,'TE_OA_20200805_INTRDY_2020-08-0'!$G$2:$G$870))</f>
        <v>CMS - Gas City - Grant Co., IN</v>
      </c>
      <c r="F720" t="str">
        <f>INDEX('Pipe Table'!$H$2:$H$8,MATCH('TE_OA_20200805_INTRDY_2020-08-0'!I701,'Pipe Table'!$G$2:$G$8,0))</f>
        <v>TETCO-M2</v>
      </c>
      <c r="G720" t="str">
        <f>INDEX(TeAllPoints!$D$2:$D$957,MATCH(Filter!B720,TeAllPoints!$B$2:$B$957,0))</f>
        <v>IN</v>
      </c>
      <c r="H720" t="str">
        <f>INDEX(TeAllPoints!$E$2:$E$957,MATCH(Filter!B720,TeAllPoints!$B$2:$B$957,0))</f>
        <v>GRANT</v>
      </c>
      <c r="I720">
        <f>INDEX('TE_OA_20200805_INTRDY_2020-08-0'!$Q$2:$Q$870,MATCH(Filter!B720,'TE_OA_20200805_INTRDY_2020-08-0'!$G$2:$G$870))</f>
        <v>864501</v>
      </c>
      <c r="J720">
        <f>INDEX('TE_OA_20200805_INTRDY_2020-08-0'!$R$2:$R$870,MATCH(Filter!B720,'TE_OA_20200805_INTRDY_2020-08-0'!$G$2:$G$870))</f>
        <v>0</v>
      </c>
    </row>
    <row r="721" spans="1:10" x14ac:dyDescent="0.25">
      <c r="A721" t="str">
        <f>INDEX('Pipe Table'!$E$2:$E$10,MATCH(INDEX('TE_OA_20200805_INTRDY_2020-08-0'!$T$2:$T$870,MATCH(Filter!B721,'TE_OA_20200805_INTRDY_2020-08-0'!$G$2:$G$870,0)),'Pipe Table'!$D$2:$D$10,0))</f>
        <v>TETCO</v>
      </c>
      <c r="B721">
        <v>74903</v>
      </c>
      <c r="C721" t="str">
        <f>INDEX('TE_OA_20200805_INTRDY_2020-08-0'!$J$2:$J$870,MATCH(Filter!B721,'TE_OA_20200805_INTRDY_2020-08-0'!$G$2:$G$870))</f>
        <v>Delivery</v>
      </c>
      <c r="D721" t="str">
        <f>INDEX('Pipe Table'!$B$2:$B$14,MATCH(INDEX(TeAllPoints!$I$2:$I$957,MATCH(Filter!B721,TeAllPoints!$B$2:$B$957,0)),'Pipe Table'!$A$2:$A$14,0))</f>
        <v>Intrcnnct</v>
      </c>
      <c r="E721" t="str">
        <f>INDEX('TE_OA_20200805_INTRDY_2020-08-0'!$H$2:$H$870,MATCH(Filter!B721,'TE_OA_20200805_INTRDY_2020-08-0'!$G$2:$G$870))</f>
        <v>PEPL-Gas City Delivery/Route 26, Grant co., IN</v>
      </c>
      <c r="F721" t="str">
        <f>INDEX('Pipe Table'!$H$2:$H$8,MATCH('TE_OA_20200805_INTRDY_2020-08-0'!I702,'Pipe Table'!$G$2:$G$8,0))</f>
        <v>TETCO-M2</v>
      </c>
      <c r="G721" t="str">
        <f>INDEX(TeAllPoints!$D$2:$D$957,MATCH(Filter!B721,TeAllPoints!$B$2:$B$957,0))</f>
        <v>IN</v>
      </c>
      <c r="H721" t="str">
        <f>INDEX(TeAllPoints!$E$2:$E$957,MATCH(Filter!B721,TeAllPoints!$B$2:$B$957,0))</f>
        <v>GRANT</v>
      </c>
      <c r="I721">
        <f>INDEX('TE_OA_20200805_INTRDY_2020-08-0'!$Q$2:$Q$870,MATCH(Filter!B721,'TE_OA_20200805_INTRDY_2020-08-0'!$G$2:$G$870))</f>
        <v>432650</v>
      </c>
      <c r="J721">
        <f>INDEX('TE_OA_20200805_INTRDY_2020-08-0'!$R$2:$R$870,MATCH(Filter!B721,'TE_OA_20200805_INTRDY_2020-08-0'!$G$2:$G$870))</f>
        <v>276470</v>
      </c>
    </row>
    <row r="722" spans="1:10" x14ac:dyDescent="0.25">
      <c r="A722" t="str">
        <f>INDEX('Pipe Table'!$E$2:$E$10,MATCH(INDEX('TE_OA_20200805_INTRDY_2020-08-0'!$T$2:$T$870,MATCH(Filter!B722,'TE_OA_20200805_INTRDY_2020-08-0'!$G$2:$G$870,0)),'Pipe Table'!$D$2:$D$10,0))</f>
        <v>TETCO</v>
      </c>
      <c r="B722">
        <v>75007</v>
      </c>
      <c r="C722" t="str">
        <f>INDEX('TE_OA_20200805_INTRDY_2020-08-0'!$J$2:$J$870,MATCH(Filter!B722,'TE_OA_20200805_INTRDY_2020-08-0'!$G$2:$G$870))</f>
        <v>Delivery</v>
      </c>
      <c r="D722" t="str">
        <f>INDEX('Pipe Table'!$B$2:$B$14,MATCH(INDEX(TeAllPoints!$I$2:$I$957,MATCH(Filter!B722,TeAllPoints!$B$2:$B$957,0)),'Pipe Table'!$A$2:$A$14,0))</f>
        <v>Intrcnnct</v>
      </c>
      <c r="E722" t="str">
        <f>INDEX('TE_OA_20200805_INTRDY_2020-08-0'!$H$2:$H$870,MATCH(Filter!B722,'TE_OA_20200805_INTRDY_2020-08-0'!$G$2:$G$870))</f>
        <v>EQUITRANS - MORRIS, PA (DEL 70007/REC 76007)</v>
      </c>
      <c r="F722" t="str">
        <f>INDEX('Pipe Table'!$H$2:$H$8,MATCH('TE_OA_20200805_INTRDY_2020-08-0'!I703,'Pipe Table'!$G$2:$G$8,0))</f>
        <v>TETCO-M2</v>
      </c>
      <c r="G722" t="str">
        <f>INDEX(TeAllPoints!$D$2:$D$957,MATCH(Filter!B722,TeAllPoints!$B$2:$B$957,0))</f>
        <v>PA</v>
      </c>
      <c r="H722" t="str">
        <f>INDEX(TeAllPoints!$E$2:$E$957,MATCH(Filter!B722,TeAllPoints!$B$2:$B$957,0))</f>
        <v>GREENE</v>
      </c>
      <c r="I722">
        <f>INDEX('TE_OA_20200805_INTRDY_2020-08-0'!$Q$2:$Q$870,MATCH(Filter!B722,'TE_OA_20200805_INTRDY_2020-08-0'!$G$2:$G$870))</f>
        <v>140749</v>
      </c>
      <c r="J722">
        <f>INDEX('TE_OA_20200805_INTRDY_2020-08-0'!$R$2:$R$870,MATCH(Filter!B722,'TE_OA_20200805_INTRDY_2020-08-0'!$G$2:$G$870))</f>
        <v>0</v>
      </c>
    </row>
    <row r="723" spans="1:10" x14ac:dyDescent="0.25">
      <c r="A723" t="str">
        <f>INDEX('Pipe Table'!$E$2:$E$10,MATCH(INDEX('TE_OA_20200805_INTRDY_2020-08-0'!$T$2:$T$870,MATCH(Filter!B723,'TE_OA_20200805_INTRDY_2020-08-0'!$G$2:$G$870,0)),'Pipe Table'!$D$2:$D$10,0))</f>
        <v>TETCO</v>
      </c>
      <c r="B723">
        <v>75007</v>
      </c>
      <c r="C723" t="str">
        <f>INDEX('TE_OA_20200805_INTRDY_2020-08-0'!$J$2:$J$870,MATCH(Filter!B723,'TE_OA_20200805_INTRDY_2020-08-0'!$G$2:$G$870))</f>
        <v>Delivery</v>
      </c>
      <c r="D723" t="str">
        <f>INDEX('Pipe Table'!$B$2:$B$14,MATCH(INDEX(TeAllPoints!$I$2:$I$957,MATCH(Filter!B723,TeAllPoints!$B$2:$B$957,0)),'Pipe Table'!$A$2:$A$14,0))</f>
        <v>Intrcnnct</v>
      </c>
      <c r="E723" t="str">
        <f>INDEX('TE_OA_20200805_INTRDY_2020-08-0'!$H$2:$H$870,MATCH(Filter!B723,'TE_OA_20200805_INTRDY_2020-08-0'!$G$2:$G$870))</f>
        <v>EQUITRANS - MORRIS, PA (DEL 70007/REC 76007)</v>
      </c>
      <c r="F723" t="str">
        <f>INDEX('Pipe Table'!$H$2:$H$8,MATCH('TE_OA_20200805_INTRDY_2020-08-0'!I704,'Pipe Table'!$G$2:$G$8,0))</f>
        <v>TETCO-M2</v>
      </c>
      <c r="G723" t="str">
        <f>INDEX(TeAllPoints!$D$2:$D$957,MATCH(Filter!B723,TeAllPoints!$B$2:$B$957,0))</f>
        <v>PA</v>
      </c>
      <c r="H723" t="str">
        <f>INDEX(TeAllPoints!$E$2:$E$957,MATCH(Filter!B723,TeAllPoints!$B$2:$B$957,0))</f>
        <v>GREENE</v>
      </c>
      <c r="I723">
        <f>INDEX('TE_OA_20200805_INTRDY_2020-08-0'!$Q$2:$Q$870,MATCH(Filter!B723,'TE_OA_20200805_INTRDY_2020-08-0'!$G$2:$G$870))</f>
        <v>140749</v>
      </c>
      <c r="J723">
        <f>INDEX('TE_OA_20200805_INTRDY_2020-08-0'!$R$2:$R$870,MATCH(Filter!B723,'TE_OA_20200805_INTRDY_2020-08-0'!$G$2:$G$870))</f>
        <v>0</v>
      </c>
    </row>
    <row r="724" spans="1:10" x14ac:dyDescent="0.25">
      <c r="A724" t="str">
        <f>INDEX('Pipe Table'!$E$2:$E$10,MATCH(INDEX('TE_OA_20200805_INTRDY_2020-08-0'!$T$2:$T$870,MATCH(Filter!B724,'TE_OA_20200805_INTRDY_2020-08-0'!$G$2:$G$870,0)),'Pipe Table'!$D$2:$D$10,0))</f>
        <v>TETCO</v>
      </c>
      <c r="B724">
        <v>75009</v>
      </c>
      <c r="C724" t="str">
        <f>INDEX('TE_OA_20200805_INTRDY_2020-08-0'!$J$2:$J$870,MATCH(Filter!B724,'TE_OA_20200805_INTRDY_2020-08-0'!$G$2:$G$870))</f>
        <v>Receipt</v>
      </c>
      <c r="D724" t="str">
        <f>INDEX('Pipe Table'!$B$2:$B$14,MATCH(INDEX(TeAllPoints!$I$2:$I$957,MATCH(Filter!B724,TeAllPoints!$B$2:$B$957,0)),'Pipe Table'!$A$2:$A$14,0))</f>
        <v>Intrcnnct</v>
      </c>
      <c r="E724" t="str">
        <f>INDEX('TE_OA_20200805_INTRDY_2020-08-0'!$H$2:$H$870,MATCH(Filter!B724,'TE_OA_20200805_INTRDY_2020-08-0'!$G$2:$G$870))</f>
        <v>EQUITRANS - CRAYNE, PA (D70009/R76009)</v>
      </c>
      <c r="F724" t="str">
        <f>INDEX('Pipe Table'!$H$2:$H$8,MATCH('TE_OA_20200805_INTRDY_2020-08-0'!I705,'Pipe Table'!$G$2:$G$8,0))</f>
        <v>TETCO-M2</v>
      </c>
      <c r="G724" t="str">
        <f>INDEX(TeAllPoints!$D$2:$D$957,MATCH(Filter!B724,TeAllPoints!$B$2:$B$957,0))</f>
        <v>PA</v>
      </c>
      <c r="H724" t="str">
        <f>INDEX(TeAllPoints!$E$2:$E$957,MATCH(Filter!B724,TeAllPoints!$B$2:$B$957,0))</f>
        <v>GREENE</v>
      </c>
      <c r="I724">
        <f>INDEX('TE_OA_20200805_INTRDY_2020-08-0'!$Q$2:$Q$870,MATCH(Filter!B724,'TE_OA_20200805_INTRDY_2020-08-0'!$G$2:$G$870))</f>
        <v>189553</v>
      </c>
      <c r="J724">
        <f>INDEX('TE_OA_20200805_INTRDY_2020-08-0'!$R$2:$R$870,MATCH(Filter!B724,'TE_OA_20200805_INTRDY_2020-08-0'!$G$2:$G$870))</f>
        <v>36339</v>
      </c>
    </row>
    <row r="725" spans="1:10" x14ac:dyDescent="0.25">
      <c r="A725" t="str">
        <f>INDEX('Pipe Table'!$E$2:$E$10,MATCH(INDEX('TE_OA_20200805_INTRDY_2020-08-0'!$T$2:$T$870,MATCH(Filter!B725,'TE_OA_20200805_INTRDY_2020-08-0'!$G$2:$G$870,0)),'Pipe Table'!$D$2:$D$10,0))</f>
        <v>TETCO</v>
      </c>
      <c r="B725">
        <v>75009</v>
      </c>
      <c r="C725" t="str">
        <f>INDEX('TE_OA_20200805_INTRDY_2020-08-0'!$J$2:$J$870,MATCH(Filter!B725,'TE_OA_20200805_INTRDY_2020-08-0'!$G$2:$G$870))</f>
        <v>Receipt</v>
      </c>
      <c r="D725" t="str">
        <f>INDEX('Pipe Table'!$B$2:$B$14,MATCH(INDEX(TeAllPoints!$I$2:$I$957,MATCH(Filter!B725,TeAllPoints!$B$2:$B$957,0)),'Pipe Table'!$A$2:$A$14,0))</f>
        <v>Intrcnnct</v>
      </c>
      <c r="E725" t="str">
        <f>INDEX('TE_OA_20200805_INTRDY_2020-08-0'!$H$2:$H$870,MATCH(Filter!B725,'TE_OA_20200805_INTRDY_2020-08-0'!$G$2:$G$870))</f>
        <v>EQUITRANS - CRAYNE, PA (D70009/R76009)</v>
      </c>
      <c r="F725" t="str">
        <f>INDEX('Pipe Table'!$H$2:$H$8,MATCH('TE_OA_20200805_INTRDY_2020-08-0'!I706,'Pipe Table'!$G$2:$G$8,0))</f>
        <v>TETCO-M2</v>
      </c>
      <c r="G725" t="str">
        <f>INDEX(TeAllPoints!$D$2:$D$957,MATCH(Filter!B725,TeAllPoints!$B$2:$B$957,0))</f>
        <v>PA</v>
      </c>
      <c r="H725" t="str">
        <f>INDEX(TeAllPoints!$E$2:$E$957,MATCH(Filter!B725,TeAllPoints!$B$2:$B$957,0))</f>
        <v>GREENE</v>
      </c>
      <c r="I725">
        <f>INDEX('TE_OA_20200805_INTRDY_2020-08-0'!$Q$2:$Q$870,MATCH(Filter!B725,'TE_OA_20200805_INTRDY_2020-08-0'!$G$2:$G$870))</f>
        <v>189553</v>
      </c>
      <c r="J725">
        <f>INDEX('TE_OA_20200805_INTRDY_2020-08-0'!$R$2:$R$870,MATCH(Filter!B725,'TE_OA_20200805_INTRDY_2020-08-0'!$G$2:$G$870))</f>
        <v>36339</v>
      </c>
    </row>
    <row r="726" spans="1:10" x14ac:dyDescent="0.25">
      <c r="A726" t="str">
        <f>INDEX('Pipe Table'!$E$2:$E$10,MATCH(INDEX('TE_OA_20200805_INTRDY_2020-08-0'!$T$2:$T$870,MATCH(Filter!B726,'TE_OA_20200805_INTRDY_2020-08-0'!$G$2:$G$870,0)),'Pipe Table'!$D$2:$D$10,0))</f>
        <v>TETCO</v>
      </c>
      <c r="B726">
        <v>75037</v>
      </c>
      <c r="C726" t="str">
        <f>INDEX('TE_OA_20200805_INTRDY_2020-08-0'!$J$2:$J$870,MATCH(Filter!B726,'TE_OA_20200805_INTRDY_2020-08-0'!$G$2:$G$870))</f>
        <v>Delivery</v>
      </c>
      <c r="D726" t="str">
        <f>INDEX('Pipe Table'!$B$2:$B$14,MATCH(INDEX(TeAllPoints!$I$2:$I$957,MATCH(Filter!B726,TeAllPoints!$B$2:$B$957,0)),'Pipe Table'!$A$2:$A$14,0))</f>
        <v>Intrcnnct</v>
      </c>
      <c r="E726" t="str">
        <f>INDEX('TE_OA_20200805_INTRDY_2020-08-0'!$H$2:$H$870,MATCH(Filter!B726,'TE_OA_20200805_INTRDY_2020-08-0'!$G$2:$G$870))</f>
        <v>DTI - WAYNESBURG, PA(D 70037/R 76037)</v>
      </c>
      <c r="F726" t="str">
        <f>INDEX('Pipe Table'!$H$2:$H$8,MATCH('TE_OA_20200805_INTRDY_2020-08-0'!I707,'Pipe Table'!$G$2:$G$8,0))</f>
        <v>TETCO-M2</v>
      </c>
      <c r="G726" t="str">
        <f>INDEX(TeAllPoints!$D$2:$D$957,MATCH(Filter!B726,TeAllPoints!$B$2:$B$957,0))</f>
        <v>PA</v>
      </c>
      <c r="H726" t="str">
        <f>INDEX(TeAllPoints!$E$2:$E$957,MATCH(Filter!B726,TeAllPoints!$B$2:$B$957,0))</f>
        <v>GREENE</v>
      </c>
      <c r="I726">
        <f>INDEX('TE_OA_20200805_INTRDY_2020-08-0'!$Q$2:$Q$870,MATCH(Filter!B726,'TE_OA_20200805_INTRDY_2020-08-0'!$G$2:$G$870))</f>
        <v>144101</v>
      </c>
      <c r="J726">
        <f>INDEX('TE_OA_20200805_INTRDY_2020-08-0'!$R$2:$R$870,MATCH(Filter!B726,'TE_OA_20200805_INTRDY_2020-08-0'!$G$2:$G$870))</f>
        <v>6200</v>
      </c>
    </row>
    <row r="727" spans="1:10" x14ac:dyDescent="0.25">
      <c r="A727" t="str">
        <f>INDEX('Pipe Table'!$E$2:$E$10,MATCH(INDEX('TE_OA_20200805_INTRDY_2020-08-0'!$T$2:$T$870,MATCH(Filter!B727,'TE_OA_20200805_INTRDY_2020-08-0'!$G$2:$G$870,0)),'Pipe Table'!$D$2:$D$10,0))</f>
        <v>TETCO</v>
      </c>
      <c r="B727">
        <v>75037</v>
      </c>
      <c r="C727" t="str">
        <f>INDEX('TE_OA_20200805_INTRDY_2020-08-0'!$J$2:$J$870,MATCH(Filter!B727,'TE_OA_20200805_INTRDY_2020-08-0'!$G$2:$G$870))</f>
        <v>Delivery</v>
      </c>
      <c r="D727" t="str">
        <f>INDEX('Pipe Table'!$B$2:$B$14,MATCH(INDEX(TeAllPoints!$I$2:$I$957,MATCH(Filter!B727,TeAllPoints!$B$2:$B$957,0)),'Pipe Table'!$A$2:$A$14,0))</f>
        <v>Intrcnnct</v>
      </c>
      <c r="E727" t="str">
        <f>INDEX('TE_OA_20200805_INTRDY_2020-08-0'!$H$2:$H$870,MATCH(Filter!B727,'TE_OA_20200805_INTRDY_2020-08-0'!$G$2:$G$870))</f>
        <v>DTI - WAYNESBURG, PA(D 70037/R 76037)</v>
      </c>
      <c r="F727" t="str">
        <f>INDEX('Pipe Table'!$H$2:$H$8,MATCH('TE_OA_20200805_INTRDY_2020-08-0'!I708,'Pipe Table'!$G$2:$G$8,0))</f>
        <v>TETCO-M2</v>
      </c>
      <c r="G727" t="str">
        <f>INDEX(TeAllPoints!$D$2:$D$957,MATCH(Filter!B727,TeAllPoints!$B$2:$B$957,0))</f>
        <v>PA</v>
      </c>
      <c r="H727" t="str">
        <f>INDEX(TeAllPoints!$E$2:$E$957,MATCH(Filter!B727,TeAllPoints!$B$2:$B$957,0))</f>
        <v>GREENE</v>
      </c>
      <c r="I727">
        <f>INDEX('TE_OA_20200805_INTRDY_2020-08-0'!$Q$2:$Q$870,MATCH(Filter!B727,'TE_OA_20200805_INTRDY_2020-08-0'!$G$2:$G$870))</f>
        <v>144101</v>
      </c>
      <c r="J727">
        <f>INDEX('TE_OA_20200805_INTRDY_2020-08-0'!$R$2:$R$870,MATCH(Filter!B727,'TE_OA_20200805_INTRDY_2020-08-0'!$G$2:$G$870))</f>
        <v>6200</v>
      </c>
    </row>
    <row r="728" spans="1:10" x14ac:dyDescent="0.25">
      <c r="A728" t="str">
        <f>INDEX('Pipe Table'!$E$2:$E$10,MATCH(INDEX('TE_OA_20200805_INTRDY_2020-08-0'!$T$2:$T$870,MATCH(Filter!B728,'TE_OA_20200805_INTRDY_2020-08-0'!$G$2:$G$870,0)),'Pipe Table'!$D$2:$D$10,0))</f>
        <v>TETCO</v>
      </c>
      <c r="B728">
        <v>75043</v>
      </c>
      <c r="C728" t="str">
        <f>INDEX('TE_OA_20200805_INTRDY_2020-08-0'!$J$2:$J$870,MATCH(Filter!B728,'TE_OA_20200805_INTRDY_2020-08-0'!$G$2:$G$870))</f>
        <v>Receipt</v>
      </c>
      <c r="D728" t="str">
        <f>INDEX('Pipe Table'!$B$2:$B$14,MATCH(INDEX(TeAllPoints!$I$2:$I$957,MATCH(Filter!B728,TeAllPoints!$B$2:$B$957,0)),'Pipe Table'!$A$2:$A$14,0))</f>
        <v>Intrcnnct</v>
      </c>
      <c r="E728" t="str">
        <f>INDEX('TE_OA_20200805_INTRDY_2020-08-0'!$H$2:$H$870,MATCH(Filter!B728,'TE_OA_20200805_INTRDY_2020-08-0'!$G$2:$G$870))</f>
        <v>ANR - ST. LANDRY PA., LA - (D72043/R76043)</v>
      </c>
      <c r="F728" t="str">
        <f>INDEX('Pipe Table'!$H$2:$H$8,MATCH('TE_OA_20200805_INTRDY_2020-08-0'!I709,'Pipe Table'!$G$2:$G$8,0))</f>
        <v>TETCO-WLA</v>
      </c>
      <c r="G728" t="str">
        <f>INDEX(TeAllPoints!$D$2:$D$957,MATCH(Filter!B728,TeAllPoints!$B$2:$B$957,0))</f>
        <v>LA</v>
      </c>
      <c r="H728" t="str">
        <f>INDEX(TeAllPoints!$E$2:$E$957,MATCH(Filter!B728,TeAllPoints!$B$2:$B$957,0))</f>
        <v>ST LANDRY</v>
      </c>
      <c r="I728">
        <f>INDEX('TE_OA_20200805_INTRDY_2020-08-0'!$Q$2:$Q$870,MATCH(Filter!B728,'TE_OA_20200805_INTRDY_2020-08-0'!$G$2:$G$870))</f>
        <v>191773</v>
      </c>
      <c r="J728">
        <f>INDEX('TE_OA_20200805_INTRDY_2020-08-0'!$R$2:$R$870,MATCH(Filter!B728,'TE_OA_20200805_INTRDY_2020-08-0'!$G$2:$G$870))</f>
        <v>0</v>
      </c>
    </row>
    <row r="729" spans="1:10" x14ac:dyDescent="0.25">
      <c r="A729" t="str">
        <f>INDEX('Pipe Table'!$E$2:$E$10,MATCH(INDEX('TE_OA_20200805_INTRDY_2020-08-0'!$T$2:$T$870,MATCH(Filter!B729,'TE_OA_20200805_INTRDY_2020-08-0'!$G$2:$G$870,0)),'Pipe Table'!$D$2:$D$10,0))</f>
        <v>TETCO</v>
      </c>
      <c r="B729">
        <v>75043</v>
      </c>
      <c r="C729" t="str">
        <f>INDEX('TE_OA_20200805_INTRDY_2020-08-0'!$J$2:$J$870,MATCH(Filter!B729,'TE_OA_20200805_INTRDY_2020-08-0'!$G$2:$G$870))</f>
        <v>Receipt</v>
      </c>
      <c r="D729" t="str">
        <f>INDEX('Pipe Table'!$B$2:$B$14,MATCH(INDEX(TeAllPoints!$I$2:$I$957,MATCH(Filter!B729,TeAllPoints!$B$2:$B$957,0)),'Pipe Table'!$A$2:$A$14,0))</f>
        <v>Intrcnnct</v>
      </c>
      <c r="E729" t="str">
        <f>INDEX('TE_OA_20200805_INTRDY_2020-08-0'!$H$2:$H$870,MATCH(Filter!B729,'TE_OA_20200805_INTRDY_2020-08-0'!$G$2:$G$870))</f>
        <v>ANR - ST. LANDRY PA., LA - (D72043/R76043)</v>
      </c>
      <c r="F729" t="str">
        <f>INDEX('Pipe Table'!$H$2:$H$8,MATCH('TE_OA_20200805_INTRDY_2020-08-0'!I710,'Pipe Table'!$G$2:$G$8,0))</f>
        <v>TETCO-WLA</v>
      </c>
      <c r="G729" t="str">
        <f>INDEX(TeAllPoints!$D$2:$D$957,MATCH(Filter!B729,TeAllPoints!$B$2:$B$957,0))</f>
        <v>LA</v>
      </c>
      <c r="H729" t="str">
        <f>INDEX(TeAllPoints!$E$2:$E$957,MATCH(Filter!B729,TeAllPoints!$B$2:$B$957,0))</f>
        <v>ST LANDRY</v>
      </c>
      <c r="I729">
        <f>INDEX('TE_OA_20200805_INTRDY_2020-08-0'!$Q$2:$Q$870,MATCH(Filter!B729,'TE_OA_20200805_INTRDY_2020-08-0'!$G$2:$G$870))</f>
        <v>191773</v>
      </c>
      <c r="J729">
        <f>INDEX('TE_OA_20200805_INTRDY_2020-08-0'!$R$2:$R$870,MATCH(Filter!B729,'TE_OA_20200805_INTRDY_2020-08-0'!$G$2:$G$870))</f>
        <v>0</v>
      </c>
    </row>
    <row r="730" spans="1:10" x14ac:dyDescent="0.25">
      <c r="A730" t="str">
        <f>INDEX('Pipe Table'!$E$2:$E$10,MATCH(INDEX('TE_OA_20200805_INTRDY_2020-08-0'!$T$2:$T$870,MATCH(Filter!B730,'TE_OA_20200805_INTRDY_2020-08-0'!$G$2:$G$870,0)),'Pipe Table'!$D$2:$D$10,0))</f>
        <v>TETCO</v>
      </c>
      <c r="B730">
        <v>75051</v>
      </c>
      <c r="C730" t="str">
        <f>INDEX('TE_OA_20200805_INTRDY_2020-08-0'!$J$2:$J$870,MATCH(Filter!B730,'TE_OA_20200805_INTRDY_2020-08-0'!$G$2:$G$870))</f>
        <v>Delivery</v>
      </c>
      <c r="D730" t="str">
        <f>INDEX('Pipe Table'!$B$2:$B$14,MATCH(INDEX(TeAllPoints!$I$2:$I$957,MATCH(Filter!B730,TeAllPoints!$B$2:$B$957,0)),'Pipe Table'!$A$2:$A$14,0))</f>
        <v>Intrcnnct</v>
      </c>
      <c r="E730" t="str">
        <f>INDEX('TE_OA_20200805_INTRDY_2020-08-0'!$H$2:$H$870,MATCH(Filter!B730,'TE_OA_20200805_INTRDY_2020-08-0'!$G$2:$G$870))</f>
        <v>DOMINION TRANSMISSION A-FRANKLIN (D73051/R76051)</v>
      </c>
      <c r="F730" t="str">
        <f>INDEX('Pipe Table'!$H$2:$H$8,MATCH('TE_OA_20200805_INTRDY_2020-08-0'!I711,'Pipe Table'!$G$2:$G$8,0))</f>
        <v>TETCO-M3</v>
      </c>
      <c r="G730" t="str">
        <f>INDEX(TeAllPoints!$D$2:$D$957,MATCH(Filter!B730,TeAllPoints!$B$2:$B$957,0))</f>
        <v>PA</v>
      </c>
      <c r="H730" t="str">
        <f>INDEX(TeAllPoints!$E$2:$E$957,MATCH(Filter!B730,TeAllPoints!$B$2:$B$957,0))</f>
        <v>FRANKLIN</v>
      </c>
      <c r="I730">
        <f>INDEX('TE_OA_20200805_INTRDY_2020-08-0'!$Q$2:$Q$870,MATCH(Filter!B730,'TE_OA_20200805_INTRDY_2020-08-0'!$G$2:$G$870))</f>
        <v>692041</v>
      </c>
      <c r="J730">
        <f>INDEX('TE_OA_20200805_INTRDY_2020-08-0'!$R$2:$R$870,MATCH(Filter!B730,'TE_OA_20200805_INTRDY_2020-08-0'!$G$2:$G$870))</f>
        <v>328746</v>
      </c>
    </row>
    <row r="731" spans="1:10" x14ac:dyDescent="0.25">
      <c r="A731" t="str">
        <f>INDEX('Pipe Table'!$E$2:$E$10,MATCH(INDEX('TE_OA_20200805_INTRDY_2020-08-0'!$T$2:$T$870,MATCH(Filter!B731,'TE_OA_20200805_INTRDY_2020-08-0'!$G$2:$G$870,0)),'Pipe Table'!$D$2:$D$10,0))</f>
        <v>TETCO</v>
      </c>
      <c r="B731">
        <v>75051</v>
      </c>
      <c r="C731" t="str">
        <f>INDEX('TE_OA_20200805_INTRDY_2020-08-0'!$J$2:$J$870,MATCH(Filter!B731,'TE_OA_20200805_INTRDY_2020-08-0'!$G$2:$G$870))</f>
        <v>Delivery</v>
      </c>
      <c r="D731" t="str">
        <f>INDEX('Pipe Table'!$B$2:$B$14,MATCH(INDEX(TeAllPoints!$I$2:$I$957,MATCH(Filter!B731,TeAllPoints!$B$2:$B$957,0)),'Pipe Table'!$A$2:$A$14,0))</f>
        <v>Intrcnnct</v>
      </c>
      <c r="E731" t="str">
        <f>INDEX('TE_OA_20200805_INTRDY_2020-08-0'!$H$2:$H$870,MATCH(Filter!B731,'TE_OA_20200805_INTRDY_2020-08-0'!$G$2:$G$870))</f>
        <v>DOMINION TRANSMISSION A-FRANKLIN (D73051/R76051)</v>
      </c>
      <c r="F731" t="str">
        <f>INDEX('Pipe Table'!$H$2:$H$8,MATCH('TE_OA_20200805_INTRDY_2020-08-0'!I712,'Pipe Table'!$G$2:$G$8,0))</f>
        <v>TETCO-M3</v>
      </c>
      <c r="G731" t="str">
        <f>INDEX(TeAllPoints!$D$2:$D$957,MATCH(Filter!B731,TeAllPoints!$B$2:$B$957,0))</f>
        <v>PA</v>
      </c>
      <c r="H731" t="str">
        <f>INDEX(TeAllPoints!$E$2:$E$957,MATCH(Filter!B731,TeAllPoints!$B$2:$B$957,0))</f>
        <v>FRANKLIN</v>
      </c>
      <c r="I731">
        <f>INDEX('TE_OA_20200805_INTRDY_2020-08-0'!$Q$2:$Q$870,MATCH(Filter!B731,'TE_OA_20200805_INTRDY_2020-08-0'!$G$2:$G$870))</f>
        <v>692041</v>
      </c>
      <c r="J731">
        <f>INDEX('TE_OA_20200805_INTRDY_2020-08-0'!$R$2:$R$870,MATCH(Filter!B731,'TE_OA_20200805_INTRDY_2020-08-0'!$G$2:$G$870))</f>
        <v>328746</v>
      </c>
    </row>
    <row r="732" spans="1:10" x14ac:dyDescent="0.25">
      <c r="A732" t="str">
        <f>INDEX('Pipe Table'!$E$2:$E$10,MATCH(INDEX('TE_OA_20200805_INTRDY_2020-08-0'!$T$2:$T$870,MATCH(Filter!B732,'TE_OA_20200805_INTRDY_2020-08-0'!$G$2:$G$870,0)),'Pipe Table'!$D$2:$D$10,0))</f>
        <v>TETCO</v>
      </c>
      <c r="B732">
        <v>75055</v>
      </c>
      <c r="C732" t="str">
        <f>INDEX('TE_OA_20200805_INTRDY_2020-08-0'!$J$2:$J$870,MATCH(Filter!B732,'TE_OA_20200805_INTRDY_2020-08-0'!$G$2:$G$870))</f>
        <v>Delivery</v>
      </c>
      <c r="D732" t="str">
        <f>INDEX('Pipe Table'!$B$2:$B$14,MATCH(INDEX(TeAllPoints!$I$2:$I$957,MATCH(Filter!B732,TeAllPoints!$B$2:$B$957,0)),'Pipe Table'!$A$2:$A$14,0))</f>
        <v>Intrcnnct</v>
      </c>
      <c r="E732" t="str">
        <f>INDEX('TE_OA_20200805_INTRDY_2020-08-0'!$H$2:$H$870,MATCH(Filter!B732,'TE_OA_20200805_INTRDY_2020-08-0'!$G$2:$G$870))</f>
        <v>COLUMBIA GAS - DELMONT (BIDIR 73655/70055)</v>
      </c>
      <c r="F732" t="str">
        <f>INDEX('Pipe Table'!$H$2:$H$8,MATCH('TE_OA_20200805_INTRDY_2020-08-0'!I713,'Pipe Table'!$G$2:$G$8,0))</f>
        <v>TETCO-M2</v>
      </c>
      <c r="G732" t="str">
        <f>INDEX(TeAllPoints!$D$2:$D$957,MATCH(Filter!B732,TeAllPoints!$B$2:$B$957,0))</f>
        <v>PA</v>
      </c>
      <c r="H732" t="str">
        <f>INDEX(TeAllPoints!$E$2:$E$957,MATCH(Filter!B732,TeAllPoints!$B$2:$B$957,0))</f>
        <v>WESTMORELAND</v>
      </c>
      <c r="I732">
        <f>INDEX('TE_OA_20200805_INTRDY_2020-08-0'!$Q$2:$Q$870,MATCH(Filter!B732,'TE_OA_20200805_INTRDY_2020-08-0'!$G$2:$G$870))</f>
        <v>109430</v>
      </c>
      <c r="J732">
        <f>INDEX('TE_OA_20200805_INTRDY_2020-08-0'!$R$2:$R$870,MATCH(Filter!B732,'TE_OA_20200805_INTRDY_2020-08-0'!$G$2:$G$870))</f>
        <v>10000</v>
      </c>
    </row>
    <row r="733" spans="1:10" x14ac:dyDescent="0.25">
      <c r="A733" t="str">
        <f>INDEX('Pipe Table'!$E$2:$E$10,MATCH(INDEX('TE_OA_20200805_INTRDY_2020-08-0'!$T$2:$T$870,MATCH(Filter!B733,'TE_OA_20200805_INTRDY_2020-08-0'!$G$2:$G$870,0)),'Pipe Table'!$D$2:$D$10,0))</f>
        <v>TETCO</v>
      </c>
      <c r="B733">
        <v>75055</v>
      </c>
      <c r="C733" t="str">
        <f>INDEX('TE_OA_20200805_INTRDY_2020-08-0'!$J$2:$J$870,MATCH(Filter!B733,'TE_OA_20200805_INTRDY_2020-08-0'!$G$2:$G$870))</f>
        <v>Delivery</v>
      </c>
      <c r="D733" t="str">
        <f>INDEX('Pipe Table'!$B$2:$B$14,MATCH(INDEX(TeAllPoints!$I$2:$I$957,MATCH(Filter!B733,TeAllPoints!$B$2:$B$957,0)),'Pipe Table'!$A$2:$A$14,0))</f>
        <v>Intrcnnct</v>
      </c>
      <c r="E733" t="str">
        <f>INDEX('TE_OA_20200805_INTRDY_2020-08-0'!$H$2:$H$870,MATCH(Filter!B733,'TE_OA_20200805_INTRDY_2020-08-0'!$G$2:$G$870))</f>
        <v>COLUMBIA GAS - DELMONT (BIDIR 73655/70055)</v>
      </c>
      <c r="F733" t="str">
        <f>INDEX('Pipe Table'!$H$2:$H$8,MATCH('TE_OA_20200805_INTRDY_2020-08-0'!I714,'Pipe Table'!$G$2:$G$8,0))</f>
        <v>TETCO-M2</v>
      </c>
      <c r="G733" t="str">
        <f>INDEX(TeAllPoints!$D$2:$D$957,MATCH(Filter!B733,TeAllPoints!$B$2:$B$957,0))</f>
        <v>PA</v>
      </c>
      <c r="H733" t="str">
        <f>INDEX(TeAllPoints!$E$2:$E$957,MATCH(Filter!B733,TeAllPoints!$B$2:$B$957,0))</f>
        <v>WESTMORELAND</v>
      </c>
      <c r="I733">
        <f>INDEX('TE_OA_20200805_INTRDY_2020-08-0'!$Q$2:$Q$870,MATCH(Filter!B733,'TE_OA_20200805_INTRDY_2020-08-0'!$G$2:$G$870))</f>
        <v>109430</v>
      </c>
      <c r="J733">
        <f>INDEX('TE_OA_20200805_INTRDY_2020-08-0'!$R$2:$R$870,MATCH(Filter!B733,'TE_OA_20200805_INTRDY_2020-08-0'!$G$2:$G$870))</f>
        <v>10000</v>
      </c>
    </row>
    <row r="734" spans="1:10" x14ac:dyDescent="0.25">
      <c r="A734" t="str">
        <f>INDEX('Pipe Table'!$E$2:$E$10,MATCH(INDEX('TE_OA_20200805_INTRDY_2020-08-0'!$T$2:$T$870,MATCH(Filter!B734,'TE_OA_20200805_INTRDY_2020-08-0'!$G$2:$G$870,0)),'Pipe Table'!$D$2:$D$10,0))</f>
        <v>TETCO</v>
      </c>
      <c r="B734">
        <v>75061</v>
      </c>
      <c r="C734" t="str">
        <f>INDEX('TE_OA_20200805_INTRDY_2020-08-0'!$J$2:$J$870,MATCH(Filter!B734,'TE_OA_20200805_INTRDY_2020-08-0'!$G$2:$G$870))</f>
        <v>Receipt</v>
      </c>
      <c r="D734" t="str">
        <f>INDEX('Pipe Table'!$B$2:$B$14,MATCH(INDEX(TeAllPoints!$I$2:$I$957,MATCH(Filter!B734,TeAllPoints!$B$2:$B$957,0)),'Pipe Table'!$A$2:$A$14,0))</f>
        <v>Intrcnnct</v>
      </c>
      <c r="E734" t="str">
        <f>INDEX('TE_OA_20200805_INTRDY_2020-08-0'!$H$2:$H$870,MATCH(Filter!B734,'TE_OA_20200805_INTRDY_2020-08-0'!$G$2:$G$870))</f>
        <v>DOMINION TRANSMISSION FRANKLIN REC76061/DEL73061</v>
      </c>
      <c r="F734" t="str">
        <f>INDEX('Pipe Table'!$H$2:$H$8,MATCH('TE_OA_20200805_INTRDY_2020-08-0'!I715,'Pipe Table'!$G$2:$G$8,0))</f>
        <v>TETCO-M3</v>
      </c>
      <c r="G734" t="str">
        <f>INDEX(TeAllPoints!$D$2:$D$957,MATCH(Filter!B734,TeAllPoints!$B$2:$B$957,0))</f>
        <v>PA</v>
      </c>
      <c r="H734" t="str">
        <f>INDEX(TeAllPoints!$E$2:$E$957,MATCH(Filter!B734,TeAllPoints!$B$2:$B$957,0))</f>
        <v>FRANKLIN</v>
      </c>
      <c r="I734">
        <f>INDEX('TE_OA_20200805_INTRDY_2020-08-0'!$Q$2:$Q$870,MATCH(Filter!B734,'TE_OA_20200805_INTRDY_2020-08-0'!$G$2:$G$870))</f>
        <v>374802</v>
      </c>
      <c r="J734">
        <f>INDEX('TE_OA_20200805_INTRDY_2020-08-0'!$R$2:$R$870,MATCH(Filter!B734,'TE_OA_20200805_INTRDY_2020-08-0'!$G$2:$G$870))</f>
        <v>0</v>
      </c>
    </row>
    <row r="735" spans="1:10" x14ac:dyDescent="0.25">
      <c r="A735" t="str">
        <f>INDEX('Pipe Table'!$E$2:$E$10,MATCH(INDEX('TE_OA_20200805_INTRDY_2020-08-0'!$T$2:$T$870,MATCH(Filter!B735,'TE_OA_20200805_INTRDY_2020-08-0'!$G$2:$G$870,0)),'Pipe Table'!$D$2:$D$10,0))</f>
        <v>TETCO</v>
      </c>
      <c r="B735">
        <v>75061</v>
      </c>
      <c r="C735" t="str">
        <f>INDEX('TE_OA_20200805_INTRDY_2020-08-0'!$J$2:$J$870,MATCH(Filter!B735,'TE_OA_20200805_INTRDY_2020-08-0'!$G$2:$G$870))</f>
        <v>Receipt</v>
      </c>
      <c r="D735" t="str">
        <f>INDEX('Pipe Table'!$B$2:$B$14,MATCH(INDEX(TeAllPoints!$I$2:$I$957,MATCH(Filter!B735,TeAllPoints!$B$2:$B$957,0)),'Pipe Table'!$A$2:$A$14,0))</f>
        <v>Intrcnnct</v>
      </c>
      <c r="E735" t="str">
        <f>INDEX('TE_OA_20200805_INTRDY_2020-08-0'!$H$2:$H$870,MATCH(Filter!B735,'TE_OA_20200805_INTRDY_2020-08-0'!$G$2:$G$870))</f>
        <v>DOMINION TRANSMISSION FRANKLIN REC76061/DEL73061</v>
      </c>
      <c r="F735" t="str">
        <f>INDEX('Pipe Table'!$H$2:$H$8,MATCH('TE_OA_20200805_INTRDY_2020-08-0'!I716,'Pipe Table'!$G$2:$G$8,0))</f>
        <v>TETCO-M3</v>
      </c>
      <c r="G735" t="str">
        <f>INDEX(TeAllPoints!$D$2:$D$957,MATCH(Filter!B735,TeAllPoints!$B$2:$B$957,0))</f>
        <v>PA</v>
      </c>
      <c r="H735" t="str">
        <f>INDEX(TeAllPoints!$E$2:$E$957,MATCH(Filter!B735,TeAllPoints!$B$2:$B$957,0))</f>
        <v>FRANKLIN</v>
      </c>
      <c r="I735">
        <f>INDEX('TE_OA_20200805_INTRDY_2020-08-0'!$Q$2:$Q$870,MATCH(Filter!B735,'TE_OA_20200805_INTRDY_2020-08-0'!$G$2:$G$870))</f>
        <v>374802</v>
      </c>
      <c r="J735">
        <f>INDEX('TE_OA_20200805_INTRDY_2020-08-0'!$R$2:$R$870,MATCH(Filter!B735,'TE_OA_20200805_INTRDY_2020-08-0'!$G$2:$G$870))</f>
        <v>0</v>
      </c>
    </row>
    <row r="736" spans="1:10" x14ac:dyDescent="0.25">
      <c r="A736" t="str">
        <f>INDEX('Pipe Table'!$E$2:$E$10,MATCH(INDEX('TE_OA_20200805_INTRDY_2020-08-0'!$T$2:$T$870,MATCH(Filter!B736,'TE_OA_20200805_INTRDY_2020-08-0'!$G$2:$G$870,0)),'Pipe Table'!$D$2:$D$10,0))</f>
        <v>TETCO</v>
      </c>
      <c r="B736">
        <v>75078</v>
      </c>
      <c r="C736" t="str">
        <f>INDEX('TE_OA_20200805_INTRDY_2020-08-0'!$J$2:$J$870,MATCH(Filter!B736,'TE_OA_20200805_INTRDY_2020-08-0'!$G$2:$G$870))</f>
        <v>Delivery</v>
      </c>
      <c r="D736" t="str">
        <f>INDEX('Pipe Table'!$B$2:$B$14,MATCH(INDEX(TeAllPoints!$I$2:$I$957,MATCH(Filter!B736,TeAllPoints!$B$2:$B$957,0)),'Pipe Table'!$A$2:$A$14,0))</f>
        <v>Intrcnnct</v>
      </c>
      <c r="E736" t="str">
        <f>INDEX('TE_OA_20200805_INTRDY_2020-08-0'!$H$2:$H$870,MATCH(Filter!B736,'TE_OA_20200805_INTRDY_2020-08-0'!$G$2:$G$870))</f>
        <v>GULF SOUTH - CASTOR, LA-(D70078/R76078)</v>
      </c>
      <c r="F736" t="str">
        <f>INDEX('Pipe Table'!$H$2:$H$8,MATCH('TE_OA_20200805_INTRDY_2020-08-0'!I717,'Pipe Table'!$G$2:$G$8,0))</f>
        <v>TETCO-ETX</v>
      </c>
      <c r="G736" t="str">
        <f>INDEX(TeAllPoints!$D$2:$D$957,MATCH(Filter!B736,TeAllPoints!$B$2:$B$957,0))</f>
        <v>LA</v>
      </c>
      <c r="H736" t="str">
        <f>INDEX(TeAllPoints!$E$2:$E$957,MATCH(Filter!B736,TeAllPoints!$B$2:$B$957,0))</f>
        <v>BIENVILLE</v>
      </c>
      <c r="I736">
        <f>INDEX('TE_OA_20200805_INTRDY_2020-08-0'!$Q$2:$Q$870,MATCH(Filter!B736,'TE_OA_20200805_INTRDY_2020-08-0'!$G$2:$G$870))</f>
        <v>240000</v>
      </c>
      <c r="J736">
        <f>INDEX('TE_OA_20200805_INTRDY_2020-08-0'!$R$2:$R$870,MATCH(Filter!B736,'TE_OA_20200805_INTRDY_2020-08-0'!$G$2:$G$870))</f>
        <v>39941</v>
      </c>
    </row>
    <row r="737" spans="1:10" x14ac:dyDescent="0.25">
      <c r="A737" t="str">
        <f>INDEX('Pipe Table'!$E$2:$E$10,MATCH(INDEX('TE_OA_20200805_INTRDY_2020-08-0'!$T$2:$T$870,MATCH(Filter!B737,'TE_OA_20200805_INTRDY_2020-08-0'!$G$2:$G$870,0)),'Pipe Table'!$D$2:$D$10,0))</f>
        <v>TETCO</v>
      </c>
      <c r="B737">
        <v>75082</v>
      </c>
      <c r="C737" t="str">
        <f>INDEX('TE_OA_20200805_INTRDY_2020-08-0'!$J$2:$J$870,MATCH(Filter!B737,'TE_OA_20200805_INTRDY_2020-08-0'!$G$2:$G$870))</f>
        <v>Storage Withdrawal</v>
      </c>
      <c r="D737" t="str">
        <f>INDEX('Pipe Table'!$B$2:$B$14,MATCH(INDEX(TeAllPoints!$I$2:$I$957,MATCH(Filter!B737,TeAllPoints!$B$2:$B$957,0)),'Pipe Table'!$A$2:$A$14,0))</f>
        <v>Stor</v>
      </c>
      <c r="E737" t="str">
        <f>INDEX('TE_OA_20200805_INTRDY_2020-08-0'!$H$2:$H$870,MATCH(Filter!B737,'TE_OA_20200805_INTRDY_2020-08-0'!$G$2:$G$870))</f>
        <v>DTI - OAKFORD, PA-(D70082/R76082)</v>
      </c>
      <c r="F737" t="str">
        <f>INDEX('Pipe Table'!$H$2:$H$8,MATCH('TE_OA_20200805_INTRDY_2020-08-0'!I718,'Pipe Table'!$G$2:$G$8,0))</f>
        <v>TETCO-M2</v>
      </c>
      <c r="G737" t="str">
        <f>INDEX(TeAllPoints!$D$2:$D$957,MATCH(Filter!B737,TeAllPoints!$B$2:$B$957,0))</f>
        <v>PA</v>
      </c>
      <c r="H737" t="str">
        <f>INDEX(TeAllPoints!$E$2:$E$957,MATCH(Filter!B737,TeAllPoints!$B$2:$B$957,0))</f>
        <v>WESTMORELAND</v>
      </c>
      <c r="I737">
        <f>INDEX('TE_OA_20200805_INTRDY_2020-08-0'!$Q$2:$Q$870,MATCH(Filter!B737,'TE_OA_20200805_INTRDY_2020-08-0'!$G$2:$G$870))</f>
        <v>1428292</v>
      </c>
      <c r="J737">
        <f>INDEX('TE_OA_20200805_INTRDY_2020-08-0'!$R$2:$R$870,MATCH(Filter!B737,'TE_OA_20200805_INTRDY_2020-08-0'!$G$2:$G$870))</f>
        <v>330489</v>
      </c>
    </row>
    <row r="738" spans="1:10" x14ac:dyDescent="0.25">
      <c r="A738" t="str">
        <f>INDEX('Pipe Table'!$E$2:$E$10,MATCH(INDEX('TE_OA_20200805_INTRDY_2020-08-0'!$T$2:$T$870,MATCH(Filter!B738,'TE_OA_20200805_INTRDY_2020-08-0'!$G$2:$G$870,0)),'Pipe Table'!$D$2:$D$10,0))</f>
        <v>TETCO</v>
      </c>
      <c r="B738">
        <v>75082</v>
      </c>
      <c r="C738" t="str">
        <f>INDEX('TE_OA_20200805_INTRDY_2020-08-0'!$J$2:$J$870,MATCH(Filter!B738,'TE_OA_20200805_INTRDY_2020-08-0'!$G$2:$G$870))</f>
        <v>Storage Withdrawal</v>
      </c>
      <c r="D738" t="str">
        <f>INDEX('Pipe Table'!$B$2:$B$14,MATCH(INDEX(TeAllPoints!$I$2:$I$957,MATCH(Filter!B738,TeAllPoints!$B$2:$B$957,0)),'Pipe Table'!$A$2:$A$14,0))</f>
        <v>Stor</v>
      </c>
      <c r="E738" t="str">
        <f>INDEX('TE_OA_20200805_INTRDY_2020-08-0'!$H$2:$H$870,MATCH(Filter!B738,'TE_OA_20200805_INTRDY_2020-08-0'!$G$2:$G$870))</f>
        <v>DTI - OAKFORD, PA-(D70082/R76082)</v>
      </c>
      <c r="F738" t="str">
        <f>INDEX('Pipe Table'!$H$2:$H$8,MATCH('TE_OA_20200805_INTRDY_2020-08-0'!I719,'Pipe Table'!$G$2:$G$8,0))</f>
        <v>TETCO-M2</v>
      </c>
      <c r="G738" t="str">
        <f>INDEX(TeAllPoints!$D$2:$D$957,MATCH(Filter!B738,TeAllPoints!$B$2:$B$957,0))</f>
        <v>PA</v>
      </c>
      <c r="H738" t="str">
        <f>INDEX(TeAllPoints!$E$2:$E$957,MATCH(Filter!B738,TeAllPoints!$B$2:$B$957,0))</f>
        <v>WESTMORELAND</v>
      </c>
      <c r="I738">
        <f>INDEX('TE_OA_20200805_INTRDY_2020-08-0'!$Q$2:$Q$870,MATCH(Filter!B738,'TE_OA_20200805_INTRDY_2020-08-0'!$G$2:$G$870))</f>
        <v>1428292</v>
      </c>
      <c r="J738">
        <f>INDEX('TE_OA_20200805_INTRDY_2020-08-0'!$R$2:$R$870,MATCH(Filter!B738,'TE_OA_20200805_INTRDY_2020-08-0'!$G$2:$G$870))</f>
        <v>330489</v>
      </c>
    </row>
    <row r="739" spans="1:10" x14ac:dyDescent="0.25">
      <c r="A739" t="str">
        <f>INDEX('Pipe Table'!$E$2:$E$10,MATCH(INDEX('TE_OA_20200805_INTRDY_2020-08-0'!$T$2:$T$870,MATCH(Filter!B739,'TE_OA_20200805_INTRDY_2020-08-0'!$G$2:$G$870,0)),'Pipe Table'!$D$2:$D$10,0))</f>
        <v>TETCO</v>
      </c>
      <c r="B739">
        <v>75111</v>
      </c>
      <c r="C739" t="str">
        <f>INDEX('TE_OA_20200805_INTRDY_2020-08-0'!$J$2:$J$870,MATCH(Filter!B739,'TE_OA_20200805_INTRDY_2020-08-0'!$G$2:$G$870))</f>
        <v>Receipt</v>
      </c>
      <c r="D739" t="str">
        <f>INDEX('Pipe Table'!$B$2:$B$14,MATCH(INDEX(TeAllPoints!$I$2:$I$957,MATCH(Filter!B739,TeAllPoints!$B$2:$B$957,0)),'Pipe Table'!$A$2:$A$14,0))</f>
        <v>Intrcnnct</v>
      </c>
      <c r="E739" t="str">
        <f>INDEX('TE_OA_20200805_INTRDY_2020-08-0'!$H$2:$H$870,MATCH(Filter!B739,'TE_OA_20200805_INTRDY_2020-08-0'!$G$2:$G$870))</f>
        <v>EQM GATHERING - BONNETHEAD (BI-DI D 74110/R 74111)</v>
      </c>
      <c r="F739" t="str">
        <f>INDEX('Pipe Table'!$H$2:$H$8,MATCH('TE_OA_20200805_INTRDY_2020-08-0'!I720,'Pipe Table'!$G$2:$G$8,0))</f>
        <v>TETCO-M2</v>
      </c>
      <c r="G739" t="str">
        <f>INDEX(TeAllPoints!$D$2:$D$957,MATCH(Filter!B739,TeAllPoints!$B$2:$B$957,0))</f>
        <v>PA</v>
      </c>
      <c r="H739" t="str">
        <f>INDEX(TeAllPoints!$E$2:$E$957,MATCH(Filter!B739,TeAllPoints!$B$2:$B$957,0))</f>
        <v>GREENE</v>
      </c>
      <c r="I739">
        <f>INDEX('TE_OA_20200805_INTRDY_2020-08-0'!$Q$2:$Q$870,MATCH(Filter!B739,'TE_OA_20200805_INTRDY_2020-08-0'!$G$2:$G$870))</f>
        <v>915937</v>
      </c>
      <c r="J739">
        <f>INDEX('TE_OA_20200805_INTRDY_2020-08-0'!$R$2:$R$870,MATCH(Filter!B739,'TE_OA_20200805_INTRDY_2020-08-0'!$G$2:$G$870))</f>
        <v>0</v>
      </c>
    </row>
    <row r="740" spans="1:10" x14ac:dyDescent="0.25">
      <c r="A740" t="str">
        <f>INDEX('Pipe Table'!$E$2:$E$10,MATCH(INDEX('TE_OA_20200805_INTRDY_2020-08-0'!$T$2:$T$870,MATCH(Filter!B740,'TE_OA_20200805_INTRDY_2020-08-0'!$G$2:$G$870,0)),'Pipe Table'!$D$2:$D$10,0))</f>
        <v>TETCO</v>
      </c>
      <c r="B740">
        <v>75131</v>
      </c>
      <c r="C740" t="str">
        <f>INDEX('TE_OA_20200805_INTRDY_2020-08-0'!$J$2:$J$870,MATCH(Filter!B740,'TE_OA_20200805_INTRDY_2020-08-0'!$G$2:$G$870))</f>
        <v>Storage Injection</v>
      </c>
      <c r="D740" t="e">
        <f>INDEX('Pipe Table'!$B$2:$B$14,MATCH(INDEX(TeAllPoints!$I$2:$I$957,MATCH(Filter!B740,TeAllPoints!$B$2:$B$957,0)),'Pipe Table'!$A$2:$A$14,0))</f>
        <v>#N/A</v>
      </c>
      <c r="E740" t="str">
        <f>INDEX('TE_OA_20200805_INTRDY_2020-08-0'!$H$2:$H$870,MATCH(Filter!B740,'TE_OA_20200805_INTRDY_2020-08-0'!$G$2:$G$870))</f>
        <v>TETCO - ACCIDENT FIELD, M.M., MD</v>
      </c>
      <c r="F740" t="str">
        <f>INDEX('Pipe Table'!$H$2:$H$8,MATCH('TE_OA_20200805_INTRDY_2020-08-0'!I721,'Pipe Table'!$G$2:$G$8,0))</f>
        <v>TETCO-M2</v>
      </c>
      <c r="G740" t="e">
        <f>INDEX(TeAllPoints!$D$2:$D$957,MATCH(Filter!B740,TeAllPoints!$B$2:$B$957,0))</f>
        <v>#N/A</v>
      </c>
      <c r="H740" t="e">
        <f>INDEX(TeAllPoints!$E$2:$E$957,MATCH(Filter!B740,TeAllPoints!$B$2:$B$957,0))</f>
        <v>#N/A</v>
      </c>
      <c r="I740">
        <f>INDEX('TE_OA_20200805_INTRDY_2020-08-0'!$Q$2:$Q$870,MATCH(Filter!B740,'TE_OA_20200805_INTRDY_2020-08-0'!$G$2:$G$870))</f>
        <v>580822</v>
      </c>
      <c r="J740">
        <f>INDEX('TE_OA_20200805_INTRDY_2020-08-0'!$R$2:$R$870,MATCH(Filter!B740,'TE_OA_20200805_INTRDY_2020-08-0'!$G$2:$G$870))</f>
        <v>22876</v>
      </c>
    </row>
    <row r="741" spans="1:10" x14ac:dyDescent="0.25">
      <c r="A741" t="str">
        <f>INDEX('Pipe Table'!$E$2:$E$10,MATCH(INDEX('TE_OA_20200805_INTRDY_2020-08-0'!$T$2:$T$870,MATCH(Filter!B741,'TE_OA_20200805_INTRDY_2020-08-0'!$G$2:$G$870,0)),'Pipe Table'!$D$2:$D$10,0))</f>
        <v>TETCO</v>
      </c>
      <c r="B741">
        <v>75131</v>
      </c>
      <c r="C741" t="str">
        <f>INDEX('TE_OA_20200805_INTRDY_2020-08-0'!$J$2:$J$870,MATCH(Filter!B741,'TE_OA_20200805_INTRDY_2020-08-0'!$G$2:$G$870))</f>
        <v>Storage Injection</v>
      </c>
      <c r="D741" t="e">
        <f>INDEX('Pipe Table'!$B$2:$B$14,MATCH(INDEX(TeAllPoints!$I$2:$I$957,MATCH(Filter!B741,TeAllPoints!$B$2:$B$957,0)),'Pipe Table'!$A$2:$A$14,0))</f>
        <v>#N/A</v>
      </c>
      <c r="E741" t="str">
        <f>INDEX('TE_OA_20200805_INTRDY_2020-08-0'!$H$2:$H$870,MATCH(Filter!B741,'TE_OA_20200805_INTRDY_2020-08-0'!$G$2:$G$870))</f>
        <v>TETCO - ACCIDENT FIELD, M.M., MD</v>
      </c>
      <c r="F741" t="str">
        <f>INDEX('Pipe Table'!$H$2:$H$8,MATCH('TE_OA_20200805_INTRDY_2020-08-0'!I722,'Pipe Table'!$G$2:$G$8,0))</f>
        <v>TETCO-M2</v>
      </c>
      <c r="G741" t="e">
        <f>INDEX(TeAllPoints!$D$2:$D$957,MATCH(Filter!B741,TeAllPoints!$B$2:$B$957,0))</f>
        <v>#N/A</v>
      </c>
      <c r="H741" t="e">
        <f>INDEX(TeAllPoints!$E$2:$E$957,MATCH(Filter!B741,TeAllPoints!$B$2:$B$957,0))</f>
        <v>#N/A</v>
      </c>
      <c r="I741">
        <f>INDEX('TE_OA_20200805_INTRDY_2020-08-0'!$Q$2:$Q$870,MATCH(Filter!B741,'TE_OA_20200805_INTRDY_2020-08-0'!$G$2:$G$870))</f>
        <v>580822</v>
      </c>
      <c r="J741">
        <f>INDEX('TE_OA_20200805_INTRDY_2020-08-0'!$R$2:$R$870,MATCH(Filter!B741,'TE_OA_20200805_INTRDY_2020-08-0'!$G$2:$G$870))</f>
        <v>22876</v>
      </c>
    </row>
    <row r="742" spans="1:10" x14ac:dyDescent="0.25">
      <c r="A742" t="str">
        <f>INDEX('Pipe Table'!$E$2:$E$10,MATCH(INDEX('TE_OA_20200805_INTRDY_2020-08-0'!$T$2:$T$870,MATCH(Filter!B742,'TE_OA_20200805_INTRDY_2020-08-0'!$G$2:$G$870,0)),'Pipe Table'!$D$2:$D$10,0))</f>
        <v>TETCO</v>
      </c>
      <c r="B742">
        <v>75188</v>
      </c>
      <c r="C742" t="str">
        <f>INDEX('TE_OA_20200805_INTRDY_2020-08-0'!$J$2:$J$870,MATCH(Filter!B742,'TE_OA_20200805_INTRDY_2020-08-0'!$G$2:$G$870))</f>
        <v>Storage Withdrawal</v>
      </c>
      <c r="D742" t="str">
        <f>INDEX('Pipe Table'!$B$2:$B$14,MATCH(INDEX(TeAllPoints!$I$2:$I$957,MATCH(Filter!B742,TeAllPoints!$B$2:$B$957,0)),'Pipe Table'!$A$2:$A$14,0))</f>
        <v>Stor</v>
      </c>
      <c r="E742" t="str">
        <f>INDEX('TE_OA_20200805_INTRDY_2020-08-0'!$H$2:$H$870,MATCH(Filter!B742,'TE_OA_20200805_INTRDY_2020-08-0'!$G$2:$G$870))</f>
        <v>DTI - LEIDY STORAGE #2-(D73188/R76188)</v>
      </c>
      <c r="F742" t="str">
        <f>INDEX('Pipe Table'!$H$2:$H$8,MATCH('TE_OA_20200805_INTRDY_2020-08-0'!I723,'Pipe Table'!$G$2:$G$8,0))</f>
        <v>TETCO-M3</v>
      </c>
      <c r="G742" t="str">
        <f>INDEX(TeAllPoints!$D$2:$D$957,MATCH(Filter!B742,TeAllPoints!$B$2:$B$957,0))</f>
        <v>PA</v>
      </c>
      <c r="H742" t="str">
        <f>INDEX(TeAllPoints!$E$2:$E$957,MATCH(Filter!B742,TeAllPoints!$B$2:$B$957,0))</f>
        <v>CLINTON</v>
      </c>
      <c r="I742">
        <f>INDEX('TE_OA_20200805_INTRDY_2020-08-0'!$Q$2:$Q$870,MATCH(Filter!B742,'TE_OA_20200805_INTRDY_2020-08-0'!$G$2:$G$870))</f>
        <v>434209</v>
      </c>
      <c r="J742">
        <f>INDEX('TE_OA_20200805_INTRDY_2020-08-0'!$R$2:$R$870,MATCH(Filter!B742,'TE_OA_20200805_INTRDY_2020-08-0'!$G$2:$G$870))</f>
        <v>0</v>
      </c>
    </row>
    <row r="743" spans="1:10" x14ac:dyDescent="0.25">
      <c r="A743" t="str">
        <f>INDEX('Pipe Table'!$E$2:$E$10,MATCH(INDEX('TE_OA_20200805_INTRDY_2020-08-0'!$T$2:$T$870,MATCH(Filter!B743,'TE_OA_20200805_INTRDY_2020-08-0'!$G$2:$G$870,0)),'Pipe Table'!$D$2:$D$10,0))</f>
        <v>TETCO</v>
      </c>
      <c r="B743">
        <v>75188</v>
      </c>
      <c r="C743" t="str">
        <f>INDEX('TE_OA_20200805_INTRDY_2020-08-0'!$J$2:$J$870,MATCH(Filter!B743,'TE_OA_20200805_INTRDY_2020-08-0'!$G$2:$G$870))</f>
        <v>Storage Withdrawal</v>
      </c>
      <c r="D743" t="str">
        <f>INDEX('Pipe Table'!$B$2:$B$14,MATCH(INDEX(TeAllPoints!$I$2:$I$957,MATCH(Filter!B743,TeAllPoints!$B$2:$B$957,0)),'Pipe Table'!$A$2:$A$14,0))</f>
        <v>Stor</v>
      </c>
      <c r="E743" t="str">
        <f>INDEX('TE_OA_20200805_INTRDY_2020-08-0'!$H$2:$H$870,MATCH(Filter!B743,'TE_OA_20200805_INTRDY_2020-08-0'!$G$2:$G$870))</f>
        <v>DTI - LEIDY STORAGE #2-(D73188/R76188)</v>
      </c>
      <c r="F743" t="str">
        <f>INDEX('Pipe Table'!$H$2:$H$8,MATCH('TE_OA_20200805_INTRDY_2020-08-0'!I724,'Pipe Table'!$G$2:$G$8,0))</f>
        <v>TETCO-M3</v>
      </c>
      <c r="G743" t="str">
        <f>INDEX(TeAllPoints!$D$2:$D$957,MATCH(Filter!B743,TeAllPoints!$B$2:$B$957,0))</f>
        <v>PA</v>
      </c>
      <c r="H743" t="str">
        <f>INDEX(TeAllPoints!$E$2:$E$957,MATCH(Filter!B743,TeAllPoints!$B$2:$B$957,0))</f>
        <v>CLINTON</v>
      </c>
      <c r="I743">
        <f>INDEX('TE_OA_20200805_INTRDY_2020-08-0'!$Q$2:$Q$870,MATCH(Filter!B743,'TE_OA_20200805_INTRDY_2020-08-0'!$G$2:$G$870))</f>
        <v>434209</v>
      </c>
      <c r="J743">
        <f>INDEX('TE_OA_20200805_INTRDY_2020-08-0'!$R$2:$R$870,MATCH(Filter!B743,'TE_OA_20200805_INTRDY_2020-08-0'!$G$2:$G$870))</f>
        <v>0</v>
      </c>
    </row>
    <row r="744" spans="1:10" x14ac:dyDescent="0.25">
      <c r="A744" t="str">
        <f>INDEX('Pipe Table'!$E$2:$E$10,MATCH(INDEX('TE_OA_20200805_INTRDY_2020-08-0'!$T$2:$T$870,MATCH(Filter!B744,'TE_OA_20200805_INTRDY_2020-08-0'!$G$2:$G$870,0)),'Pipe Table'!$D$2:$D$10,0))</f>
        <v>TETCO</v>
      </c>
      <c r="B744">
        <v>75258</v>
      </c>
      <c r="C744" t="str">
        <f>INDEX('TE_OA_20200805_INTRDY_2020-08-0'!$J$2:$J$870,MATCH(Filter!B744,'TE_OA_20200805_INTRDY_2020-08-0'!$G$2:$G$870))</f>
        <v>Receipt</v>
      </c>
      <c r="D744" t="str">
        <f>INDEX('Pipe Table'!$B$2:$B$14,MATCH(INDEX(TeAllPoints!$I$2:$I$957,MATCH(Filter!B744,TeAllPoints!$B$2:$B$957,0)),'Pipe Table'!$A$2:$A$14,0))</f>
        <v>EndUsr</v>
      </c>
      <c r="E744" t="str">
        <f>INDEX('TE_OA_20200805_INTRDY_2020-08-0'!$H$2:$H$870,MATCH(Filter!B744,'TE_OA_20200805_INTRDY_2020-08-0'!$G$2:$G$870))</f>
        <v>MAGIC VALLEY PL-CALPINE-POWER PROJECT(D73258/R73259)</v>
      </c>
      <c r="F744" t="str">
        <f>INDEX('Pipe Table'!$H$2:$H$8,MATCH('TE_OA_20200805_INTRDY_2020-08-0'!I725,'Pipe Table'!$G$2:$G$8,0))</f>
        <v>TETCO-STX</v>
      </c>
      <c r="G744" t="str">
        <f>INDEX(TeAllPoints!$D$2:$D$957,MATCH(Filter!B744,TeAllPoints!$B$2:$B$957,0))</f>
        <v>TX</v>
      </c>
      <c r="H744" t="str">
        <f>INDEX(TeAllPoints!$E$2:$E$957,MATCH(Filter!B744,TeAllPoints!$B$2:$B$957,0))</f>
        <v>HIDALGO</v>
      </c>
      <c r="I744">
        <f>INDEX('TE_OA_20200805_INTRDY_2020-08-0'!$Q$2:$Q$870,MATCH(Filter!B744,'TE_OA_20200805_INTRDY_2020-08-0'!$G$2:$G$870))</f>
        <v>229178</v>
      </c>
      <c r="J744">
        <f>INDEX('TE_OA_20200805_INTRDY_2020-08-0'!$R$2:$R$870,MATCH(Filter!B744,'TE_OA_20200805_INTRDY_2020-08-0'!$G$2:$G$870))</f>
        <v>0</v>
      </c>
    </row>
    <row r="745" spans="1:10" x14ac:dyDescent="0.25">
      <c r="A745" t="str">
        <f>INDEX('Pipe Table'!$E$2:$E$10,MATCH(INDEX('TE_OA_20200805_INTRDY_2020-08-0'!$T$2:$T$870,MATCH(Filter!B745,'TE_OA_20200805_INTRDY_2020-08-0'!$G$2:$G$870,0)),'Pipe Table'!$D$2:$D$10,0))</f>
        <v>TETCO</v>
      </c>
      <c r="B745">
        <v>75258</v>
      </c>
      <c r="C745" t="str">
        <f>INDEX('TE_OA_20200805_INTRDY_2020-08-0'!$J$2:$J$870,MATCH(Filter!B745,'TE_OA_20200805_INTRDY_2020-08-0'!$G$2:$G$870))</f>
        <v>Receipt</v>
      </c>
      <c r="D745" t="str">
        <f>INDEX('Pipe Table'!$B$2:$B$14,MATCH(INDEX(TeAllPoints!$I$2:$I$957,MATCH(Filter!B745,TeAllPoints!$B$2:$B$957,0)),'Pipe Table'!$A$2:$A$14,0))</f>
        <v>EndUsr</v>
      </c>
      <c r="E745" t="str">
        <f>INDEX('TE_OA_20200805_INTRDY_2020-08-0'!$H$2:$H$870,MATCH(Filter!B745,'TE_OA_20200805_INTRDY_2020-08-0'!$G$2:$G$870))</f>
        <v>MAGIC VALLEY PL-CALPINE-POWER PROJECT(D73258/R73259)</v>
      </c>
      <c r="F745" t="str">
        <f>INDEX('Pipe Table'!$H$2:$H$8,MATCH('TE_OA_20200805_INTRDY_2020-08-0'!I726,'Pipe Table'!$G$2:$G$8,0))</f>
        <v>TETCO-STX</v>
      </c>
      <c r="G745" t="str">
        <f>INDEX(TeAllPoints!$D$2:$D$957,MATCH(Filter!B745,TeAllPoints!$B$2:$B$957,0))</f>
        <v>TX</v>
      </c>
      <c r="H745" t="str">
        <f>INDEX(TeAllPoints!$E$2:$E$957,MATCH(Filter!B745,TeAllPoints!$B$2:$B$957,0))</f>
        <v>HIDALGO</v>
      </c>
      <c r="I745">
        <f>INDEX('TE_OA_20200805_INTRDY_2020-08-0'!$Q$2:$Q$870,MATCH(Filter!B745,'TE_OA_20200805_INTRDY_2020-08-0'!$G$2:$G$870))</f>
        <v>229178</v>
      </c>
      <c r="J745">
        <f>INDEX('TE_OA_20200805_INTRDY_2020-08-0'!$R$2:$R$870,MATCH(Filter!B745,'TE_OA_20200805_INTRDY_2020-08-0'!$G$2:$G$870))</f>
        <v>0</v>
      </c>
    </row>
    <row r="746" spans="1:10" x14ac:dyDescent="0.25">
      <c r="A746" t="str">
        <f>INDEX('Pipe Table'!$E$2:$E$10,MATCH(INDEX('TE_OA_20200805_INTRDY_2020-08-0'!$T$2:$T$870,MATCH(Filter!B746,'TE_OA_20200805_INTRDY_2020-08-0'!$G$2:$G$870,0)),'Pipe Table'!$D$2:$D$10,0))</f>
        <v>TETCO</v>
      </c>
      <c r="B746">
        <v>75275</v>
      </c>
      <c r="C746" t="str">
        <f>INDEX('TE_OA_20200805_INTRDY_2020-08-0'!$J$2:$J$870,MATCH(Filter!B746,'TE_OA_20200805_INTRDY_2020-08-0'!$G$2:$G$870))</f>
        <v>Receipt</v>
      </c>
      <c r="D746" t="str">
        <f>INDEX('Pipe Table'!$B$2:$B$14,MATCH(INDEX(TeAllPoints!$I$2:$I$957,MATCH(Filter!B746,TeAllPoints!$B$2:$B$957,0)),'Pipe Table'!$A$2:$A$14,0))</f>
        <v>Intrcnnct</v>
      </c>
      <c r="E746" t="str">
        <f>INDEX('TE_OA_20200805_INTRDY_2020-08-0'!$H$2:$H$870,MATCH(Filter!B746,'TE_OA_20200805_INTRDY_2020-08-0'!$G$2:$G$870))</f>
        <v>CARNEGIE NATURAL GAS - WAYNESBURG, PA-(D71275/R76275)</v>
      </c>
      <c r="F746" t="str">
        <f>INDEX('Pipe Table'!$H$2:$H$8,MATCH('TE_OA_20200805_INTRDY_2020-08-0'!I727,'Pipe Table'!$G$2:$G$8,0))</f>
        <v>TETCO-M2</v>
      </c>
      <c r="G746" t="str">
        <f>INDEX(TeAllPoints!$D$2:$D$957,MATCH(Filter!B746,TeAllPoints!$B$2:$B$957,0))</f>
        <v>PA</v>
      </c>
      <c r="H746" t="str">
        <f>INDEX(TeAllPoints!$E$2:$E$957,MATCH(Filter!B746,TeAllPoints!$B$2:$B$957,0))</f>
        <v>GREENE</v>
      </c>
      <c r="I746">
        <f>INDEX('TE_OA_20200805_INTRDY_2020-08-0'!$Q$2:$Q$870,MATCH(Filter!B746,'TE_OA_20200805_INTRDY_2020-08-0'!$G$2:$G$870))</f>
        <v>102383</v>
      </c>
      <c r="J746">
        <f>INDEX('TE_OA_20200805_INTRDY_2020-08-0'!$R$2:$R$870,MATCH(Filter!B746,'TE_OA_20200805_INTRDY_2020-08-0'!$G$2:$G$870))</f>
        <v>27000</v>
      </c>
    </row>
    <row r="747" spans="1:10" x14ac:dyDescent="0.25">
      <c r="A747" t="str">
        <f>INDEX('Pipe Table'!$E$2:$E$10,MATCH(INDEX('TE_OA_20200805_INTRDY_2020-08-0'!$T$2:$T$870,MATCH(Filter!B747,'TE_OA_20200805_INTRDY_2020-08-0'!$G$2:$G$870,0)),'Pipe Table'!$D$2:$D$10,0))</f>
        <v>TETCO</v>
      </c>
      <c r="B747">
        <v>75275</v>
      </c>
      <c r="C747" t="str">
        <f>INDEX('TE_OA_20200805_INTRDY_2020-08-0'!$J$2:$J$870,MATCH(Filter!B747,'TE_OA_20200805_INTRDY_2020-08-0'!$G$2:$G$870))</f>
        <v>Receipt</v>
      </c>
      <c r="D747" t="str">
        <f>INDEX('Pipe Table'!$B$2:$B$14,MATCH(INDEX(TeAllPoints!$I$2:$I$957,MATCH(Filter!B747,TeAllPoints!$B$2:$B$957,0)),'Pipe Table'!$A$2:$A$14,0))</f>
        <v>Intrcnnct</v>
      </c>
      <c r="E747" t="str">
        <f>INDEX('TE_OA_20200805_INTRDY_2020-08-0'!$H$2:$H$870,MATCH(Filter!B747,'TE_OA_20200805_INTRDY_2020-08-0'!$G$2:$G$870))</f>
        <v>CARNEGIE NATURAL GAS - WAYNESBURG, PA-(D71275/R76275)</v>
      </c>
      <c r="F747" t="str">
        <f>INDEX('Pipe Table'!$H$2:$H$8,MATCH('TE_OA_20200805_INTRDY_2020-08-0'!I728,'Pipe Table'!$G$2:$G$8,0))</f>
        <v>TETCO-M2</v>
      </c>
      <c r="G747" t="str">
        <f>INDEX(TeAllPoints!$D$2:$D$957,MATCH(Filter!B747,TeAllPoints!$B$2:$B$957,0))</f>
        <v>PA</v>
      </c>
      <c r="H747" t="str">
        <f>INDEX(TeAllPoints!$E$2:$E$957,MATCH(Filter!B747,TeAllPoints!$B$2:$B$957,0))</f>
        <v>GREENE</v>
      </c>
      <c r="I747">
        <f>INDEX('TE_OA_20200805_INTRDY_2020-08-0'!$Q$2:$Q$870,MATCH(Filter!B747,'TE_OA_20200805_INTRDY_2020-08-0'!$G$2:$G$870))</f>
        <v>102383</v>
      </c>
      <c r="J747">
        <f>INDEX('TE_OA_20200805_INTRDY_2020-08-0'!$R$2:$R$870,MATCH(Filter!B747,'TE_OA_20200805_INTRDY_2020-08-0'!$G$2:$G$870))</f>
        <v>27000</v>
      </c>
    </row>
    <row r="748" spans="1:10" x14ac:dyDescent="0.25">
      <c r="A748" t="str">
        <f>INDEX('Pipe Table'!$E$2:$E$10,MATCH(INDEX('TE_OA_20200805_INTRDY_2020-08-0'!$T$2:$T$870,MATCH(Filter!B748,'TE_OA_20200805_INTRDY_2020-08-0'!$G$2:$G$870,0)),'Pipe Table'!$D$2:$D$10,0))</f>
        <v>TETCO</v>
      </c>
      <c r="B748">
        <v>75300</v>
      </c>
      <c r="C748" t="str">
        <f>INDEX('TE_OA_20200805_INTRDY_2020-08-0'!$J$2:$J$870,MATCH(Filter!B748,'TE_OA_20200805_INTRDY_2020-08-0'!$G$2:$G$870))</f>
        <v>Receipt</v>
      </c>
      <c r="D748" t="str">
        <f>INDEX('Pipe Table'!$B$2:$B$14,MATCH(INDEX(TeAllPoints!$I$2:$I$957,MATCH(Filter!B748,TeAllPoints!$B$2:$B$957,0)),'Pipe Table'!$A$2:$A$14,0))</f>
        <v>Intrcnnct</v>
      </c>
      <c r="E748" t="str">
        <f>INDEX('TE_OA_20200805_INTRDY_2020-08-0'!$H$2:$H$870,MATCH(Filter!B748,'TE_OA_20200805_INTRDY_2020-08-0'!$G$2:$G$870))</f>
        <v>KINDER MORGAN TEJAS - CLEAR LK. STOR-(D73299/R73300)</v>
      </c>
      <c r="F748" t="str">
        <f>INDEX('Pipe Table'!$H$2:$H$8,MATCH('TE_OA_20200805_INTRDY_2020-08-0'!I729,'Pipe Table'!$G$2:$G$8,0))</f>
        <v>TETCO-STX</v>
      </c>
      <c r="G748" t="str">
        <f>INDEX(TeAllPoints!$D$2:$D$957,MATCH(Filter!B748,TeAllPoints!$B$2:$B$957,0))</f>
        <v>TX</v>
      </c>
      <c r="H748" t="str">
        <f>INDEX(TeAllPoints!$E$2:$E$957,MATCH(Filter!B748,TeAllPoints!$B$2:$B$957,0))</f>
        <v>HARRIS</v>
      </c>
      <c r="I748">
        <f>INDEX('TE_OA_20200805_INTRDY_2020-08-0'!$Q$2:$Q$870,MATCH(Filter!B748,'TE_OA_20200805_INTRDY_2020-08-0'!$G$2:$G$870))</f>
        <v>167545</v>
      </c>
      <c r="J748">
        <f>INDEX('TE_OA_20200805_INTRDY_2020-08-0'!$R$2:$R$870,MATCH(Filter!B748,'TE_OA_20200805_INTRDY_2020-08-0'!$G$2:$G$870))</f>
        <v>0</v>
      </c>
    </row>
    <row r="749" spans="1:10" x14ac:dyDescent="0.25">
      <c r="A749" t="str">
        <f>INDEX('Pipe Table'!$E$2:$E$10,MATCH(INDEX('TE_OA_20200805_INTRDY_2020-08-0'!$T$2:$T$870,MATCH(Filter!B749,'TE_OA_20200805_INTRDY_2020-08-0'!$G$2:$G$870,0)),'Pipe Table'!$D$2:$D$10,0))</f>
        <v>TETCO</v>
      </c>
      <c r="B749">
        <v>75300</v>
      </c>
      <c r="C749" t="str">
        <f>INDEX('TE_OA_20200805_INTRDY_2020-08-0'!$J$2:$J$870,MATCH(Filter!B749,'TE_OA_20200805_INTRDY_2020-08-0'!$G$2:$G$870))</f>
        <v>Receipt</v>
      </c>
      <c r="D749" t="str">
        <f>INDEX('Pipe Table'!$B$2:$B$14,MATCH(INDEX(TeAllPoints!$I$2:$I$957,MATCH(Filter!B749,TeAllPoints!$B$2:$B$957,0)),'Pipe Table'!$A$2:$A$14,0))</f>
        <v>Intrcnnct</v>
      </c>
      <c r="E749" t="str">
        <f>INDEX('TE_OA_20200805_INTRDY_2020-08-0'!$H$2:$H$870,MATCH(Filter!B749,'TE_OA_20200805_INTRDY_2020-08-0'!$G$2:$G$870))</f>
        <v>KINDER MORGAN TEJAS - CLEAR LK. STOR-(D73299/R73300)</v>
      </c>
      <c r="F749" t="str">
        <f>INDEX('Pipe Table'!$H$2:$H$8,MATCH('TE_OA_20200805_INTRDY_2020-08-0'!I730,'Pipe Table'!$G$2:$G$8,0))</f>
        <v>TETCO-STX</v>
      </c>
      <c r="G749" t="str">
        <f>INDEX(TeAllPoints!$D$2:$D$957,MATCH(Filter!B749,TeAllPoints!$B$2:$B$957,0))</f>
        <v>TX</v>
      </c>
      <c r="H749" t="str">
        <f>INDEX(TeAllPoints!$E$2:$E$957,MATCH(Filter!B749,TeAllPoints!$B$2:$B$957,0))</f>
        <v>HARRIS</v>
      </c>
      <c r="I749">
        <f>INDEX('TE_OA_20200805_INTRDY_2020-08-0'!$Q$2:$Q$870,MATCH(Filter!B749,'TE_OA_20200805_INTRDY_2020-08-0'!$G$2:$G$870))</f>
        <v>167545</v>
      </c>
      <c r="J749">
        <f>INDEX('TE_OA_20200805_INTRDY_2020-08-0'!$R$2:$R$870,MATCH(Filter!B749,'TE_OA_20200805_INTRDY_2020-08-0'!$G$2:$G$870))</f>
        <v>0</v>
      </c>
    </row>
    <row r="750" spans="1:10" x14ac:dyDescent="0.25">
      <c r="A750" t="str">
        <f>INDEX('Pipe Table'!$E$2:$E$10,MATCH(INDEX('TE_OA_20200805_INTRDY_2020-08-0'!$T$2:$T$870,MATCH(Filter!B750,'TE_OA_20200805_INTRDY_2020-08-0'!$G$2:$G$870,0)),'Pipe Table'!$D$2:$D$10,0))</f>
        <v>TETCO</v>
      </c>
      <c r="B750">
        <v>75301</v>
      </c>
      <c r="C750" t="str">
        <f>INDEX('TE_OA_20200805_INTRDY_2020-08-0'!$J$2:$J$870,MATCH(Filter!B750,'TE_OA_20200805_INTRDY_2020-08-0'!$G$2:$G$870))</f>
        <v>Receipt</v>
      </c>
      <c r="D750" t="str">
        <f>INDEX('Pipe Table'!$B$2:$B$14,MATCH(INDEX(TeAllPoints!$I$2:$I$957,MATCH(Filter!B750,TeAllPoints!$B$2:$B$957,0)),'Pipe Table'!$A$2:$A$14,0))</f>
        <v>EndUsr</v>
      </c>
      <c r="E750" t="str">
        <f>INDEX('TE_OA_20200805_INTRDY_2020-08-0'!$H$2:$H$870,MATCH(Filter!B750,'TE_OA_20200805_INTRDY_2020-08-0'!$G$2:$G$870))</f>
        <v>CALPINE BAYER PWR. PLANT-(D73301/R76301)</v>
      </c>
      <c r="F750" t="str">
        <f>INDEX('Pipe Table'!$H$2:$H$8,MATCH('TE_OA_20200805_INTRDY_2020-08-0'!I731,'Pipe Table'!$G$2:$G$8,0))</f>
        <v>TETCO-STX</v>
      </c>
      <c r="G750" t="str">
        <f>INDEX(TeAllPoints!$D$2:$D$957,MATCH(Filter!B750,TeAllPoints!$B$2:$B$957,0))</f>
        <v>TX</v>
      </c>
      <c r="H750" t="str">
        <f>INDEX(TeAllPoints!$E$2:$E$957,MATCH(Filter!B750,TeAllPoints!$B$2:$B$957,0))</f>
        <v>CHAMBERS</v>
      </c>
      <c r="I750">
        <f>INDEX('TE_OA_20200805_INTRDY_2020-08-0'!$Q$2:$Q$870,MATCH(Filter!B750,'TE_OA_20200805_INTRDY_2020-08-0'!$G$2:$G$870))</f>
        <v>221860</v>
      </c>
      <c r="J750">
        <f>INDEX('TE_OA_20200805_INTRDY_2020-08-0'!$R$2:$R$870,MATCH(Filter!B750,'TE_OA_20200805_INTRDY_2020-08-0'!$G$2:$G$870))</f>
        <v>0</v>
      </c>
    </row>
    <row r="751" spans="1:10" x14ac:dyDescent="0.25">
      <c r="A751" t="str">
        <f>INDEX('Pipe Table'!$E$2:$E$10,MATCH(INDEX('TE_OA_20200805_INTRDY_2020-08-0'!$T$2:$T$870,MATCH(Filter!B751,'TE_OA_20200805_INTRDY_2020-08-0'!$G$2:$G$870,0)),'Pipe Table'!$D$2:$D$10,0))</f>
        <v>TETCO</v>
      </c>
      <c r="B751">
        <v>75301</v>
      </c>
      <c r="C751" t="str">
        <f>INDEX('TE_OA_20200805_INTRDY_2020-08-0'!$J$2:$J$870,MATCH(Filter!B751,'TE_OA_20200805_INTRDY_2020-08-0'!$G$2:$G$870))</f>
        <v>Receipt</v>
      </c>
      <c r="D751" t="str">
        <f>INDEX('Pipe Table'!$B$2:$B$14,MATCH(INDEX(TeAllPoints!$I$2:$I$957,MATCH(Filter!B751,TeAllPoints!$B$2:$B$957,0)),'Pipe Table'!$A$2:$A$14,0))</f>
        <v>EndUsr</v>
      </c>
      <c r="E751" t="str">
        <f>INDEX('TE_OA_20200805_INTRDY_2020-08-0'!$H$2:$H$870,MATCH(Filter!B751,'TE_OA_20200805_INTRDY_2020-08-0'!$G$2:$G$870))</f>
        <v>CALPINE BAYER PWR. PLANT-(D73301/R76301)</v>
      </c>
      <c r="F751" t="str">
        <f>INDEX('Pipe Table'!$H$2:$H$8,MATCH('TE_OA_20200805_INTRDY_2020-08-0'!I732,'Pipe Table'!$G$2:$G$8,0))</f>
        <v>TETCO-STX</v>
      </c>
      <c r="G751" t="str">
        <f>INDEX(TeAllPoints!$D$2:$D$957,MATCH(Filter!B751,TeAllPoints!$B$2:$B$957,0))</f>
        <v>TX</v>
      </c>
      <c r="H751" t="str">
        <f>INDEX(TeAllPoints!$E$2:$E$957,MATCH(Filter!B751,TeAllPoints!$B$2:$B$957,0))</f>
        <v>CHAMBERS</v>
      </c>
      <c r="I751">
        <f>INDEX('TE_OA_20200805_INTRDY_2020-08-0'!$Q$2:$Q$870,MATCH(Filter!B751,'TE_OA_20200805_INTRDY_2020-08-0'!$G$2:$G$870))</f>
        <v>221860</v>
      </c>
      <c r="J751">
        <f>INDEX('TE_OA_20200805_INTRDY_2020-08-0'!$R$2:$R$870,MATCH(Filter!B751,'TE_OA_20200805_INTRDY_2020-08-0'!$G$2:$G$870))</f>
        <v>0</v>
      </c>
    </row>
    <row r="752" spans="1:10" x14ac:dyDescent="0.25">
      <c r="A752" t="str">
        <f>INDEX('Pipe Table'!$E$2:$E$10,MATCH(INDEX('TE_OA_20200805_INTRDY_2020-08-0'!$T$2:$T$870,MATCH(Filter!B752,'TE_OA_20200805_INTRDY_2020-08-0'!$G$2:$G$870,0)),'Pipe Table'!$D$2:$D$10,0))</f>
        <v>TETCO</v>
      </c>
      <c r="B752">
        <v>75332</v>
      </c>
      <c r="C752" t="str">
        <f>INDEX('TE_OA_20200805_INTRDY_2020-08-0'!$J$2:$J$870,MATCH(Filter!B752,'TE_OA_20200805_INTRDY_2020-08-0'!$G$2:$G$870))</f>
        <v>Receipt</v>
      </c>
      <c r="D752" t="str">
        <f>INDEX('Pipe Table'!$B$2:$B$14,MATCH(INDEX(TeAllPoints!$I$2:$I$957,MATCH(Filter!B752,TeAllPoints!$B$2:$B$957,0)),'Pipe Table'!$A$2:$A$14,0))</f>
        <v>Stor</v>
      </c>
      <c r="E752" t="str">
        <f>INDEX('TE_OA_20200805_INTRDY_2020-08-0'!$H$2:$H$870,MATCH(Filter!B752,'TE_OA_20200805_INTRDY_2020-08-0'!$G$2:$G$870))</f>
        <v>EGAN GAS STORAGE (73331 INJ/73332 WD)</v>
      </c>
      <c r="F752" t="str">
        <f>INDEX('Pipe Table'!$H$2:$H$8,MATCH('TE_OA_20200805_INTRDY_2020-08-0'!I733,'Pipe Table'!$G$2:$G$8,0))</f>
        <v>TETCO-WLA</v>
      </c>
      <c r="G752" t="str">
        <f>INDEX(TeAllPoints!$D$2:$D$957,MATCH(Filter!B752,TeAllPoints!$B$2:$B$957,0))</f>
        <v>LA</v>
      </c>
      <c r="H752" t="str">
        <f>INDEX(TeAllPoints!$E$2:$E$957,MATCH(Filter!B752,TeAllPoints!$B$2:$B$957,0))</f>
        <v>EVANGELINE</v>
      </c>
      <c r="I752">
        <f>INDEX('TE_OA_20200805_INTRDY_2020-08-0'!$Q$2:$Q$870,MATCH(Filter!B752,'TE_OA_20200805_INTRDY_2020-08-0'!$G$2:$G$870))</f>
        <v>755800</v>
      </c>
      <c r="J752">
        <f>INDEX('TE_OA_20200805_INTRDY_2020-08-0'!$R$2:$R$870,MATCH(Filter!B752,'TE_OA_20200805_INTRDY_2020-08-0'!$G$2:$G$870))</f>
        <v>102928</v>
      </c>
    </row>
    <row r="753" spans="1:10" x14ac:dyDescent="0.25">
      <c r="A753" t="str">
        <f>INDEX('Pipe Table'!$E$2:$E$10,MATCH(INDEX('TE_OA_20200805_INTRDY_2020-08-0'!$T$2:$T$870,MATCH(Filter!B753,'TE_OA_20200805_INTRDY_2020-08-0'!$G$2:$G$870,0)),'Pipe Table'!$D$2:$D$10,0))</f>
        <v>TETCO</v>
      </c>
      <c r="B753">
        <v>75332</v>
      </c>
      <c r="C753" t="str">
        <f>INDEX('TE_OA_20200805_INTRDY_2020-08-0'!$J$2:$J$870,MATCH(Filter!B753,'TE_OA_20200805_INTRDY_2020-08-0'!$G$2:$G$870))</f>
        <v>Receipt</v>
      </c>
      <c r="D753" t="str">
        <f>INDEX('Pipe Table'!$B$2:$B$14,MATCH(INDEX(TeAllPoints!$I$2:$I$957,MATCH(Filter!B753,TeAllPoints!$B$2:$B$957,0)),'Pipe Table'!$A$2:$A$14,0))</f>
        <v>Stor</v>
      </c>
      <c r="E753" t="str">
        <f>INDEX('TE_OA_20200805_INTRDY_2020-08-0'!$H$2:$H$870,MATCH(Filter!B753,'TE_OA_20200805_INTRDY_2020-08-0'!$G$2:$G$870))</f>
        <v>EGAN GAS STORAGE (73331 INJ/73332 WD)</v>
      </c>
      <c r="F753" t="str">
        <f>INDEX('Pipe Table'!$H$2:$H$8,MATCH('TE_OA_20200805_INTRDY_2020-08-0'!I734,'Pipe Table'!$G$2:$G$8,0))</f>
        <v>TETCO-WLA</v>
      </c>
      <c r="G753" t="str">
        <f>INDEX(TeAllPoints!$D$2:$D$957,MATCH(Filter!B753,TeAllPoints!$B$2:$B$957,0))</f>
        <v>LA</v>
      </c>
      <c r="H753" t="str">
        <f>INDEX(TeAllPoints!$E$2:$E$957,MATCH(Filter!B753,TeAllPoints!$B$2:$B$957,0))</f>
        <v>EVANGELINE</v>
      </c>
      <c r="I753">
        <f>INDEX('TE_OA_20200805_INTRDY_2020-08-0'!$Q$2:$Q$870,MATCH(Filter!B753,'TE_OA_20200805_INTRDY_2020-08-0'!$G$2:$G$870))</f>
        <v>755800</v>
      </c>
      <c r="J753">
        <f>INDEX('TE_OA_20200805_INTRDY_2020-08-0'!$R$2:$R$870,MATCH(Filter!B753,'TE_OA_20200805_INTRDY_2020-08-0'!$G$2:$G$870))</f>
        <v>102928</v>
      </c>
    </row>
    <row r="754" spans="1:10" x14ac:dyDescent="0.25">
      <c r="A754" t="str">
        <f>INDEX('Pipe Table'!$E$2:$E$10,MATCH(INDEX('TE_OA_20200805_INTRDY_2020-08-0'!$T$2:$T$870,MATCH(Filter!B754,'TE_OA_20200805_INTRDY_2020-08-0'!$G$2:$G$870,0)),'Pipe Table'!$D$2:$D$10,0))</f>
        <v>TETCO</v>
      </c>
      <c r="B754">
        <v>75333</v>
      </c>
      <c r="C754" t="str">
        <f>INDEX('TE_OA_20200805_INTRDY_2020-08-0'!$J$2:$J$870,MATCH(Filter!B754,'TE_OA_20200805_INTRDY_2020-08-0'!$G$2:$G$870))</f>
        <v>Receipt</v>
      </c>
      <c r="D754" t="str">
        <f>INDEX('Pipe Table'!$B$2:$B$14,MATCH(INDEX(TeAllPoints!$I$2:$I$957,MATCH(Filter!B754,TeAllPoints!$B$2:$B$957,0)),'Pipe Table'!$A$2:$A$14,0))</f>
        <v>Intrcnnct</v>
      </c>
      <c r="E754" t="str">
        <f>INDEX('TE_OA_20200805_INTRDY_2020-08-0'!$H$2:$H$870,MATCH(Filter!B754,'TE_OA_20200805_INTRDY_2020-08-0'!$G$2:$G$870))</f>
        <v>PEMEX - REYNOSA, MX (D 70333/R 76333)</v>
      </c>
      <c r="F754" t="str">
        <f>INDEX('Pipe Table'!$H$2:$H$8,MATCH('TE_OA_20200805_INTRDY_2020-08-0'!I735,'Pipe Table'!$G$2:$G$8,0))</f>
        <v>TETCO-STX</v>
      </c>
      <c r="G754" t="str">
        <f>INDEX(TeAllPoints!$D$2:$D$957,MATCH(Filter!B754,TeAllPoints!$B$2:$B$957,0))</f>
        <v>TX</v>
      </c>
      <c r="H754" t="str">
        <f>INDEX(TeAllPoints!$E$2:$E$957,MATCH(Filter!B754,TeAllPoints!$B$2:$B$957,0))</f>
        <v>HIDALGO</v>
      </c>
      <c r="I754">
        <f>INDEX('TE_OA_20200805_INTRDY_2020-08-0'!$Q$2:$Q$870,MATCH(Filter!B754,'TE_OA_20200805_INTRDY_2020-08-0'!$G$2:$G$870))</f>
        <v>443872</v>
      </c>
      <c r="J754">
        <f>INDEX('TE_OA_20200805_INTRDY_2020-08-0'!$R$2:$R$870,MATCH(Filter!B754,'TE_OA_20200805_INTRDY_2020-08-0'!$G$2:$G$870))</f>
        <v>0</v>
      </c>
    </row>
    <row r="755" spans="1:10" x14ac:dyDescent="0.25">
      <c r="A755" t="str">
        <f>INDEX('Pipe Table'!$E$2:$E$10,MATCH(INDEX('TE_OA_20200805_INTRDY_2020-08-0'!$T$2:$T$870,MATCH(Filter!B755,'TE_OA_20200805_INTRDY_2020-08-0'!$G$2:$G$870,0)),'Pipe Table'!$D$2:$D$10,0))</f>
        <v>TETCO</v>
      </c>
      <c r="B755">
        <v>75333</v>
      </c>
      <c r="C755" t="str">
        <f>INDEX('TE_OA_20200805_INTRDY_2020-08-0'!$J$2:$J$870,MATCH(Filter!B755,'TE_OA_20200805_INTRDY_2020-08-0'!$G$2:$G$870))</f>
        <v>Receipt</v>
      </c>
      <c r="D755" t="str">
        <f>INDEX('Pipe Table'!$B$2:$B$14,MATCH(INDEX(TeAllPoints!$I$2:$I$957,MATCH(Filter!B755,TeAllPoints!$B$2:$B$957,0)),'Pipe Table'!$A$2:$A$14,0))</f>
        <v>Intrcnnct</v>
      </c>
      <c r="E755" t="str">
        <f>INDEX('TE_OA_20200805_INTRDY_2020-08-0'!$H$2:$H$870,MATCH(Filter!B755,'TE_OA_20200805_INTRDY_2020-08-0'!$G$2:$G$870))</f>
        <v>PEMEX - REYNOSA, MX (D 70333/R 76333)</v>
      </c>
      <c r="F755" t="str">
        <f>INDEX('Pipe Table'!$H$2:$H$8,MATCH('TE_OA_20200805_INTRDY_2020-08-0'!I736,'Pipe Table'!$G$2:$G$8,0))</f>
        <v>TETCO-STX</v>
      </c>
      <c r="G755" t="str">
        <f>INDEX(TeAllPoints!$D$2:$D$957,MATCH(Filter!B755,TeAllPoints!$B$2:$B$957,0))</f>
        <v>TX</v>
      </c>
      <c r="H755" t="str">
        <f>INDEX(TeAllPoints!$E$2:$E$957,MATCH(Filter!B755,TeAllPoints!$B$2:$B$957,0))</f>
        <v>HIDALGO</v>
      </c>
      <c r="I755">
        <f>INDEX('TE_OA_20200805_INTRDY_2020-08-0'!$Q$2:$Q$870,MATCH(Filter!B755,'TE_OA_20200805_INTRDY_2020-08-0'!$G$2:$G$870))</f>
        <v>443872</v>
      </c>
      <c r="J755">
        <f>INDEX('TE_OA_20200805_INTRDY_2020-08-0'!$R$2:$R$870,MATCH(Filter!B755,'TE_OA_20200805_INTRDY_2020-08-0'!$G$2:$G$870))</f>
        <v>0</v>
      </c>
    </row>
    <row r="756" spans="1:10" x14ac:dyDescent="0.25">
      <c r="A756" t="str">
        <f>INDEX('Pipe Table'!$E$2:$E$10,MATCH(INDEX('TE_OA_20200805_INTRDY_2020-08-0'!$T$2:$T$870,MATCH(Filter!B756,'TE_OA_20200805_INTRDY_2020-08-0'!$G$2:$G$870,0)),'Pipe Table'!$D$2:$D$10,0))</f>
        <v>TETCO</v>
      </c>
      <c r="B756">
        <v>75475</v>
      </c>
      <c r="C756" t="str">
        <f>INDEX('TE_OA_20200805_INTRDY_2020-08-0'!$J$2:$J$870,MATCH(Filter!B756,'TE_OA_20200805_INTRDY_2020-08-0'!$G$2:$G$870))</f>
        <v>Delivery</v>
      </c>
      <c r="D756" t="str">
        <f>INDEX('Pipe Table'!$B$2:$B$14,MATCH(INDEX(TeAllPoints!$I$2:$I$957,MATCH(Filter!B756,TeAllPoints!$B$2:$B$957,0)),'Pipe Table'!$A$2:$A$14,0))</f>
        <v>Intrcnnct</v>
      </c>
      <c r="E756" t="str">
        <f>INDEX('TE_OA_20200805_INTRDY_2020-08-0'!$H$2:$H$870,MATCH(Filter!B756,'TE_OA_20200805_INTRDY_2020-08-0'!$G$2:$G$870))</f>
        <v>ETC - DESOTO PIPELINE, LP - (D70475/R76475)</v>
      </c>
      <c r="F756" t="str">
        <f>INDEX('Pipe Table'!$H$2:$H$8,MATCH('TE_OA_20200805_INTRDY_2020-08-0'!I737,'Pipe Table'!$G$2:$G$8,0))</f>
        <v>TETCO-STX</v>
      </c>
      <c r="G756" t="str">
        <f>INDEX(TeAllPoints!$D$2:$D$957,MATCH(Filter!B756,TeAllPoints!$B$2:$B$957,0))</f>
        <v>TX</v>
      </c>
      <c r="H756" t="str">
        <f>INDEX(TeAllPoints!$E$2:$E$957,MATCH(Filter!B756,TeAllPoints!$B$2:$B$957,0))</f>
        <v>WALLER</v>
      </c>
      <c r="I756">
        <f>INDEX('TE_OA_20200805_INTRDY_2020-08-0'!$Q$2:$Q$870,MATCH(Filter!B756,'TE_OA_20200805_INTRDY_2020-08-0'!$G$2:$G$870))</f>
        <v>16756</v>
      </c>
      <c r="J756">
        <f>INDEX('TE_OA_20200805_INTRDY_2020-08-0'!$R$2:$R$870,MATCH(Filter!B756,'TE_OA_20200805_INTRDY_2020-08-0'!$G$2:$G$870))</f>
        <v>0</v>
      </c>
    </row>
    <row r="757" spans="1:10" x14ac:dyDescent="0.25">
      <c r="A757" t="str">
        <f>INDEX('Pipe Table'!$E$2:$E$10,MATCH(INDEX('TE_OA_20200805_INTRDY_2020-08-0'!$T$2:$T$870,MATCH(Filter!B757,'TE_OA_20200805_INTRDY_2020-08-0'!$G$2:$G$870,0)),'Pipe Table'!$D$2:$D$10,0))</f>
        <v>TETCO</v>
      </c>
      <c r="B757">
        <v>75506</v>
      </c>
      <c r="C757" t="str">
        <f>INDEX('TE_OA_20200805_INTRDY_2020-08-0'!$J$2:$J$870,MATCH(Filter!B757,'TE_OA_20200805_INTRDY_2020-08-0'!$G$2:$G$870))</f>
        <v>Receipt</v>
      </c>
      <c r="D757" t="str">
        <f>INDEX('Pipe Table'!$B$2:$B$14,MATCH(INDEX(TeAllPoints!$I$2:$I$957,MATCH(Filter!B757,TeAllPoints!$B$2:$B$957,0)),'Pipe Table'!$A$2:$A$14,0))</f>
        <v>Intrcnnct</v>
      </c>
      <c r="E757" t="str">
        <f>INDEX('TE_OA_20200805_INTRDY_2020-08-0'!$H$2:$H$870,MATCH(Filter!B757,'TE_OA_20200805_INTRDY_2020-08-0'!$G$2:$G$870))</f>
        <v>COLUMBIA GULF-TETCO INTERCONNECT-ADAIR CO. KY (D73806/R73506)</v>
      </c>
      <c r="F757" t="str">
        <f>INDEX('Pipe Table'!$H$2:$H$8,MATCH('TE_OA_20200805_INTRDY_2020-08-0'!I738,'Pipe Table'!$G$2:$G$8,0))</f>
        <v>TETCO-M2</v>
      </c>
      <c r="G757" t="str">
        <f>INDEX(TeAllPoints!$D$2:$D$957,MATCH(Filter!B757,TeAllPoints!$B$2:$B$957,0))</f>
        <v>KY</v>
      </c>
      <c r="H757" t="str">
        <f>INDEX(TeAllPoints!$E$2:$E$957,MATCH(Filter!B757,TeAllPoints!$B$2:$B$957,0))</f>
        <v>ADAIR</v>
      </c>
      <c r="I757">
        <f>INDEX('TE_OA_20200805_INTRDY_2020-08-0'!$Q$2:$Q$870,MATCH(Filter!B757,'TE_OA_20200805_INTRDY_2020-08-0'!$G$2:$G$870))</f>
        <v>203542</v>
      </c>
      <c r="J757">
        <f>INDEX('TE_OA_20200805_INTRDY_2020-08-0'!$R$2:$R$870,MATCH(Filter!B757,'TE_OA_20200805_INTRDY_2020-08-0'!$G$2:$G$870))</f>
        <v>30</v>
      </c>
    </row>
    <row r="758" spans="1:10" x14ac:dyDescent="0.25">
      <c r="A758" t="str">
        <f>INDEX('Pipe Table'!$E$2:$E$10,MATCH(INDEX('TE_OA_20200805_INTRDY_2020-08-0'!$T$2:$T$870,MATCH(Filter!B758,'TE_OA_20200805_INTRDY_2020-08-0'!$G$2:$G$870,0)),'Pipe Table'!$D$2:$D$10,0))</f>
        <v>TETCO</v>
      </c>
      <c r="B758">
        <v>75506</v>
      </c>
      <c r="C758" t="str">
        <f>INDEX('TE_OA_20200805_INTRDY_2020-08-0'!$J$2:$J$870,MATCH(Filter!B758,'TE_OA_20200805_INTRDY_2020-08-0'!$G$2:$G$870))</f>
        <v>Receipt</v>
      </c>
      <c r="D758" t="str">
        <f>INDEX('Pipe Table'!$B$2:$B$14,MATCH(INDEX(TeAllPoints!$I$2:$I$957,MATCH(Filter!B758,TeAllPoints!$B$2:$B$957,0)),'Pipe Table'!$A$2:$A$14,0))</f>
        <v>Intrcnnct</v>
      </c>
      <c r="E758" t="str">
        <f>INDEX('TE_OA_20200805_INTRDY_2020-08-0'!$H$2:$H$870,MATCH(Filter!B758,'TE_OA_20200805_INTRDY_2020-08-0'!$G$2:$G$870))</f>
        <v>COLUMBIA GULF-TETCO INTERCONNECT-ADAIR CO. KY (D73806/R73506)</v>
      </c>
      <c r="F758" t="str">
        <f>INDEX('Pipe Table'!$H$2:$H$8,MATCH('TE_OA_20200805_INTRDY_2020-08-0'!I739,'Pipe Table'!$G$2:$G$8,0))</f>
        <v>TETCO-M2</v>
      </c>
      <c r="G758" t="str">
        <f>INDEX(TeAllPoints!$D$2:$D$957,MATCH(Filter!B758,TeAllPoints!$B$2:$B$957,0))</f>
        <v>KY</v>
      </c>
      <c r="H758" t="str">
        <f>INDEX(TeAllPoints!$E$2:$E$957,MATCH(Filter!B758,TeAllPoints!$B$2:$B$957,0))</f>
        <v>ADAIR</v>
      </c>
      <c r="I758">
        <f>INDEX('TE_OA_20200805_INTRDY_2020-08-0'!$Q$2:$Q$870,MATCH(Filter!B758,'TE_OA_20200805_INTRDY_2020-08-0'!$G$2:$G$870))</f>
        <v>203542</v>
      </c>
      <c r="J758">
        <f>INDEX('TE_OA_20200805_INTRDY_2020-08-0'!$R$2:$R$870,MATCH(Filter!B758,'TE_OA_20200805_INTRDY_2020-08-0'!$G$2:$G$870))</f>
        <v>30</v>
      </c>
    </row>
    <row r="759" spans="1:10" x14ac:dyDescent="0.25">
      <c r="A759" t="str">
        <f>INDEX('Pipe Table'!$E$2:$E$10,MATCH(INDEX('TE_OA_20200805_INTRDY_2020-08-0'!$T$2:$T$870,MATCH(Filter!B759,'TE_OA_20200805_INTRDY_2020-08-0'!$G$2:$G$870,0)),'Pipe Table'!$D$2:$D$10,0))</f>
        <v>TETCO</v>
      </c>
      <c r="B759">
        <v>75524</v>
      </c>
      <c r="C759" t="str">
        <f>INDEX('TE_OA_20200805_INTRDY_2020-08-0'!$J$2:$J$870,MATCH(Filter!B759,'TE_OA_20200805_INTRDY_2020-08-0'!$G$2:$G$870))</f>
        <v>Receipt</v>
      </c>
      <c r="D759" t="str">
        <f>INDEX('Pipe Table'!$B$2:$B$14,MATCH(INDEX(TeAllPoints!$I$2:$I$957,MATCH(Filter!B759,TeAllPoints!$B$2:$B$957,0)),'Pipe Table'!$A$2:$A$14,0))</f>
        <v>Stor</v>
      </c>
      <c r="E759" t="str">
        <f>INDEX('TE_OA_20200805_INTRDY_2020-08-0'!$H$2:$H$870,MATCH(Filter!B759,'TE_OA_20200805_INTRDY_2020-08-0'!$G$2:$G$870))</f>
        <v>PINE PRAIRIE STORAGE-INJ/WD -EVANGELINE,LA (D73524/R73525)</v>
      </c>
      <c r="F759" t="str">
        <f>INDEX('Pipe Table'!$H$2:$H$8,MATCH('TE_OA_20200805_INTRDY_2020-08-0'!I740,'Pipe Table'!$G$2:$G$8,0))</f>
        <v>TETCO-WLA</v>
      </c>
      <c r="G759" t="str">
        <f>INDEX(TeAllPoints!$D$2:$D$957,MATCH(Filter!B759,TeAllPoints!$B$2:$B$957,0))</f>
        <v>LA</v>
      </c>
      <c r="H759" t="str">
        <f>INDEX(TeAllPoints!$E$2:$E$957,MATCH(Filter!B759,TeAllPoints!$B$2:$B$957,0))</f>
        <v>EVANGELINE</v>
      </c>
      <c r="I759">
        <f>INDEX('TE_OA_20200805_INTRDY_2020-08-0'!$Q$2:$Q$870,MATCH(Filter!B759,'TE_OA_20200805_INTRDY_2020-08-0'!$G$2:$G$870))</f>
        <v>738827</v>
      </c>
      <c r="J759">
        <f>INDEX('TE_OA_20200805_INTRDY_2020-08-0'!$R$2:$R$870,MATCH(Filter!B759,'TE_OA_20200805_INTRDY_2020-08-0'!$G$2:$G$870))</f>
        <v>126355</v>
      </c>
    </row>
    <row r="760" spans="1:10" x14ac:dyDescent="0.25">
      <c r="A760" t="str">
        <f>INDEX('Pipe Table'!$E$2:$E$10,MATCH(INDEX('TE_OA_20200805_INTRDY_2020-08-0'!$T$2:$T$870,MATCH(Filter!B760,'TE_OA_20200805_INTRDY_2020-08-0'!$G$2:$G$870,0)),'Pipe Table'!$D$2:$D$10,0))</f>
        <v>TETCO</v>
      </c>
      <c r="B760">
        <v>75524</v>
      </c>
      <c r="C760" t="str">
        <f>INDEX('TE_OA_20200805_INTRDY_2020-08-0'!$J$2:$J$870,MATCH(Filter!B760,'TE_OA_20200805_INTRDY_2020-08-0'!$G$2:$G$870))</f>
        <v>Receipt</v>
      </c>
      <c r="D760" t="str">
        <f>INDEX('Pipe Table'!$B$2:$B$14,MATCH(INDEX(TeAllPoints!$I$2:$I$957,MATCH(Filter!B760,TeAllPoints!$B$2:$B$957,0)),'Pipe Table'!$A$2:$A$14,0))</f>
        <v>Stor</v>
      </c>
      <c r="E760" t="str">
        <f>INDEX('TE_OA_20200805_INTRDY_2020-08-0'!$H$2:$H$870,MATCH(Filter!B760,'TE_OA_20200805_INTRDY_2020-08-0'!$G$2:$G$870))</f>
        <v>PINE PRAIRIE STORAGE-INJ/WD -EVANGELINE,LA (D73524/R73525)</v>
      </c>
      <c r="F760" t="str">
        <f>INDEX('Pipe Table'!$H$2:$H$8,MATCH('TE_OA_20200805_INTRDY_2020-08-0'!I741,'Pipe Table'!$G$2:$G$8,0))</f>
        <v>TETCO-WLA</v>
      </c>
      <c r="G760" t="str">
        <f>INDEX(TeAllPoints!$D$2:$D$957,MATCH(Filter!B760,TeAllPoints!$B$2:$B$957,0))</f>
        <v>LA</v>
      </c>
      <c r="H760" t="str">
        <f>INDEX(TeAllPoints!$E$2:$E$957,MATCH(Filter!B760,TeAllPoints!$B$2:$B$957,0))</f>
        <v>EVANGELINE</v>
      </c>
      <c r="I760">
        <f>INDEX('TE_OA_20200805_INTRDY_2020-08-0'!$Q$2:$Q$870,MATCH(Filter!B760,'TE_OA_20200805_INTRDY_2020-08-0'!$G$2:$G$870))</f>
        <v>738827</v>
      </c>
      <c r="J760">
        <f>INDEX('TE_OA_20200805_INTRDY_2020-08-0'!$R$2:$R$870,MATCH(Filter!B760,'TE_OA_20200805_INTRDY_2020-08-0'!$G$2:$G$870))</f>
        <v>126355</v>
      </c>
    </row>
    <row r="761" spans="1:10" x14ac:dyDescent="0.25">
      <c r="A761" t="str">
        <f>INDEX('Pipe Table'!$E$2:$E$10,MATCH(INDEX('TE_OA_20200805_INTRDY_2020-08-0'!$T$2:$T$870,MATCH(Filter!B761,'TE_OA_20200805_INTRDY_2020-08-0'!$G$2:$G$870,0)),'Pipe Table'!$D$2:$D$10,0))</f>
        <v>TETCO</v>
      </c>
      <c r="B761">
        <v>75525</v>
      </c>
      <c r="C761" t="str">
        <f>INDEX('TE_OA_20200805_INTRDY_2020-08-0'!$J$2:$J$870,MATCH(Filter!B761,'TE_OA_20200805_INTRDY_2020-08-0'!$G$2:$G$870))</f>
        <v>Receipt</v>
      </c>
      <c r="D761" t="str">
        <f>INDEX('Pipe Table'!$B$2:$B$14,MATCH(INDEX(TeAllPoints!$I$2:$I$957,MATCH(Filter!B761,TeAllPoints!$B$2:$B$957,0)),'Pipe Table'!$A$2:$A$14,0))</f>
        <v>Intrcnnct</v>
      </c>
      <c r="E761" t="str">
        <f>INDEX('TE_OA_20200805_INTRDY_2020-08-0'!$H$2:$H$870,MATCH(Filter!B761,'TE_OA_20200805_INTRDY_2020-08-0'!$G$2:$G$870))</f>
        <v>TEXAS GAS TRANSMISSION - EUNICE, LA-(D70525/R76525</v>
      </c>
      <c r="F761" t="str">
        <f>INDEX('Pipe Table'!$H$2:$H$8,MATCH('TE_OA_20200805_INTRDY_2020-08-0'!I742,'Pipe Table'!$G$2:$G$8,0))</f>
        <v>TETCO-WLA</v>
      </c>
      <c r="G761" t="str">
        <f>INDEX(TeAllPoints!$D$2:$D$957,MATCH(Filter!B761,TeAllPoints!$B$2:$B$957,0))</f>
        <v>LA</v>
      </c>
      <c r="H761" t="str">
        <f>INDEX(TeAllPoints!$E$2:$E$957,MATCH(Filter!B761,TeAllPoints!$B$2:$B$957,0))</f>
        <v>EVANGELINE</v>
      </c>
      <c r="I761">
        <f>INDEX('TE_OA_20200805_INTRDY_2020-08-0'!$Q$2:$Q$870,MATCH(Filter!B761,'TE_OA_20200805_INTRDY_2020-08-0'!$G$2:$G$870))</f>
        <v>129184</v>
      </c>
      <c r="J761">
        <f>INDEX('TE_OA_20200805_INTRDY_2020-08-0'!$R$2:$R$870,MATCH(Filter!B761,'TE_OA_20200805_INTRDY_2020-08-0'!$G$2:$G$870))</f>
        <v>0</v>
      </c>
    </row>
    <row r="762" spans="1:10" x14ac:dyDescent="0.25">
      <c r="A762" t="str">
        <f>INDEX('Pipe Table'!$E$2:$E$10,MATCH(INDEX('TE_OA_20200805_INTRDY_2020-08-0'!$T$2:$T$870,MATCH(Filter!B762,'TE_OA_20200805_INTRDY_2020-08-0'!$G$2:$G$870,0)),'Pipe Table'!$D$2:$D$10,0))</f>
        <v>TETCO</v>
      </c>
      <c r="B762">
        <v>75525</v>
      </c>
      <c r="C762" t="str">
        <f>INDEX('TE_OA_20200805_INTRDY_2020-08-0'!$J$2:$J$870,MATCH(Filter!B762,'TE_OA_20200805_INTRDY_2020-08-0'!$G$2:$G$870))</f>
        <v>Receipt</v>
      </c>
      <c r="D762" t="str">
        <f>INDEX('Pipe Table'!$B$2:$B$14,MATCH(INDEX(TeAllPoints!$I$2:$I$957,MATCH(Filter!B762,TeAllPoints!$B$2:$B$957,0)),'Pipe Table'!$A$2:$A$14,0))</f>
        <v>Intrcnnct</v>
      </c>
      <c r="E762" t="str">
        <f>INDEX('TE_OA_20200805_INTRDY_2020-08-0'!$H$2:$H$870,MATCH(Filter!B762,'TE_OA_20200805_INTRDY_2020-08-0'!$G$2:$G$870))</f>
        <v>TEXAS GAS TRANSMISSION - EUNICE, LA-(D70525/R76525</v>
      </c>
      <c r="F762" t="str">
        <f>INDEX('Pipe Table'!$H$2:$H$8,MATCH('TE_OA_20200805_INTRDY_2020-08-0'!I743,'Pipe Table'!$G$2:$G$8,0))</f>
        <v>TETCO-WLA</v>
      </c>
      <c r="G762" t="str">
        <f>INDEX(TeAllPoints!$D$2:$D$957,MATCH(Filter!B762,TeAllPoints!$B$2:$B$957,0))</f>
        <v>LA</v>
      </c>
      <c r="H762" t="str">
        <f>INDEX(TeAllPoints!$E$2:$E$957,MATCH(Filter!B762,TeAllPoints!$B$2:$B$957,0))</f>
        <v>EVANGELINE</v>
      </c>
      <c r="I762">
        <f>INDEX('TE_OA_20200805_INTRDY_2020-08-0'!$Q$2:$Q$870,MATCH(Filter!B762,'TE_OA_20200805_INTRDY_2020-08-0'!$G$2:$G$870))</f>
        <v>129184</v>
      </c>
      <c r="J762">
        <f>INDEX('TE_OA_20200805_INTRDY_2020-08-0'!$R$2:$R$870,MATCH(Filter!B762,'TE_OA_20200805_INTRDY_2020-08-0'!$G$2:$G$870))</f>
        <v>0</v>
      </c>
    </row>
    <row r="763" spans="1:10" x14ac:dyDescent="0.25">
      <c r="A763" t="str">
        <f>INDEX('Pipe Table'!$E$2:$E$10,MATCH(INDEX('TE_OA_20200805_INTRDY_2020-08-0'!$T$2:$T$870,MATCH(Filter!B763,'TE_OA_20200805_INTRDY_2020-08-0'!$G$2:$G$870,0)),'Pipe Table'!$D$2:$D$10,0))</f>
        <v>TETCO</v>
      </c>
      <c r="B763">
        <v>75533</v>
      </c>
      <c r="C763" t="str">
        <f>INDEX('TE_OA_20200805_INTRDY_2020-08-0'!$J$2:$J$870,MATCH(Filter!B763,'TE_OA_20200805_INTRDY_2020-08-0'!$G$2:$G$870))</f>
        <v>Receipt</v>
      </c>
      <c r="D763" t="str">
        <f>INDEX('Pipe Table'!$B$2:$B$14,MATCH(INDEX(TeAllPoints!$I$2:$I$957,MATCH(Filter!B763,TeAllPoints!$B$2:$B$957,0)),'Pipe Table'!$A$2:$A$14,0))</f>
        <v>Stor</v>
      </c>
      <c r="E763" t="str">
        <f>INDEX('TE_OA_20200805_INTRDY_2020-08-0'!$H$2:$H$870,MATCH(Filter!B763,'TE_OA_20200805_INTRDY_2020-08-0'!$G$2:$G$870))</f>
        <v>CAMERON INTERSTATE P/L LLC- BEAUREGARD PSH., LA- (73533/73534)</v>
      </c>
      <c r="F763" t="str">
        <f>INDEX('Pipe Table'!$H$2:$H$8,MATCH('TE_OA_20200805_INTRDY_2020-08-0'!I744,'Pipe Table'!$G$2:$G$8,0))</f>
        <v>TETCO-WLA</v>
      </c>
      <c r="G763" t="str">
        <f>INDEX(TeAllPoints!$D$2:$D$957,MATCH(Filter!B763,TeAllPoints!$B$2:$B$957,0))</f>
        <v>LA</v>
      </c>
      <c r="H763" t="str">
        <f>INDEX(TeAllPoints!$E$2:$E$957,MATCH(Filter!B763,TeAllPoints!$B$2:$B$957,0))</f>
        <v>BEAUREGARD</v>
      </c>
      <c r="I763">
        <f>INDEX('TE_OA_20200805_INTRDY_2020-08-0'!$Q$2:$Q$870,MATCH(Filter!B763,'TE_OA_20200805_INTRDY_2020-08-0'!$G$2:$G$870))</f>
        <v>508500</v>
      </c>
      <c r="J763">
        <f>INDEX('TE_OA_20200805_INTRDY_2020-08-0'!$R$2:$R$870,MATCH(Filter!B763,'TE_OA_20200805_INTRDY_2020-08-0'!$G$2:$G$870))</f>
        <v>38583</v>
      </c>
    </row>
    <row r="764" spans="1:10" x14ac:dyDescent="0.25">
      <c r="A764" t="str">
        <f>INDEX('Pipe Table'!$E$2:$E$10,MATCH(INDEX('TE_OA_20200805_INTRDY_2020-08-0'!$T$2:$T$870,MATCH(Filter!B764,'TE_OA_20200805_INTRDY_2020-08-0'!$G$2:$G$870,0)),'Pipe Table'!$D$2:$D$10,0))</f>
        <v>TETCO</v>
      </c>
      <c r="B764">
        <v>75533</v>
      </c>
      <c r="C764" t="str">
        <f>INDEX('TE_OA_20200805_INTRDY_2020-08-0'!$J$2:$J$870,MATCH(Filter!B764,'TE_OA_20200805_INTRDY_2020-08-0'!$G$2:$G$870))</f>
        <v>Receipt</v>
      </c>
      <c r="D764" t="str">
        <f>INDEX('Pipe Table'!$B$2:$B$14,MATCH(INDEX(TeAllPoints!$I$2:$I$957,MATCH(Filter!B764,TeAllPoints!$B$2:$B$957,0)),'Pipe Table'!$A$2:$A$14,0))</f>
        <v>Stor</v>
      </c>
      <c r="E764" t="str">
        <f>INDEX('TE_OA_20200805_INTRDY_2020-08-0'!$H$2:$H$870,MATCH(Filter!B764,'TE_OA_20200805_INTRDY_2020-08-0'!$G$2:$G$870))</f>
        <v>CAMERON INTERSTATE P/L LLC- BEAUREGARD PSH., LA- (73533/73534)</v>
      </c>
      <c r="F764" t="str">
        <f>INDEX('Pipe Table'!$H$2:$H$8,MATCH('TE_OA_20200805_INTRDY_2020-08-0'!I745,'Pipe Table'!$G$2:$G$8,0))</f>
        <v>TETCO-WLA</v>
      </c>
      <c r="G764" t="str">
        <f>INDEX(TeAllPoints!$D$2:$D$957,MATCH(Filter!B764,TeAllPoints!$B$2:$B$957,0))</f>
        <v>LA</v>
      </c>
      <c r="H764" t="str">
        <f>INDEX(TeAllPoints!$E$2:$E$957,MATCH(Filter!B764,TeAllPoints!$B$2:$B$957,0))</f>
        <v>BEAUREGARD</v>
      </c>
      <c r="I764">
        <f>INDEX('TE_OA_20200805_INTRDY_2020-08-0'!$Q$2:$Q$870,MATCH(Filter!B764,'TE_OA_20200805_INTRDY_2020-08-0'!$G$2:$G$870))</f>
        <v>508500</v>
      </c>
      <c r="J764">
        <f>INDEX('TE_OA_20200805_INTRDY_2020-08-0'!$R$2:$R$870,MATCH(Filter!B764,'TE_OA_20200805_INTRDY_2020-08-0'!$G$2:$G$870))</f>
        <v>38583</v>
      </c>
    </row>
    <row r="765" spans="1:10" x14ac:dyDescent="0.25">
      <c r="A765" t="str">
        <f>INDEX('Pipe Table'!$E$2:$E$10,MATCH(INDEX('TE_OA_20200805_INTRDY_2020-08-0'!$T$2:$T$870,MATCH(Filter!B765,'TE_OA_20200805_INTRDY_2020-08-0'!$G$2:$G$870,0)),'Pipe Table'!$D$2:$D$10,0))</f>
        <v>TETCO</v>
      </c>
      <c r="B765">
        <v>75553</v>
      </c>
      <c r="C765" t="str">
        <f>INDEX('TE_OA_20200805_INTRDY_2020-08-0'!$J$2:$J$870,MATCH(Filter!B765,'TE_OA_20200805_INTRDY_2020-08-0'!$G$2:$G$870))</f>
        <v>Receipt</v>
      </c>
      <c r="D765" t="str">
        <f>INDEX('Pipe Table'!$B$2:$B$14,MATCH(INDEX(TeAllPoints!$I$2:$I$957,MATCH(Filter!B765,TeAllPoints!$B$2:$B$957,0)),'Pipe Table'!$A$2:$A$14,0))</f>
        <v>Stor</v>
      </c>
      <c r="E765" t="str">
        <f>INDEX('TE_OA_20200805_INTRDY_2020-08-0'!$H$2:$H$870,MATCH(Filter!B765,'TE_OA_20200805_INTRDY_2020-08-0'!$G$2:$G$870))</f>
        <v>BOBCAT STORAGE - (D73553/R73554)</v>
      </c>
      <c r="F765" t="str">
        <f>INDEX('Pipe Table'!$H$2:$H$8,MATCH('TE_OA_20200805_INTRDY_2020-08-0'!I746,'Pipe Table'!$G$2:$G$8,0))</f>
        <v>TETCO-ELA</v>
      </c>
      <c r="G765" t="str">
        <f>INDEX(TeAllPoints!$D$2:$D$957,MATCH(Filter!B765,TeAllPoints!$B$2:$B$957,0))</f>
        <v>LA</v>
      </c>
      <c r="H765" t="str">
        <f>INDEX(TeAllPoints!$E$2:$E$957,MATCH(Filter!B765,TeAllPoints!$B$2:$B$957,0))</f>
        <v>ST LANDRY</v>
      </c>
      <c r="I765">
        <f>INDEX('TE_OA_20200805_INTRDY_2020-08-0'!$Q$2:$Q$870,MATCH(Filter!B765,'TE_OA_20200805_INTRDY_2020-08-0'!$G$2:$G$870))</f>
        <v>634000</v>
      </c>
      <c r="J765">
        <f>INDEX('TE_OA_20200805_INTRDY_2020-08-0'!$R$2:$R$870,MATCH(Filter!B765,'TE_OA_20200805_INTRDY_2020-08-0'!$G$2:$G$870))</f>
        <v>77504</v>
      </c>
    </row>
    <row r="766" spans="1:10" x14ac:dyDescent="0.25">
      <c r="A766" t="str">
        <f>INDEX('Pipe Table'!$E$2:$E$10,MATCH(INDEX('TE_OA_20200805_INTRDY_2020-08-0'!$T$2:$T$870,MATCH(Filter!B766,'TE_OA_20200805_INTRDY_2020-08-0'!$G$2:$G$870,0)),'Pipe Table'!$D$2:$D$10,0))</f>
        <v>TETCO</v>
      </c>
      <c r="B766">
        <v>75553</v>
      </c>
      <c r="C766" t="str">
        <f>INDEX('TE_OA_20200805_INTRDY_2020-08-0'!$J$2:$J$870,MATCH(Filter!B766,'TE_OA_20200805_INTRDY_2020-08-0'!$G$2:$G$870))</f>
        <v>Receipt</v>
      </c>
      <c r="D766" t="str">
        <f>INDEX('Pipe Table'!$B$2:$B$14,MATCH(INDEX(TeAllPoints!$I$2:$I$957,MATCH(Filter!B766,TeAllPoints!$B$2:$B$957,0)),'Pipe Table'!$A$2:$A$14,0))</f>
        <v>Stor</v>
      </c>
      <c r="E766" t="str">
        <f>INDEX('TE_OA_20200805_INTRDY_2020-08-0'!$H$2:$H$870,MATCH(Filter!B766,'TE_OA_20200805_INTRDY_2020-08-0'!$G$2:$G$870))</f>
        <v>BOBCAT STORAGE - (D73553/R73554)</v>
      </c>
      <c r="F766" t="str">
        <f>INDEX('Pipe Table'!$H$2:$H$8,MATCH('TE_OA_20200805_INTRDY_2020-08-0'!I747,'Pipe Table'!$G$2:$G$8,0))</f>
        <v>TETCO-ELA</v>
      </c>
      <c r="G766" t="str">
        <f>INDEX(TeAllPoints!$D$2:$D$957,MATCH(Filter!B766,TeAllPoints!$B$2:$B$957,0))</f>
        <v>LA</v>
      </c>
      <c r="H766" t="str">
        <f>INDEX(TeAllPoints!$E$2:$E$957,MATCH(Filter!B766,TeAllPoints!$B$2:$B$957,0))</f>
        <v>ST LANDRY</v>
      </c>
      <c r="I766">
        <f>INDEX('TE_OA_20200805_INTRDY_2020-08-0'!$Q$2:$Q$870,MATCH(Filter!B766,'TE_OA_20200805_INTRDY_2020-08-0'!$G$2:$G$870))</f>
        <v>634000</v>
      </c>
      <c r="J766">
        <f>INDEX('TE_OA_20200805_INTRDY_2020-08-0'!$R$2:$R$870,MATCH(Filter!B766,'TE_OA_20200805_INTRDY_2020-08-0'!$G$2:$G$870))</f>
        <v>77504</v>
      </c>
    </row>
    <row r="767" spans="1:10" x14ac:dyDescent="0.25">
      <c r="A767" t="str">
        <f>INDEX('Pipe Table'!$E$2:$E$10,MATCH(INDEX('TE_OA_20200805_INTRDY_2020-08-0'!$T$2:$T$870,MATCH(Filter!B767,'TE_OA_20200805_INTRDY_2020-08-0'!$G$2:$G$870,0)),'Pipe Table'!$D$2:$D$10,0))</f>
        <v>TETCO</v>
      </c>
      <c r="B767">
        <v>75558</v>
      </c>
      <c r="C767" t="str">
        <f>INDEX('TE_OA_20200805_INTRDY_2020-08-0'!$J$2:$J$870,MATCH(Filter!B767,'TE_OA_20200805_INTRDY_2020-08-0'!$G$2:$G$870))</f>
        <v>Receipt</v>
      </c>
      <c r="D767" t="str">
        <f>INDEX('Pipe Table'!$B$2:$B$14,MATCH(INDEX(TeAllPoints!$I$2:$I$957,MATCH(Filter!B767,TeAllPoints!$B$2:$B$957,0)),'Pipe Table'!$A$2:$A$14,0))</f>
        <v>Stor</v>
      </c>
      <c r="E767" t="str">
        <f>INDEX('TE_OA_20200805_INTRDY_2020-08-0'!$H$2:$H$870,MATCH(Filter!B767,'TE_OA_20200805_INTRDY_2020-08-0'!$G$2:$G$870))</f>
        <v>TRES PALACIOS GAS STORGE - 73558D(INJ)/73559R(WTD)</v>
      </c>
      <c r="F767" t="str">
        <f>INDEX('Pipe Table'!$H$2:$H$8,MATCH('TE_OA_20200805_INTRDY_2020-08-0'!I748,'Pipe Table'!$G$2:$G$8,0))</f>
        <v>TETCO-STX</v>
      </c>
      <c r="G767" t="str">
        <f>INDEX(TeAllPoints!$D$2:$D$957,MATCH(Filter!B767,TeAllPoints!$B$2:$B$957,0))</f>
        <v>TX</v>
      </c>
      <c r="H767" t="str">
        <f>INDEX(TeAllPoints!$E$2:$E$957,MATCH(Filter!B767,TeAllPoints!$B$2:$B$957,0))</f>
        <v>MATAGORDA</v>
      </c>
      <c r="I767">
        <f>INDEX('TE_OA_20200805_INTRDY_2020-08-0'!$Q$2:$Q$870,MATCH(Filter!B767,'TE_OA_20200805_INTRDY_2020-08-0'!$G$2:$G$870))</f>
        <v>500000</v>
      </c>
      <c r="J767">
        <f>INDEX('TE_OA_20200805_INTRDY_2020-08-0'!$R$2:$R$870,MATCH(Filter!B767,'TE_OA_20200805_INTRDY_2020-08-0'!$G$2:$G$870))</f>
        <v>24663</v>
      </c>
    </row>
    <row r="768" spans="1:10" x14ac:dyDescent="0.25">
      <c r="A768" t="str">
        <f>INDEX('Pipe Table'!$E$2:$E$10,MATCH(INDEX('TE_OA_20200805_INTRDY_2020-08-0'!$T$2:$T$870,MATCH(Filter!B768,'TE_OA_20200805_INTRDY_2020-08-0'!$G$2:$G$870,0)),'Pipe Table'!$D$2:$D$10,0))</f>
        <v>TETCO</v>
      </c>
      <c r="B768">
        <v>75558</v>
      </c>
      <c r="C768" t="str">
        <f>INDEX('TE_OA_20200805_INTRDY_2020-08-0'!$J$2:$J$870,MATCH(Filter!B768,'TE_OA_20200805_INTRDY_2020-08-0'!$G$2:$G$870))</f>
        <v>Receipt</v>
      </c>
      <c r="D768" t="str">
        <f>INDEX('Pipe Table'!$B$2:$B$14,MATCH(INDEX(TeAllPoints!$I$2:$I$957,MATCH(Filter!B768,TeAllPoints!$B$2:$B$957,0)),'Pipe Table'!$A$2:$A$14,0))</f>
        <v>Stor</v>
      </c>
      <c r="E768" t="str">
        <f>INDEX('TE_OA_20200805_INTRDY_2020-08-0'!$H$2:$H$870,MATCH(Filter!B768,'TE_OA_20200805_INTRDY_2020-08-0'!$G$2:$G$870))</f>
        <v>TRES PALACIOS GAS STORGE - 73558D(INJ)/73559R(WTD)</v>
      </c>
      <c r="F768" t="str">
        <f>INDEX('Pipe Table'!$H$2:$H$8,MATCH('TE_OA_20200805_INTRDY_2020-08-0'!I749,'Pipe Table'!$G$2:$G$8,0))</f>
        <v>TETCO-STX</v>
      </c>
      <c r="G768" t="str">
        <f>INDEX(TeAllPoints!$D$2:$D$957,MATCH(Filter!B768,TeAllPoints!$B$2:$B$957,0))</f>
        <v>TX</v>
      </c>
      <c r="H768" t="str">
        <f>INDEX(TeAllPoints!$E$2:$E$957,MATCH(Filter!B768,TeAllPoints!$B$2:$B$957,0))</f>
        <v>MATAGORDA</v>
      </c>
      <c r="I768">
        <f>INDEX('TE_OA_20200805_INTRDY_2020-08-0'!$Q$2:$Q$870,MATCH(Filter!B768,'TE_OA_20200805_INTRDY_2020-08-0'!$G$2:$G$870))</f>
        <v>500000</v>
      </c>
      <c r="J768">
        <f>INDEX('TE_OA_20200805_INTRDY_2020-08-0'!$R$2:$R$870,MATCH(Filter!B768,'TE_OA_20200805_INTRDY_2020-08-0'!$G$2:$G$870))</f>
        <v>24663</v>
      </c>
    </row>
    <row r="769" spans="1:10" x14ac:dyDescent="0.25">
      <c r="A769" t="str">
        <f>INDEX('Pipe Table'!$E$2:$E$10,MATCH(INDEX('TE_OA_20200805_INTRDY_2020-08-0'!$T$2:$T$870,MATCH(Filter!B769,'TE_OA_20200805_INTRDY_2020-08-0'!$G$2:$G$870,0)),'Pipe Table'!$D$2:$D$10,0))</f>
        <v>TETCO</v>
      </c>
      <c r="B769">
        <v>75570</v>
      </c>
      <c r="C769" t="str">
        <f>INDEX('TE_OA_20200805_INTRDY_2020-08-0'!$J$2:$J$870,MATCH(Filter!B769,'TE_OA_20200805_INTRDY_2020-08-0'!$G$2:$G$870))</f>
        <v>Receipt</v>
      </c>
      <c r="D769" t="str">
        <f>INDEX('Pipe Table'!$B$2:$B$14,MATCH(INDEX(TeAllPoints!$I$2:$I$957,MATCH(Filter!B769,TeAllPoints!$B$2:$B$957,0)),'Pipe Table'!$A$2:$A$14,0))</f>
        <v>Wellhead</v>
      </c>
      <c r="E769" t="str">
        <f>INDEX('TE_OA_20200805_INTRDY_2020-08-0'!$H$2:$H$870,MATCH(Filter!B769,'TE_OA_20200805_INTRDY_2020-08-0'!$G$2:$G$870))</f>
        <v>MILLENNLUM/SOUTHLAND (R73571/D73570)</v>
      </c>
      <c r="F769" t="str">
        <f>INDEX('Pipe Table'!$H$2:$H$8,MATCH('TE_OA_20200805_INTRDY_2020-08-0'!I750,'Pipe Table'!$G$2:$G$8,0))</f>
        <v>TETCO-ETX</v>
      </c>
      <c r="G769" t="str">
        <f>INDEX(TeAllPoints!$D$2:$D$957,MATCH(Filter!B769,TeAllPoints!$B$2:$B$957,0))</f>
        <v>TX</v>
      </c>
      <c r="H769" t="str">
        <f>INDEX(TeAllPoints!$E$2:$E$957,MATCH(Filter!B769,TeAllPoints!$B$2:$B$957,0))</f>
        <v>ANGELINA</v>
      </c>
      <c r="I769">
        <f>INDEX('TE_OA_20200805_INTRDY_2020-08-0'!$Q$2:$Q$870,MATCH(Filter!B769,'TE_OA_20200805_INTRDY_2020-08-0'!$G$2:$G$870))</f>
        <v>17124</v>
      </c>
      <c r="J769">
        <f>INDEX('TE_OA_20200805_INTRDY_2020-08-0'!$R$2:$R$870,MATCH(Filter!B769,'TE_OA_20200805_INTRDY_2020-08-0'!$G$2:$G$870))</f>
        <v>0</v>
      </c>
    </row>
    <row r="770" spans="1:10" x14ac:dyDescent="0.25">
      <c r="A770" t="str">
        <f>INDEX('Pipe Table'!$E$2:$E$10,MATCH(INDEX('TE_OA_20200805_INTRDY_2020-08-0'!$T$2:$T$870,MATCH(Filter!B770,'TE_OA_20200805_INTRDY_2020-08-0'!$G$2:$G$870,0)),'Pipe Table'!$D$2:$D$10,0))</f>
        <v>TETCO</v>
      </c>
      <c r="B770">
        <v>75570</v>
      </c>
      <c r="C770" t="str">
        <f>INDEX('TE_OA_20200805_INTRDY_2020-08-0'!$J$2:$J$870,MATCH(Filter!B770,'TE_OA_20200805_INTRDY_2020-08-0'!$G$2:$G$870))</f>
        <v>Receipt</v>
      </c>
      <c r="D770" t="str">
        <f>INDEX('Pipe Table'!$B$2:$B$14,MATCH(INDEX(TeAllPoints!$I$2:$I$957,MATCH(Filter!B770,TeAllPoints!$B$2:$B$957,0)),'Pipe Table'!$A$2:$A$14,0))</f>
        <v>Wellhead</v>
      </c>
      <c r="E770" t="str">
        <f>INDEX('TE_OA_20200805_INTRDY_2020-08-0'!$H$2:$H$870,MATCH(Filter!B770,'TE_OA_20200805_INTRDY_2020-08-0'!$G$2:$G$870))</f>
        <v>MILLENNLUM/SOUTHLAND (R73571/D73570)</v>
      </c>
      <c r="F770" t="str">
        <f>INDEX('Pipe Table'!$H$2:$H$8,MATCH('TE_OA_20200805_INTRDY_2020-08-0'!I751,'Pipe Table'!$G$2:$G$8,0))</f>
        <v>TETCO-ETX</v>
      </c>
      <c r="G770" t="str">
        <f>INDEX(TeAllPoints!$D$2:$D$957,MATCH(Filter!B770,TeAllPoints!$B$2:$B$957,0))</f>
        <v>TX</v>
      </c>
      <c r="H770" t="str">
        <f>INDEX(TeAllPoints!$E$2:$E$957,MATCH(Filter!B770,TeAllPoints!$B$2:$B$957,0))</f>
        <v>ANGELINA</v>
      </c>
      <c r="I770">
        <f>INDEX('TE_OA_20200805_INTRDY_2020-08-0'!$Q$2:$Q$870,MATCH(Filter!B770,'TE_OA_20200805_INTRDY_2020-08-0'!$G$2:$G$870))</f>
        <v>17124</v>
      </c>
      <c r="J770">
        <f>INDEX('TE_OA_20200805_INTRDY_2020-08-0'!$R$2:$R$870,MATCH(Filter!B770,'TE_OA_20200805_INTRDY_2020-08-0'!$G$2:$G$870))</f>
        <v>0</v>
      </c>
    </row>
    <row r="771" spans="1:10" x14ac:dyDescent="0.25">
      <c r="A771" t="str">
        <f>INDEX('Pipe Table'!$E$2:$E$10,MATCH(INDEX('TE_OA_20200805_INTRDY_2020-08-0'!$T$2:$T$870,MATCH(Filter!B771,'TE_OA_20200805_INTRDY_2020-08-0'!$G$2:$G$870,0)),'Pipe Table'!$D$2:$D$10,0))</f>
        <v>TETCO</v>
      </c>
      <c r="B771">
        <v>75577</v>
      </c>
      <c r="C771" t="str">
        <f>INDEX('TE_OA_20200805_INTRDY_2020-08-0'!$J$2:$J$870,MATCH(Filter!B771,'TE_OA_20200805_INTRDY_2020-08-0'!$G$2:$G$870))</f>
        <v>Receipt</v>
      </c>
      <c r="D771" t="str">
        <f>INDEX('Pipe Table'!$B$2:$B$14,MATCH(INDEX(TeAllPoints!$I$2:$I$957,MATCH(Filter!B771,TeAllPoints!$B$2:$B$957,0)),'Pipe Table'!$A$2:$A$14,0))</f>
        <v>Intrcnnct</v>
      </c>
      <c r="E771" t="str">
        <f>INDEX('TE_OA_20200805_INTRDY_2020-08-0'!$H$2:$H$870,MATCH(Filter!B771,'TE_OA_20200805_INTRDY_2020-08-0'!$G$2:$G$870))</f>
        <v>COLUMBIA GAS - PENNSBURG, PA (D70577/R76577)</v>
      </c>
      <c r="F771" t="str">
        <f>INDEX('Pipe Table'!$H$2:$H$8,MATCH('TE_OA_20200805_INTRDY_2020-08-0'!I752,'Pipe Table'!$G$2:$G$8,0))</f>
        <v>TETCO-M3</v>
      </c>
      <c r="G771" t="str">
        <f>INDEX(TeAllPoints!$D$2:$D$957,MATCH(Filter!B771,TeAllPoints!$B$2:$B$957,0))</f>
        <v>PA</v>
      </c>
      <c r="H771" t="str">
        <f>INDEX(TeAllPoints!$E$2:$E$957,MATCH(Filter!B771,TeAllPoints!$B$2:$B$957,0))</f>
        <v>BUCKS</v>
      </c>
      <c r="I771">
        <f>INDEX('TE_OA_20200805_INTRDY_2020-08-0'!$Q$2:$Q$870,MATCH(Filter!B771,'TE_OA_20200805_INTRDY_2020-08-0'!$G$2:$G$870))</f>
        <v>90979</v>
      </c>
      <c r="J771">
        <f>INDEX('TE_OA_20200805_INTRDY_2020-08-0'!$R$2:$R$870,MATCH(Filter!B771,'TE_OA_20200805_INTRDY_2020-08-0'!$G$2:$G$870))</f>
        <v>0</v>
      </c>
    </row>
    <row r="772" spans="1:10" x14ac:dyDescent="0.25">
      <c r="A772" t="str">
        <f>INDEX('Pipe Table'!$E$2:$E$10,MATCH(INDEX('TE_OA_20200805_INTRDY_2020-08-0'!$T$2:$T$870,MATCH(Filter!B772,'TE_OA_20200805_INTRDY_2020-08-0'!$G$2:$G$870,0)),'Pipe Table'!$D$2:$D$10,0))</f>
        <v>TETCO</v>
      </c>
      <c r="B772">
        <v>75577</v>
      </c>
      <c r="C772" t="str">
        <f>INDEX('TE_OA_20200805_INTRDY_2020-08-0'!$J$2:$J$870,MATCH(Filter!B772,'TE_OA_20200805_INTRDY_2020-08-0'!$G$2:$G$870))</f>
        <v>Receipt</v>
      </c>
      <c r="D772" t="str">
        <f>INDEX('Pipe Table'!$B$2:$B$14,MATCH(INDEX(TeAllPoints!$I$2:$I$957,MATCH(Filter!B772,TeAllPoints!$B$2:$B$957,0)),'Pipe Table'!$A$2:$A$14,0))</f>
        <v>Intrcnnct</v>
      </c>
      <c r="E772" t="str">
        <f>INDEX('TE_OA_20200805_INTRDY_2020-08-0'!$H$2:$H$870,MATCH(Filter!B772,'TE_OA_20200805_INTRDY_2020-08-0'!$G$2:$G$870))</f>
        <v>COLUMBIA GAS - PENNSBURG, PA (D70577/R76577)</v>
      </c>
      <c r="F772" t="str">
        <f>INDEX('Pipe Table'!$H$2:$H$8,MATCH('TE_OA_20200805_INTRDY_2020-08-0'!I753,'Pipe Table'!$G$2:$G$8,0))</f>
        <v>TETCO-M3</v>
      </c>
      <c r="G772" t="str">
        <f>INDEX(TeAllPoints!$D$2:$D$957,MATCH(Filter!B772,TeAllPoints!$B$2:$B$957,0))</f>
        <v>PA</v>
      </c>
      <c r="H772" t="str">
        <f>INDEX(TeAllPoints!$E$2:$E$957,MATCH(Filter!B772,TeAllPoints!$B$2:$B$957,0))</f>
        <v>BUCKS</v>
      </c>
      <c r="I772">
        <f>INDEX('TE_OA_20200805_INTRDY_2020-08-0'!$Q$2:$Q$870,MATCH(Filter!B772,'TE_OA_20200805_INTRDY_2020-08-0'!$G$2:$G$870))</f>
        <v>90979</v>
      </c>
      <c r="J772">
        <f>INDEX('TE_OA_20200805_INTRDY_2020-08-0'!$R$2:$R$870,MATCH(Filter!B772,'TE_OA_20200805_INTRDY_2020-08-0'!$G$2:$G$870))</f>
        <v>0</v>
      </c>
    </row>
    <row r="773" spans="1:10" x14ac:dyDescent="0.25">
      <c r="A773" t="str">
        <f>INDEX('Pipe Table'!$E$2:$E$10,MATCH(INDEX('TE_OA_20200805_INTRDY_2020-08-0'!$T$2:$T$870,MATCH(Filter!B773,'TE_OA_20200805_INTRDY_2020-08-0'!$G$2:$G$870,0)),'Pipe Table'!$D$2:$D$10,0))</f>
        <v>TETCO</v>
      </c>
      <c r="B773">
        <v>75578</v>
      </c>
      <c r="C773" t="str">
        <f>INDEX('TE_OA_20200805_INTRDY_2020-08-0'!$J$2:$J$870,MATCH(Filter!B773,'TE_OA_20200805_INTRDY_2020-08-0'!$G$2:$G$870))</f>
        <v>Receipt</v>
      </c>
      <c r="D773" t="str">
        <f>INDEX('Pipe Table'!$B$2:$B$14,MATCH(INDEX(TeAllPoints!$I$2:$I$957,MATCH(Filter!B773,TeAllPoints!$B$2:$B$957,0)),'Pipe Table'!$A$2:$A$14,0))</f>
        <v>Stor</v>
      </c>
      <c r="E773" t="str">
        <f>INDEX('TE_OA_20200805_INTRDY_2020-08-0'!$H$2:$H$870,MATCH(Filter!B773,'TE_OA_20200805_INTRDY_2020-08-0'!$G$2:$G$870))</f>
        <v>MONROE GAS STORAGE - (D73578/R73579)</v>
      </c>
      <c r="F773" t="str">
        <f>INDEX('Pipe Table'!$H$2:$H$8,MATCH('TE_OA_20200805_INTRDY_2020-08-0'!I754,'Pipe Table'!$G$2:$G$8,0))</f>
        <v>TETCO-M1</v>
      </c>
      <c r="G773" t="str">
        <f>INDEX(TeAllPoints!$D$2:$D$957,MATCH(Filter!B773,TeAllPoints!$B$2:$B$957,0))</f>
        <v>MS</v>
      </c>
      <c r="H773" t="str">
        <f>INDEX(TeAllPoints!$E$2:$E$957,MATCH(Filter!B773,TeAllPoints!$B$2:$B$957,0))</f>
        <v>MONROE</v>
      </c>
      <c r="I773">
        <f>INDEX('TE_OA_20200805_INTRDY_2020-08-0'!$Q$2:$Q$870,MATCH(Filter!B773,'TE_OA_20200805_INTRDY_2020-08-0'!$G$2:$G$870))</f>
        <v>682597</v>
      </c>
      <c r="J773">
        <f>INDEX('TE_OA_20200805_INTRDY_2020-08-0'!$R$2:$R$870,MATCH(Filter!B773,'TE_OA_20200805_INTRDY_2020-08-0'!$G$2:$G$870))</f>
        <v>42072</v>
      </c>
    </row>
    <row r="774" spans="1:10" x14ac:dyDescent="0.25">
      <c r="A774" t="str">
        <f>INDEX('Pipe Table'!$E$2:$E$10,MATCH(INDEX('TE_OA_20200805_INTRDY_2020-08-0'!$T$2:$T$870,MATCH(Filter!B774,'TE_OA_20200805_INTRDY_2020-08-0'!$G$2:$G$870,0)),'Pipe Table'!$D$2:$D$10,0))</f>
        <v>TETCO</v>
      </c>
      <c r="B774">
        <v>75578</v>
      </c>
      <c r="C774" t="str">
        <f>INDEX('TE_OA_20200805_INTRDY_2020-08-0'!$J$2:$J$870,MATCH(Filter!B774,'TE_OA_20200805_INTRDY_2020-08-0'!$G$2:$G$870))</f>
        <v>Receipt</v>
      </c>
      <c r="D774" t="str">
        <f>INDEX('Pipe Table'!$B$2:$B$14,MATCH(INDEX(TeAllPoints!$I$2:$I$957,MATCH(Filter!B774,TeAllPoints!$B$2:$B$957,0)),'Pipe Table'!$A$2:$A$14,0))</f>
        <v>Stor</v>
      </c>
      <c r="E774" t="str">
        <f>INDEX('TE_OA_20200805_INTRDY_2020-08-0'!$H$2:$H$870,MATCH(Filter!B774,'TE_OA_20200805_INTRDY_2020-08-0'!$G$2:$G$870))</f>
        <v>MONROE GAS STORAGE - (D73578/R73579)</v>
      </c>
      <c r="F774" t="str">
        <f>INDEX('Pipe Table'!$H$2:$H$8,MATCH('TE_OA_20200805_INTRDY_2020-08-0'!I755,'Pipe Table'!$G$2:$G$8,0))</f>
        <v>TETCO-M1</v>
      </c>
      <c r="G774" t="str">
        <f>INDEX(TeAllPoints!$D$2:$D$957,MATCH(Filter!B774,TeAllPoints!$B$2:$B$957,0))</f>
        <v>MS</v>
      </c>
      <c r="H774" t="str">
        <f>INDEX(TeAllPoints!$E$2:$E$957,MATCH(Filter!B774,TeAllPoints!$B$2:$B$957,0))</f>
        <v>MONROE</v>
      </c>
      <c r="I774">
        <f>INDEX('TE_OA_20200805_INTRDY_2020-08-0'!$Q$2:$Q$870,MATCH(Filter!B774,'TE_OA_20200805_INTRDY_2020-08-0'!$G$2:$G$870))</f>
        <v>682597</v>
      </c>
      <c r="J774">
        <f>INDEX('TE_OA_20200805_INTRDY_2020-08-0'!$R$2:$R$870,MATCH(Filter!B774,'TE_OA_20200805_INTRDY_2020-08-0'!$G$2:$G$870))</f>
        <v>42072</v>
      </c>
    </row>
    <row r="775" spans="1:10" x14ac:dyDescent="0.25">
      <c r="A775" t="str">
        <f>INDEX('Pipe Table'!$E$2:$E$10,MATCH(INDEX('TE_OA_20200805_INTRDY_2020-08-0'!$T$2:$T$870,MATCH(Filter!B775,'TE_OA_20200805_INTRDY_2020-08-0'!$G$2:$G$870,0)),'Pipe Table'!$D$2:$D$10,0))</f>
        <v>TETCO</v>
      </c>
      <c r="B775">
        <v>75583</v>
      </c>
      <c r="C775" t="str">
        <f>INDEX('TE_OA_20200805_INTRDY_2020-08-0'!$J$2:$J$870,MATCH(Filter!B775,'TE_OA_20200805_INTRDY_2020-08-0'!$G$2:$G$870))</f>
        <v>Receipt</v>
      </c>
      <c r="D775" t="str">
        <f>INDEX('Pipe Table'!$B$2:$B$14,MATCH(INDEX(TeAllPoints!$I$2:$I$957,MATCH(Filter!B775,TeAllPoints!$B$2:$B$957,0)),'Pipe Table'!$A$2:$A$14,0))</f>
        <v>Intrcnnct</v>
      </c>
      <c r="E775" t="str">
        <f>INDEX('TE_OA_20200805_INTRDY_2020-08-0'!$H$2:$H$870,MATCH(Filter!B775,'TE_OA_20200805_INTRDY_2020-08-0'!$G$2:$G$870))</f>
        <v>SESH (D73584/R73583)</v>
      </c>
      <c r="F775" t="str">
        <f>INDEX('Pipe Table'!$H$2:$H$8,MATCH('TE_OA_20200805_INTRDY_2020-08-0'!I756,'Pipe Table'!$G$2:$G$8,0))</f>
        <v>TETCO-ELA</v>
      </c>
      <c r="G775" t="str">
        <f>INDEX(TeAllPoints!$D$2:$D$957,MATCH(Filter!B775,TeAllPoints!$B$2:$B$957,0))</f>
        <v>MS</v>
      </c>
      <c r="H775" t="str">
        <f>INDEX(TeAllPoints!$E$2:$E$957,MATCH(Filter!B775,TeAllPoints!$B$2:$B$957,0))</f>
        <v>COPIAH</v>
      </c>
      <c r="I775">
        <f>INDEX('TE_OA_20200805_INTRDY_2020-08-0'!$Q$2:$Q$870,MATCH(Filter!B775,'TE_OA_20200805_INTRDY_2020-08-0'!$G$2:$G$870))</f>
        <v>759000</v>
      </c>
      <c r="J775">
        <f>INDEX('TE_OA_20200805_INTRDY_2020-08-0'!$R$2:$R$870,MATCH(Filter!B775,'TE_OA_20200805_INTRDY_2020-08-0'!$G$2:$G$870))</f>
        <v>33706</v>
      </c>
    </row>
    <row r="776" spans="1:10" x14ac:dyDescent="0.25">
      <c r="A776" t="str">
        <f>INDEX('Pipe Table'!$E$2:$E$10,MATCH(INDEX('TE_OA_20200805_INTRDY_2020-08-0'!$T$2:$T$870,MATCH(Filter!B776,'TE_OA_20200805_INTRDY_2020-08-0'!$G$2:$G$870,0)),'Pipe Table'!$D$2:$D$10,0))</f>
        <v>TETCO</v>
      </c>
      <c r="B776">
        <v>75583</v>
      </c>
      <c r="C776" t="str">
        <f>INDEX('TE_OA_20200805_INTRDY_2020-08-0'!$J$2:$J$870,MATCH(Filter!B776,'TE_OA_20200805_INTRDY_2020-08-0'!$G$2:$G$870))</f>
        <v>Receipt</v>
      </c>
      <c r="D776" t="str">
        <f>INDEX('Pipe Table'!$B$2:$B$14,MATCH(INDEX(TeAllPoints!$I$2:$I$957,MATCH(Filter!B776,TeAllPoints!$B$2:$B$957,0)),'Pipe Table'!$A$2:$A$14,0))</f>
        <v>Intrcnnct</v>
      </c>
      <c r="E776" t="str">
        <f>INDEX('TE_OA_20200805_INTRDY_2020-08-0'!$H$2:$H$870,MATCH(Filter!B776,'TE_OA_20200805_INTRDY_2020-08-0'!$G$2:$G$870))</f>
        <v>SESH (D73584/R73583)</v>
      </c>
      <c r="F776" t="str">
        <f>INDEX('Pipe Table'!$H$2:$H$8,MATCH('TE_OA_20200805_INTRDY_2020-08-0'!I757,'Pipe Table'!$G$2:$G$8,0))</f>
        <v>TETCO-ELA</v>
      </c>
      <c r="G776" t="str">
        <f>INDEX(TeAllPoints!$D$2:$D$957,MATCH(Filter!B776,TeAllPoints!$B$2:$B$957,0))</f>
        <v>MS</v>
      </c>
      <c r="H776" t="str">
        <f>INDEX(TeAllPoints!$E$2:$E$957,MATCH(Filter!B776,TeAllPoints!$B$2:$B$957,0))</f>
        <v>COPIAH</v>
      </c>
      <c r="I776">
        <f>INDEX('TE_OA_20200805_INTRDY_2020-08-0'!$Q$2:$Q$870,MATCH(Filter!B776,'TE_OA_20200805_INTRDY_2020-08-0'!$G$2:$G$870))</f>
        <v>759000</v>
      </c>
      <c r="J776">
        <f>INDEX('TE_OA_20200805_INTRDY_2020-08-0'!$R$2:$R$870,MATCH(Filter!B776,'TE_OA_20200805_INTRDY_2020-08-0'!$G$2:$G$870))</f>
        <v>33706</v>
      </c>
    </row>
    <row r="777" spans="1:10" x14ac:dyDescent="0.25">
      <c r="A777" t="str">
        <f>INDEX('Pipe Table'!$E$2:$E$10,MATCH(INDEX('TE_OA_20200805_INTRDY_2020-08-0'!$T$2:$T$870,MATCH(Filter!B777,'TE_OA_20200805_INTRDY_2020-08-0'!$G$2:$G$870,0)),'Pipe Table'!$D$2:$D$10,0))</f>
        <v>TETCO</v>
      </c>
      <c r="B777">
        <v>75605</v>
      </c>
      <c r="C777" t="str">
        <f>INDEX('TE_OA_20200805_INTRDY_2020-08-0'!$J$2:$J$870,MATCH(Filter!B777,'TE_OA_20200805_INTRDY_2020-08-0'!$G$2:$G$870))</f>
        <v>Receipt</v>
      </c>
      <c r="D777" t="str">
        <f>INDEX('Pipe Table'!$B$2:$B$14,MATCH(INDEX(TeAllPoints!$I$2:$I$957,MATCH(Filter!B777,TeAllPoints!$B$2:$B$957,0)),'Pipe Table'!$A$2:$A$14,0))</f>
        <v>Stor</v>
      </c>
      <c r="E777" t="str">
        <f>INDEX('TE_OA_20200805_INTRDY_2020-08-0'!$H$2:$H$870,MATCH(Filter!B777,'TE_OA_20200805_INTRDY_2020-08-0'!$G$2:$G$870))</f>
        <v>STECKMAN RIDGE (73605D INJ/73606R WTD)</v>
      </c>
      <c r="F777" t="str">
        <f>INDEX('Pipe Table'!$H$2:$H$8,MATCH('TE_OA_20200805_INTRDY_2020-08-0'!I758,'Pipe Table'!$G$2:$G$8,0))</f>
        <v>TETCO-M3</v>
      </c>
      <c r="G777" t="str">
        <f>INDEX(TeAllPoints!$D$2:$D$957,MATCH(Filter!B777,TeAllPoints!$B$2:$B$957,0))</f>
        <v>PA</v>
      </c>
      <c r="H777" t="str">
        <f>INDEX(TeAllPoints!$E$2:$E$957,MATCH(Filter!B777,TeAllPoints!$B$2:$B$957,0))</f>
        <v>BEDFORD</v>
      </c>
      <c r="I777">
        <f>INDEX('TE_OA_20200805_INTRDY_2020-08-0'!$Q$2:$Q$870,MATCH(Filter!B777,'TE_OA_20200805_INTRDY_2020-08-0'!$G$2:$G$870))</f>
        <v>300000</v>
      </c>
      <c r="J777">
        <f>INDEX('TE_OA_20200805_INTRDY_2020-08-0'!$R$2:$R$870,MATCH(Filter!B777,'TE_OA_20200805_INTRDY_2020-08-0'!$G$2:$G$870))</f>
        <v>1386</v>
      </c>
    </row>
    <row r="778" spans="1:10" x14ac:dyDescent="0.25">
      <c r="A778" t="str">
        <f>INDEX('Pipe Table'!$E$2:$E$10,MATCH(INDEX('TE_OA_20200805_INTRDY_2020-08-0'!$T$2:$T$870,MATCH(Filter!B778,'TE_OA_20200805_INTRDY_2020-08-0'!$G$2:$G$870,0)),'Pipe Table'!$D$2:$D$10,0))</f>
        <v>TETCO</v>
      </c>
      <c r="B778">
        <v>75605</v>
      </c>
      <c r="C778" t="str">
        <f>INDEX('TE_OA_20200805_INTRDY_2020-08-0'!$J$2:$J$870,MATCH(Filter!B778,'TE_OA_20200805_INTRDY_2020-08-0'!$G$2:$G$870))</f>
        <v>Receipt</v>
      </c>
      <c r="D778" t="str">
        <f>INDEX('Pipe Table'!$B$2:$B$14,MATCH(INDEX(TeAllPoints!$I$2:$I$957,MATCH(Filter!B778,TeAllPoints!$B$2:$B$957,0)),'Pipe Table'!$A$2:$A$14,0))</f>
        <v>Stor</v>
      </c>
      <c r="E778" t="str">
        <f>INDEX('TE_OA_20200805_INTRDY_2020-08-0'!$H$2:$H$870,MATCH(Filter!B778,'TE_OA_20200805_INTRDY_2020-08-0'!$G$2:$G$870))</f>
        <v>STECKMAN RIDGE (73605D INJ/73606R WTD)</v>
      </c>
      <c r="F778" t="str">
        <f>INDEX('Pipe Table'!$H$2:$H$8,MATCH('TE_OA_20200805_INTRDY_2020-08-0'!I759,'Pipe Table'!$G$2:$G$8,0))</f>
        <v>TETCO-M3</v>
      </c>
      <c r="G778" t="str">
        <f>INDEX(TeAllPoints!$D$2:$D$957,MATCH(Filter!B778,TeAllPoints!$B$2:$B$957,0))</f>
        <v>PA</v>
      </c>
      <c r="H778" t="str">
        <f>INDEX(TeAllPoints!$E$2:$E$957,MATCH(Filter!B778,TeAllPoints!$B$2:$B$957,0))</f>
        <v>BEDFORD</v>
      </c>
      <c r="I778">
        <f>INDEX('TE_OA_20200805_INTRDY_2020-08-0'!$Q$2:$Q$870,MATCH(Filter!B778,'TE_OA_20200805_INTRDY_2020-08-0'!$G$2:$G$870))</f>
        <v>300000</v>
      </c>
      <c r="J778">
        <f>INDEX('TE_OA_20200805_INTRDY_2020-08-0'!$R$2:$R$870,MATCH(Filter!B778,'TE_OA_20200805_INTRDY_2020-08-0'!$G$2:$G$870))</f>
        <v>1386</v>
      </c>
    </row>
    <row r="779" spans="1:10" x14ac:dyDescent="0.25">
      <c r="A779" t="str">
        <f>INDEX('Pipe Table'!$E$2:$E$10,MATCH(INDEX('TE_OA_20200805_INTRDY_2020-08-0'!$T$2:$T$870,MATCH(Filter!B779,'TE_OA_20200805_INTRDY_2020-08-0'!$G$2:$G$870,0)),'Pipe Table'!$D$2:$D$10,0))</f>
        <v>TETCO</v>
      </c>
      <c r="B779">
        <v>75614</v>
      </c>
      <c r="C779" t="str">
        <f>INDEX('TE_OA_20200805_INTRDY_2020-08-0'!$J$2:$J$870,MATCH(Filter!B779,'TE_OA_20200805_INTRDY_2020-08-0'!$G$2:$G$870))</f>
        <v>Receipt</v>
      </c>
      <c r="D779" t="str">
        <f>INDEX('Pipe Table'!$B$2:$B$14,MATCH(INDEX(TeAllPoints!$I$2:$I$957,MATCH(Filter!B779,TeAllPoints!$B$2:$B$957,0)),'Pipe Table'!$A$2:$A$14,0))</f>
        <v>Stor</v>
      </c>
      <c r="E779" t="str">
        <f>INDEX('TE_OA_20200805_INTRDY_2020-08-0'!$H$2:$H$870,MATCH(Filter!B779,'TE_OA_20200805_INTRDY_2020-08-0'!$G$2:$G$870))</f>
        <v>BOARDWALK STORAGE COMPANY LLC STORAGE -INJ/WD</v>
      </c>
      <c r="F779" t="str">
        <f>INDEX('Pipe Table'!$H$2:$H$8,MATCH('TE_OA_20200805_INTRDY_2020-08-0'!I760,'Pipe Table'!$G$2:$G$8,0))</f>
        <v>TETCO-ELA</v>
      </c>
      <c r="G779" t="str">
        <f>INDEX(TeAllPoints!$D$2:$D$957,MATCH(Filter!B779,TeAllPoints!$B$2:$B$957,0))</f>
        <v>LA</v>
      </c>
      <c r="H779" t="str">
        <f>INDEX(TeAllPoints!$E$2:$E$957,MATCH(Filter!B779,TeAllPoints!$B$2:$B$957,0))</f>
        <v>IBERVILLE</v>
      </c>
      <c r="I779">
        <f>INDEX('TE_OA_20200805_INTRDY_2020-08-0'!$Q$2:$Q$870,MATCH(Filter!B779,'TE_OA_20200805_INTRDY_2020-08-0'!$G$2:$G$870))</f>
        <v>326123</v>
      </c>
      <c r="J779">
        <f>INDEX('TE_OA_20200805_INTRDY_2020-08-0'!$R$2:$R$870,MATCH(Filter!B779,'TE_OA_20200805_INTRDY_2020-08-0'!$G$2:$G$870))</f>
        <v>8</v>
      </c>
    </row>
    <row r="780" spans="1:10" x14ac:dyDescent="0.25">
      <c r="A780" t="str">
        <f>INDEX('Pipe Table'!$E$2:$E$10,MATCH(INDEX('TE_OA_20200805_INTRDY_2020-08-0'!$T$2:$T$870,MATCH(Filter!B780,'TE_OA_20200805_INTRDY_2020-08-0'!$G$2:$G$870,0)),'Pipe Table'!$D$2:$D$10,0))</f>
        <v>TETCO</v>
      </c>
      <c r="B780">
        <v>75614</v>
      </c>
      <c r="C780" t="str">
        <f>INDEX('TE_OA_20200805_INTRDY_2020-08-0'!$J$2:$J$870,MATCH(Filter!B780,'TE_OA_20200805_INTRDY_2020-08-0'!$G$2:$G$870))</f>
        <v>Receipt</v>
      </c>
      <c r="D780" t="str">
        <f>INDEX('Pipe Table'!$B$2:$B$14,MATCH(INDEX(TeAllPoints!$I$2:$I$957,MATCH(Filter!B780,TeAllPoints!$B$2:$B$957,0)),'Pipe Table'!$A$2:$A$14,0))</f>
        <v>Stor</v>
      </c>
      <c r="E780" t="str">
        <f>INDEX('TE_OA_20200805_INTRDY_2020-08-0'!$H$2:$H$870,MATCH(Filter!B780,'TE_OA_20200805_INTRDY_2020-08-0'!$G$2:$G$870))</f>
        <v>BOARDWALK STORAGE COMPANY LLC STORAGE -INJ/WD</v>
      </c>
      <c r="F780" t="str">
        <f>INDEX('Pipe Table'!$H$2:$H$8,MATCH('TE_OA_20200805_INTRDY_2020-08-0'!I761,'Pipe Table'!$G$2:$G$8,0))</f>
        <v>TETCO-ELA</v>
      </c>
      <c r="G780" t="str">
        <f>INDEX(TeAllPoints!$D$2:$D$957,MATCH(Filter!B780,TeAllPoints!$B$2:$B$957,0))</f>
        <v>LA</v>
      </c>
      <c r="H780" t="str">
        <f>INDEX(TeAllPoints!$E$2:$E$957,MATCH(Filter!B780,TeAllPoints!$B$2:$B$957,0))</f>
        <v>IBERVILLE</v>
      </c>
      <c r="I780">
        <f>INDEX('TE_OA_20200805_INTRDY_2020-08-0'!$Q$2:$Q$870,MATCH(Filter!B780,'TE_OA_20200805_INTRDY_2020-08-0'!$G$2:$G$870))</f>
        <v>326123</v>
      </c>
      <c r="J780">
        <f>INDEX('TE_OA_20200805_INTRDY_2020-08-0'!$R$2:$R$870,MATCH(Filter!B780,'TE_OA_20200805_INTRDY_2020-08-0'!$G$2:$G$870))</f>
        <v>8</v>
      </c>
    </row>
    <row r="781" spans="1:10" x14ac:dyDescent="0.25">
      <c r="A781" t="str">
        <f>INDEX('Pipe Table'!$E$2:$E$10,MATCH(INDEX('TE_OA_20200805_INTRDY_2020-08-0'!$T$2:$T$870,MATCH(Filter!B781,'TE_OA_20200805_INTRDY_2020-08-0'!$G$2:$G$870,0)),'Pipe Table'!$D$2:$D$10,0))</f>
        <v>TETCO</v>
      </c>
      <c r="B781">
        <v>75628</v>
      </c>
      <c r="C781" t="str">
        <f>INDEX('TE_OA_20200805_INTRDY_2020-08-0'!$J$2:$J$870,MATCH(Filter!B781,'TE_OA_20200805_INTRDY_2020-08-0'!$G$2:$G$870))</f>
        <v>Receipt</v>
      </c>
      <c r="D781" t="str">
        <f>INDEX('Pipe Table'!$B$2:$B$14,MATCH(INDEX(TeAllPoints!$I$2:$I$957,MATCH(Filter!B781,TeAllPoints!$B$2:$B$957,0)),'Pipe Table'!$A$2:$A$14,0))</f>
        <v>Intrcnnct</v>
      </c>
      <c r="E781" t="str">
        <f>INDEX('TE_OA_20200805_INTRDY_2020-08-0'!$H$2:$H$870,MATCH(Filter!B781,'TE_OA_20200805_INTRDY_2020-08-0'!$G$2:$G$870))</f>
        <v>BRIDGELINE - TALLYHO (D72628/R76628)</v>
      </c>
      <c r="F781" t="str">
        <f>INDEX('Pipe Table'!$H$2:$H$8,MATCH('TE_OA_20200805_INTRDY_2020-08-0'!I762,'Pipe Table'!$G$2:$G$8,0))</f>
        <v>TETCO-ELA</v>
      </c>
      <c r="G781" t="str">
        <f>INDEX(TeAllPoints!$D$2:$D$957,MATCH(Filter!B781,TeAllPoints!$B$2:$B$957,0))</f>
        <v>LA</v>
      </c>
      <c r="H781" t="str">
        <f>INDEX(TeAllPoints!$E$2:$E$957,MATCH(Filter!B781,TeAllPoints!$B$2:$B$957,0))</f>
        <v>IBERVILLE</v>
      </c>
      <c r="I781">
        <f>INDEX('TE_OA_20200805_INTRDY_2020-08-0'!$Q$2:$Q$870,MATCH(Filter!B781,'TE_OA_20200805_INTRDY_2020-08-0'!$G$2:$G$870))</f>
        <v>195925</v>
      </c>
      <c r="J781">
        <f>INDEX('TE_OA_20200805_INTRDY_2020-08-0'!$R$2:$R$870,MATCH(Filter!B781,'TE_OA_20200805_INTRDY_2020-08-0'!$G$2:$G$870))</f>
        <v>0</v>
      </c>
    </row>
    <row r="782" spans="1:10" x14ac:dyDescent="0.25">
      <c r="A782" t="str">
        <f>INDEX('Pipe Table'!$E$2:$E$10,MATCH(INDEX('TE_OA_20200805_INTRDY_2020-08-0'!$T$2:$T$870,MATCH(Filter!B782,'TE_OA_20200805_INTRDY_2020-08-0'!$G$2:$G$870,0)),'Pipe Table'!$D$2:$D$10,0))</f>
        <v>TETCO</v>
      </c>
      <c r="B782">
        <v>75628</v>
      </c>
      <c r="C782" t="str">
        <f>INDEX('TE_OA_20200805_INTRDY_2020-08-0'!$J$2:$J$870,MATCH(Filter!B782,'TE_OA_20200805_INTRDY_2020-08-0'!$G$2:$G$870))</f>
        <v>Receipt</v>
      </c>
      <c r="D782" t="str">
        <f>INDEX('Pipe Table'!$B$2:$B$14,MATCH(INDEX(TeAllPoints!$I$2:$I$957,MATCH(Filter!B782,TeAllPoints!$B$2:$B$957,0)),'Pipe Table'!$A$2:$A$14,0))</f>
        <v>Intrcnnct</v>
      </c>
      <c r="E782" t="str">
        <f>INDEX('TE_OA_20200805_INTRDY_2020-08-0'!$H$2:$H$870,MATCH(Filter!B782,'TE_OA_20200805_INTRDY_2020-08-0'!$G$2:$G$870))</f>
        <v>BRIDGELINE - TALLYHO (D72628/R76628)</v>
      </c>
      <c r="F782" t="str">
        <f>INDEX('Pipe Table'!$H$2:$H$8,MATCH('TE_OA_20200805_INTRDY_2020-08-0'!I763,'Pipe Table'!$G$2:$G$8,0))</f>
        <v>TETCO-ELA</v>
      </c>
      <c r="G782" t="str">
        <f>INDEX(TeAllPoints!$D$2:$D$957,MATCH(Filter!B782,TeAllPoints!$B$2:$B$957,0))</f>
        <v>LA</v>
      </c>
      <c r="H782" t="str">
        <f>INDEX(TeAllPoints!$E$2:$E$957,MATCH(Filter!B782,TeAllPoints!$B$2:$B$957,0))</f>
        <v>IBERVILLE</v>
      </c>
      <c r="I782">
        <f>INDEX('TE_OA_20200805_INTRDY_2020-08-0'!$Q$2:$Q$870,MATCH(Filter!B782,'TE_OA_20200805_INTRDY_2020-08-0'!$G$2:$G$870))</f>
        <v>195925</v>
      </c>
      <c r="J782">
        <f>INDEX('TE_OA_20200805_INTRDY_2020-08-0'!$R$2:$R$870,MATCH(Filter!B782,'TE_OA_20200805_INTRDY_2020-08-0'!$G$2:$G$870))</f>
        <v>0</v>
      </c>
    </row>
    <row r="783" spans="1:10" x14ac:dyDescent="0.25">
      <c r="A783" t="str">
        <f>INDEX('Pipe Table'!$E$2:$E$10,MATCH(INDEX('TE_OA_20200805_INTRDY_2020-08-0'!$T$2:$T$870,MATCH(Filter!B783,'TE_OA_20200805_INTRDY_2020-08-0'!$G$2:$G$870,0)),'Pipe Table'!$D$2:$D$10,0))</f>
        <v>TETCO</v>
      </c>
      <c r="B783">
        <v>75660</v>
      </c>
      <c r="C783" t="str">
        <f>INDEX('TE_OA_20200805_INTRDY_2020-08-0'!$J$2:$J$870,MATCH(Filter!B783,'TE_OA_20200805_INTRDY_2020-08-0'!$G$2:$G$870))</f>
        <v>Receipt</v>
      </c>
      <c r="D783" t="str">
        <f>INDEX('Pipe Table'!$B$2:$B$14,MATCH(INDEX(TeAllPoints!$I$2:$I$957,MATCH(Filter!B783,TeAllPoints!$B$2:$B$957,0)),'Pipe Table'!$A$2:$A$14,0))</f>
        <v>Wellhead</v>
      </c>
      <c r="E783" t="str">
        <f>INDEX('TE_OA_20200805_INTRDY_2020-08-0'!$H$2:$H$870,MATCH(Filter!B783,'TE_OA_20200805_INTRDY_2020-08-0'!$G$2:$G$870))</f>
        <v>NISOURCE MIDSTREAM SERVCS-DRY RIDGE-GREENE CO.,PA(D)73660/(R)73661</v>
      </c>
      <c r="F783" t="str">
        <f>INDEX('Pipe Table'!$H$2:$H$8,MATCH('TE_OA_20200805_INTRDY_2020-08-0'!I764,'Pipe Table'!$G$2:$G$8,0))</f>
        <v>TETCO-M2</v>
      </c>
      <c r="G783" t="str">
        <f>INDEX(TeAllPoints!$D$2:$D$957,MATCH(Filter!B783,TeAllPoints!$B$2:$B$957,0))</f>
        <v>PA</v>
      </c>
      <c r="H783" t="str">
        <f>INDEX(TeAllPoints!$E$2:$E$957,MATCH(Filter!B783,TeAllPoints!$B$2:$B$957,0))</f>
        <v>GREENE</v>
      </c>
      <c r="I783">
        <f>INDEX('TE_OA_20200805_INTRDY_2020-08-0'!$Q$2:$Q$870,MATCH(Filter!B783,'TE_OA_20200805_INTRDY_2020-08-0'!$G$2:$G$870))</f>
        <v>338107</v>
      </c>
      <c r="J783">
        <f>INDEX('TE_OA_20200805_INTRDY_2020-08-0'!$R$2:$R$870,MATCH(Filter!B783,'TE_OA_20200805_INTRDY_2020-08-0'!$G$2:$G$870))</f>
        <v>66761</v>
      </c>
    </row>
    <row r="784" spans="1:10" x14ac:dyDescent="0.25">
      <c r="A784" t="str">
        <f>INDEX('Pipe Table'!$E$2:$E$10,MATCH(INDEX('TE_OA_20200805_INTRDY_2020-08-0'!$T$2:$T$870,MATCH(Filter!B784,'TE_OA_20200805_INTRDY_2020-08-0'!$G$2:$G$870,0)),'Pipe Table'!$D$2:$D$10,0))</f>
        <v>TETCO</v>
      </c>
      <c r="B784">
        <v>75660</v>
      </c>
      <c r="C784" t="str">
        <f>INDEX('TE_OA_20200805_INTRDY_2020-08-0'!$J$2:$J$870,MATCH(Filter!B784,'TE_OA_20200805_INTRDY_2020-08-0'!$G$2:$G$870))</f>
        <v>Receipt</v>
      </c>
      <c r="D784" t="str">
        <f>INDEX('Pipe Table'!$B$2:$B$14,MATCH(INDEX(TeAllPoints!$I$2:$I$957,MATCH(Filter!B784,TeAllPoints!$B$2:$B$957,0)),'Pipe Table'!$A$2:$A$14,0))</f>
        <v>Wellhead</v>
      </c>
      <c r="E784" t="str">
        <f>INDEX('TE_OA_20200805_INTRDY_2020-08-0'!$H$2:$H$870,MATCH(Filter!B784,'TE_OA_20200805_INTRDY_2020-08-0'!$G$2:$G$870))</f>
        <v>NISOURCE MIDSTREAM SERVCS-DRY RIDGE-GREENE CO.,PA(D)73660/(R)73661</v>
      </c>
      <c r="F784" t="str">
        <f>INDEX('Pipe Table'!$H$2:$H$8,MATCH('TE_OA_20200805_INTRDY_2020-08-0'!I765,'Pipe Table'!$G$2:$G$8,0))</f>
        <v>TETCO-M2</v>
      </c>
      <c r="G784" t="str">
        <f>INDEX(TeAllPoints!$D$2:$D$957,MATCH(Filter!B784,TeAllPoints!$B$2:$B$957,0))</f>
        <v>PA</v>
      </c>
      <c r="H784" t="str">
        <f>INDEX(TeAllPoints!$E$2:$E$957,MATCH(Filter!B784,TeAllPoints!$B$2:$B$957,0))</f>
        <v>GREENE</v>
      </c>
      <c r="I784">
        <f>INDEX('TE_OA_20200805_INTRDY_2020-08-0'!$Q$2:$Q$870,MATCH(Filter!B784,'TE_OA_20200805_INTRDY_2020-08-0'!$G$2:$G$870))</f>
        <v>338107</v>
      </c>
      <c r="J784">
        <f>INDEX('TE_OA_20200805_INTRDY_2020-08-0'!$R$2:$R$870,MATCH(Filter!B784,'TE_OA_20200805_INTRDY_2020-08-0'!$G$2:$G$870))</f>
        <v>66761</v>
      </c>
    </row>
    <row r="785" spans="1:10" x14ac:dyDescent="0.25">
      <c r="A785" t="str">
        <f>INDEX('Pipe Table'!$E$2:$E$10,MATCH(INDEX('TE_OA_20200805_INTRDY_2020-08-0'!$T$2:$T$870,MATCH(Filter!B785,'TE_OA_20200805_INTRDY_2020-08-0'!$G$2:$G$870,0)),'Pipe Table'!$D$2:$D$10,0))</f>
        <v>TETCO</v>
      </c>
      <c r="B785">
        <v>75661</v>
      </c>
      <c r="C785" t="str">
        <f>INDEX('TE_OA_20200805_INTRDY_2020-08-0'!$J$2:$J$870,MATCH(Filter!B785,'TE_OA_20200805_INTRDY_2020-08-0'!$G$2:$G$870))</f>
        <v>Receipt</v>
      </c>
      <c r="D785" t="str">
        <f>INDEX('Pipe Table'!$B$2:$B$14,MATCH(INDEX(TeAllPoints!$I$2:$I$957,MATCH(Filter!B785,TeAllPoints!$B$2:$B$957,0)),'Pipe Table'!$A$2:$A$14,0))</f>
        <v>LDC</v>
      </c>
      <c r="E785" t="str">
        <f>INDEX('TE_OA_20200805_INTRDY_2020-08-0'!$H$2:$H$870,MATCH(Filter!B785,'TE_OA_20200805_INTRDY_2020-08-0'!$G$2:$G$870))</f>
        <v>ENERGY SUPPLY CONSULTANT - WHITE CO., IL-(D72661/R</v>
      </c>
      <c r="F785" t="str">
        <f>INDEX('Pipe Table'!$H$2:$H$8,MATCH('TE_OA_20200805_INTRDY_2020-08-0'!I766,'Pipe Table'!$G$2:$G$8,0))</f>
        <v>TETCO-M1</v>
      </c>
      <c r="G785" t="str">
        <f>INDEX(TeAllPoints!$D$2:$D$957,MATCH(Filter!B785,TeAllPoints!$B$2:$B$957,0))</f>
        <v>IL</v>
      </c>
      <c r="H785" t="str">
        <f>INDEX(TeAllPoints!$E$2:$E$957,MATCH(Filter!B785,TeAllPoints!$B$2:$B$957,0))</f>
        <v>WHITE</v>
      </c>
      <c r="I785">
        <f>INDEX('TE_OA_20200805_INTRDY_2020-08-0'!$Q$2:$Q$870,MATCH(Filter!B785,'TE_OA_20200805_INTRDY_2020-08-0'!$G$2:$G$870))</f>
        <v>13433</v>
      </c>
      <c r="J785">
        <f>INDEX('TE_OA_20200805_INTRDY_2020-08-0'!$R$2:$R$870,MATCH(Filter!B785,'TE_OA_20200805_INTRDY_2020-08-0'!$G$2:$G$870))</f>
        <v>0</v>
      </c>
    </row>
    <row r="786" spans="1:10" x14ac:dyDescent="0.25">
      <c r="A786" t="str">
        <f>INDEX('Pipe Table'!$E$2:$E$10,MATCH(INDEX('TE_OA_20200805_INTRDY_2020-08-0'!$T$2:$T$870,MATCH(Filter!B786,'TE_OA_20200805_INTRDY_2020-08-0'!$G$2:$G$870,0)),'Pipe Table'!$D$2:$D$10,0))</f>
        <v>TETCO</v>
      </c>
      <c r="B786">
        <v>75661</v>
      </c>
      <c r="C786" t="str">
        <f>INDEX('TE_OA_20200805_INTRDY_2020-08-0'!$J$2:$J$870,MATCH(Filter!B786,'TE_OA_20200805_INTRDY_2020-08-0'!$G$2:$G$870))</f>
        <v>Receipt</v>
      </c>
      <c r="D786" t="str">
        <f>INDEX('Pipe Table'!$B$2:$B$14,MATCH(INDEX(TeAllPoints!$I$2:$I$957,MATCH(Filter!B786,TeAllPoints!$B$2:$B$957,0)),'Pipe Table'!$A$2:$A$14,0))</f>
        <v>LDC</v>
      </c>
      <c r="E786" t="str">
        <f>INDEX('TE_OA_20200805_INTRDY_2020-08-0'!$H$2:$H$870,MATCH(Filter!B786,'TE_OA_20200805_INTRDY_2020-08-0'!$G$2:$G$870))</f>
        <v>ENERGY SUPPLY CONSULTANT - WHITE CO., IL-(D72661/R</v>
      </c>
      <c r="F786" t="str">
        <f>INDEX('Pipe Table'!$H$2:$H$8,MATCH('TE_OA_20200805_INTRDY_2020-08-0'!I767,'Pipe Table'!$G$2:$G$8,0))</f>
        <v>TETCO-M1</v>
      </c>
      <c r="G786" t="str">
        <f>INDEX(TeAllPoints!$D$2:$D$957,MATCH(Filter!B786,TeAllPoints!$B$2:$B$957,0))</f>
        <v>IL</v>
      </c>
      <c r="H786" t="str">
        <f>INDEX(TeAllPoints!$E$2:$E$957,MATCH(Filter!B786,TeAllPoints!$B$2:$B$957,0))</f>
        <v>WHITE</v>
      </c>
      <c r="I786">
        <f>INDEX('TE_OA_20200805_INTRDY_2020-08-0'!$Q$2:$Q$870,MATCH(Filter!B786,'TE_OA_20200805_INTRDY_2020-08-0'!$G$2:$G$870))</f>
        <v>13433</v>
      </c>
      <c r="J786">
        <f>INDEX('TE_OA_20200805_INTRDY_2020-08-0'!$R$2:$R$870,MATCH(Filter!B786,'TE_OA_20200805_INTRDY_2020-08-0'!$G$2:$G$870))</f>
        <v>0</v>
      </c>
    </row>
    <row r="787" spans="1:10" x14ac:dyDescent="0.25">
      <c r="A787" t="str">
        <f>INDEX('Pipe Table'!$E$2:$E$10,MATCH(INDEX('TE_OA_20200805_INTRDY_2020-08-0'!$T$2:$T$870,MATCH(Filter!B787,'TE_OA_20200805_INTRDY_2020-08-0'!$G$2:$G$870,0)),'Pipe Table'!$D$2:$D$10,0))</f>
        <v>TETCO</v>
      </c>
      <c r="B787">
        <v>75662</v>
      </c>
      <c r="C787" t="str">
        <f>INDEX('TE_OA_20200805_INTRDY_2020-08-0'!$J$2:$J$870,MATCH(Filter!B787,'TE_OA_20200805_INTRDY_2020-08-0'!$G$2:$G$870))</f>
        <v>Receipt</v>
      </c>
      <c r="D787" t="str">
        <f>INDEX('Pipe Table'!$B$2:$B$14,MATCH(INDEX(TeAllPoints!$I$2:$I$957,MATCH(Filter!B787,TeAllPoints!$B$2:$B$957,0)),'Pipe Table'!$A$2:$A$14,0))</f>
        <v>Stor</v>
      </c>
      <c r="E787" t="str">
        <f>INDEX('TE_OA_20200805_INTRDY_2020-08-0'!$H$2:$H$870,MATCH(Filter!B787,'TE_OA_20200805_INTRDY_2020-08-0'!$G$2:$G$870))</f>
        <v>GOLDEN TRIANGLE STORAGE D73662/R73663</v>
      </c>
      <c r="F787" t="str">
        <f>INDEX('Pipe Table'!$H$2:$H$8,MATCH('TE_OA_20200805_INTRDY_2020-08-0'!I768,'Pipe Table'!$G$2:$G$8,0))</f>
        <v>TETCO-WLA</v>
      </c>
      <c r="G787" t="str">
        <f>INDEX(TeAllPoints!$D$2:$D$957,MATCH(Filter!B787,TeAllPoints!$B$2:$B$957,0))</f>
        <v>TX</v>
      </c>
      <c r="H787" t="str">
        <f>INDEX(TeAllPoints!$E$2:$E$957,MATCH(Filter!B787,TeAllPoints!$B$2:$B$957,0))</f>
        <v>ORANGE</v>
      </c>
      <c r="I787">
        <f>INDEX('TE_OA_20200805_INTRDY_2020-08-0'!$Q$2:$Q$870,MATCH(Filter!B787,'TE_OA_20200805_INTRDY_2020-08-0'!$G$2:$G$870))</f>
        <v>424487</v>
      </c>
      <c r="J787">
        <f>INDEX('TE_OA_20200805_INTRDY_2020-08-0'!$R$2:$R$870,MATCH(Filter!B787,'TE_OA_20200805_INTRDY_2020-08-0'!$G$2:$G$870))</f>
        <v>10000</v>
      </c>
    </row>
    <row r="788" spans="1:10" x14ac:dyDescent="0.25">
      <c r="A788" t="str">
        <f>INDEX('Pipe Table'!$E$2:$E$10,MATCH(INDEX('TE_OA_20200805_INTRDY_2020-08-0'!$T$2:$T$870,MATCH(Filter!B788,'TE_OA_20200805_INTRDY_2020-08-0'!$G$2:$G$870,0)),'Pipe Table'!$D$2:$D$10,0))</f>
        <v>TETCO</v>
      </c>
      <c r="B788">
        <v>75662</v>
      </c>
      <c r="C788" t="str">
        <f>INDEX('TE_OA_20200805_INTRDY_2020-08-0'!$J$2:$J$870,MATCH(Filter!B788,'TE_OA_20200805_INTRDY_2020-08-0'!$G$2:$G$870))</f>
        <v>Receipt</v>
      </c>
      <c r="D788" t="str">
        <f>INDEX('Pipe Table'!$B$2:$B$14,MATCH(INDEX(TeAllPoints!$I$2:$I$957,MATCH(Filter!B788,TeAllPoints!$B$2:$B$957,0)),'Pipe Table'!$A$2:$A$14,0))</f>
        <v>Stor</v>
      </c>
      <c r="E788" t="str">
        <f>INDEX('TE_OA_20200805_INTRDY_2020-08-0'!$H$2:$H$870,MATCH(Filter!B788,'TE_OA_20200805_INTRDY_2020-08-0'!$G$2:$G$870))</f>
        <v>GOLDEN TRIANGLE STORAGE D73662/R73663</v>
      </c>
      <c r="F788" t="str">
        <f>INDEX('Pipe Table'!$H$2:$H$8,MATCH('TE_OA_20200805_INTRDY_2020-08-0'!I769,'Pipe Table'!$G$2:$G$8,0))</f>
        <v>TETCO-WLA</v>
      </c>
      <c r="G788" t="str">
        <f>INDEX(TeAllPoints!$D$2:$D$957,MATCH(Filter!B788,TeAllPoints!$B$2:$B$957,0))</f>
        <v>TX</v>
      </c>
      <c r="H788" t="str">
        <f>INDEX(TeAllPoints!$E$2:$E$957,MATCH(Filter!B788,TeAllPoints!$B$2:$B$957,0))</f>
        <v>ORANGE</v>
      </c>
      <c r="I788">
        <f>INDEX('TE_OA_20200805_INTRDY_2020-08-0'!$Q$2:$Q$870,MATCH(Filter!B788,'TE_OA_20200805_INTRDY_2020-08-0'!$G$2:$G$870))</f>
        <v>424487</v>
      </c>
      <c r="J788">
        <f>INDEX('TE_OA_20200805_INTRDY_2020-08-0'!$R$2:$R$870,MATCH(Filter!B788,'TE_OA_20200805_INTRDY_2020-08-0'!$G$2:$G$870))</f>
        <v>10000</v>
      </c>
    </row>
    <row r="789" spans="1:10" x14ac:dyDescent="0.25">
      <c r="A789" t="str">
        <f>INDEX('Pipe Table'!$E$2:$E$10,MATCH(INDEX('TE_OA_20200805_INTRDY_2020-08-0'!$T$2:$T$870,MATCH(Filter!B789,'TE_OA_20200805_INTRDY_2020-08-0'!$G$2:$G$870,0)),'Pipe Table'!$D$2:$D$10,0))</f>
        <v>TETCO</v>
      </c>
      <c r="B789">
        <v>75672</v>
      </c>
      <c r="C789" t="str">
        <f>INDEX('TE_OA_20200805_INTRDY_2020-08-0'!$J$2:$J$870,MATCH(Filter!B789,'TE_OA_20200805_INTRDY_2020-08-0'!$G$2:$G$870))</f>
        <v>Receipt</v>
      </c>
      <c r="D789" t="str">
        <f>INDEX('Pipe Table'!$B$2:$B$14,MATCH(INDEX(TeAllPoints!$I$2:$I$957,MATCH(Filter!B789,TeAllPoints!$B$2:$B$957,0)),'Pipe Table'!$A$2:$A$14,0))</f>
        <v>Intrcnnct</v>
      </c>
      <c r="E789" t="str">
        <f>INDEX('TE_OA_20200805_INTRDY_2020-08-0'!$H$2:$H$870,MATCH(Filter!B789,'TE_OA_20200805_INTRDY_2020-08-0'!$G$2:$G$870))</f>
        <v>FLORIDA GAS - KROTZ SPRINGS, LA (D71672/R76672)</v>
      </c>
      <c r="F789" t="str">
        <f>INDEX('Pipe Table'!$H$2:$H$8,MATCH('TE_OA_20200805_INTRDY_2020-08-0'!I770,'Pipe Table'!$G$2:$G$8,0))</f>
        <v>TETCO-ELA</v>
      </c>
      <c r="G789" t="str">
        <f>INDEX(TeAllPoints!$D$2:$D$957,MATCH(Filter!B789,TeAllPoints!$B$2:$B$957,0))</f>
        <v>LA</v>
      </c>
      <c r="H789" t="str">
        <f>INDEX(TeAllPoints!$E$2:$E$957,MATCH(Filter!B789,TeAllPoints!$B$2:$B$957,0))</f>
        <v>ST LANDRY</v>
      </c>
      <c r="I789">
        <f>INDEX('TE_OA_20200805_INTRDY_2020-08-0'!$Q$2:$Q$870,MATCH(Filter!B789,'TE_OA_20200805_INTRDY_2020-08-0'!$G$2:$G$870))</f>
        <v>147356</v>
      </c>
      <c r="J789">
        <f>INDEX('TE_OA_20200805_INTRDY_2020-08-0'!$R$2:$R$870,MATCH(Filter!B789,'TE_OA_20200805_INTRDY_2020-08-0'!$G$2:$G$870))</f>
        <v>0</v>
      </c>
    </row>
    <row r="790" spans="1:10" x14ac:dyDescent="0.25">
      <c r="A790" t="str">
        <f>INDEX('Pipe Table'!$E$2:$E$10,MATCH(INDEX('TE_OA_20200805_INTRDY_2020-08-0'!$T$2:$T$870,MATCH(Filter!B790,'TE_OA_20200805_INTRDY_2020-08-0'!$G$2:$G$870,0)),'Pipe Table'!$D$2:$D$10,0))</f>
        <v>TETCO</v>
      </c>
      <c r="B790">
        <v>75672</v>
      </c>
      <c r="C790" t="str">
        <f>INDEX('TE_OA_20200805_INTRDY_2020-08-0'!$J$2:$J$870,MATCH(Filter!B790,'TE_OA_20200805_INTRDY_2020-08-0'!$G$2:$G$870))</f>
        <v>Receipt</v>
      </c>
      <c r="D790" t="str">
        <f>INDEX('Pipe Table'!$B$2:$B$14,MATCH(INDEX(TeAllPoints!$I$2:$I$957,MATCH(Filter!B790,TeAllPoints!$B$2:$B$957,0)),'Pipe Table'!$A$2:$A$14,0))</f>
        <v>Intrcnnct</v>
      </c>
      <c r="E790" t="str">
        <f>INDEX('TE_OA_20200805_INTRDY_2020-08-0'!$H$2:$H$870,MATCH(Filter!B790,'TE_OA_20200805_INTRDY_2020-08-0'!$G$2:$G$870))</f>
        <v>FLORIDA GAS - KROTZ SPRINGS, LA (D71672/R76672)</v>
      </c>
      <c r="F790" t="str">
        <f>INDEX('Pipe Table'!$H$2:$H$8,MATCH('TE_OA_20200805_INTRDY_2020-08-0'!I771,'Pipe Table'!$G$2:$G$8,0))</f>
        <v>TETCO-ELA</v>
      </c>
      <c r="G790" t="str">
        <f>INDEX(TeAllPoints!$D$2:$D$957,MATCH(Filter!B790,TeAllPoints!$B$2:$B$957,0))</f>
        <v>LA</v>
      </c>
      <c r="H790" t="str">
        <f>INDEX(TeAllPoints!$E$2:$E$957,MATCH(Filter!B790,TeAllPoints!$B$2:$B$957,0))</f>
        <v>ST LANDRY</v>
      </c>
      <c r="I790">
        <f>INDEX('TE_OA_20200805_INTRDY_2020-08-0'!$Q$2:$Q$870,MATCH(Filter!B790,'TE_OA_20200805_INTRDY_2020-08-0'!$G$2:$G$870))</f>
        <v>147356</v>
      </c>
      <c r="J790">
        <f>INDEX('TE_OA_20200805_INTRDY_2020-08-0'!$R$2:$R$870,MATCH(Filter!B790,'TE_OA_20200805_INTRDY_2020-08-0'!$G$2:$G$870))</f>
        <v>0</v>
      </c>
    </row>
    <row r="791" spans="1:10" x14ac:dyDescent="0.25">
      <c r="A791" t="str">
        <f>INDEX('Pipe Table'!$E$2:$E$10,MATCH(INDEX('TE_OA_20200805_INTRDY_2020-08-0'!$T$2:$T$870,MATCH(Filter!B791,'TE_OA_20200805_INTRDY_2020-08-0'!$G$2:$G$870,0)),'Pipe Table'!$D$2:$D$10,0))</f>
        <v>TETCO</v>
      </c>
      <c r="B791">
        <v>75688</v>
      </c>
      <c r="C791" t="str">
        <f>INDEX('TE_OA_20200805_INTRDY_2020-08-0'!$J$2:$J$870,MATCH(Filter!B791,'TE_OA_20200805_INTRDY_2020-08-0'!$G$2:$G$870))</f>
        <v>Delivery</v>
      </c>
      <c r="D791" t="str">
        <f>INDEX('Pipe Table'!$B$2:$B$14,MATCH(INDEX(TeAllPoints!$I$2:$I$957,MATCH(Filter!B791,TeAllPoints!$B$2:$B$957,0)),'Pipe Table'!$A$2:$A$14,0))</f>
        <v>Intrcnnct</v>
      </c>
      <c r="E791" t="str">
        <f>INDEX('TE_OA_20200805_INTRDY_2020-08-0'!$H$2:$H$870,MATCH(Filter!B791,'TE_OA_20200805_INTRDY_2020-08-0'!$G$2:$G$870))</f>
        <v>REGENCY GAS - BIENVILLE PA. LA-(D72688/R76688)</v>
      </c>
      <c r="F791" t="str">
        <f>INDEX('Pipe Table'!$H$2:$H$8,MATCH('TE_OA_20200805_INTRDY_2020-08-0'!I772,'Pipe Table'!$G$2:$G$8,0))</f>
        <v>TETCO-ETX</v>
      </c>
      <c r="G791" t="str">
        <f>INDEX(TeAllPoints!$D$2:$D$957,MATCH(Filter!B791,TeAllPoints!$B$2:$B$957,0))</f>
        <v>LA</v>
      </c>
      <c r="H791" t="str">
        <f>INDEX(TeAllPoints!$E$2:$E$957,MATCH(Filter!B791,TeAllPoints!$B$2:$B$957,0))</f>
        <v>BIENVILLE</v>
      </c>
      <c r="I791">
        <f>INDEX('TE_OA_20200805_INTRDY_2020-08-0'!$Q$2:$Q$870,MATCH(Filter!B791,'TE_OA_20200805_INTRDY_2020-08-0'!$G$2:$G$870))</f>
        <v>198895</v>
      </c>
      <c r="J791">
        <f>INDEX('TE_OA_20200805_INTRDY_2020-08-0'!$R$2:$R$870,MATCH(Filter!B791,'TE_OA_20200805_INTRDY_2020-08-0'!$G$2:$G$870))</f>
        <v>0</v>
      </c>
    </row>
    <row r="792" spans="1:10" x14ac:dyDescent="0.25">
      <c r="A792" t="str">
        <f>INDEX('Pipe Table'!$E$2:$E$10,MATCH(INDEX('TE_OA_20200805_INTRDY_2020-08-0'!$T$2:$T$870,MATCH(Filter!B792,'TE_OA_20200805_INTRDY_2020-08-0'!$G$2:$G$870,0)),'Pipe Table'!$D$2:$D$10,0))</f>
        <v>TETCO</v>
      </c>
      <c r="B792">
        <v>75688</v>
      </c>
      <c r="C792" t="str">
        <f>INDEX('TE_OA_20200805_INTRDY_2020-08-0'!$J$2:$J$870,MATCH(Filter!B792,'TE_OA_20200805_INTRDY_2020-08-0'!$G$2:$G$870))</f>
        <v>Delivery</v>
      </c>
      <c r="D792" t="str">
        <f>INDEX('Pipe Table'!$B$2:$B$14,MATCH(INDEX(TeAllPoints!$I$2:$I$957,MATCH(Filter!B792,TeAllPoints!$B$2:$B$957,0)),'Pipe Table'!$A$2:$A$14,0))</f>
        <v>Intrcnnct</v>
      </c>
      <c r="E792" t="str">
        <f>INDEX('TE_OA_20200805_INTRDY_2020-08-0'!$H$2:$H$870,MATCH(Filter!B792,'TE_OA_20200805_INTRDY_2020-08-0'!$G$2:$G$870))</f>
        <v>REGENCY GAS - BIENVILLE PA. LA-(D72688/R76688)</v>
      </c>
      <c r="F792" t="str">
        <f>INDEX('Pipe Table'!$H$2:$H$8,MATCH('TE_OA_20200805_INTRDY_2020-08-0'!I773,'Pipe Table'!$G$2:$G$8,0))</f>
        <v>TETCO-ETX</v>
      </c>
      <c r="G792" t="str">
        <f>INDEX(TeAllPoints!$D$2:$D$957,MATCH(Filter!B792,TeAllPoints!$B$2:$B$957,0))</f>
        <v>LA</v>
      </c>
      <c r="H792" t="str">
        <f>INDEX(TeAllPoints!$E$2:$E$957,MATCH(Filter!B792,TeAllPoints!$B$2:$B$957,0))</f>
        <v>BIENVILLE</v>
      </c>
      <c r="I792">
        <f>INDEX('TE_OA_20200805_INTRDY_2020-08-0'!$Q$2:$Q$870,MATCH(Filter!B792,'TE_OA_20200805_INTRDY_2020-08-0'!$G$2:$G$870))</f>
        <v>198895</v>
      </c>
      <c r="J792">
        <f>INDEX('TE_OA_20200805_INTRDY_2020-08-0'!$R$2:$R$870,MATCH(Filter!B792,'TE_OA_20200805_INTRDY_2020-08-0'!$G$2:$G$870))</f>
        <v>0</v>
      </c>
    </row>
    <row r="793" spans="1:10" x14ac:dyDescent="0.25">
      <c r="A793" t="str">
        <f>INDEX('Pipe Table'!$E$2:$E$10,MATCH(INDEX('TE_OA_20200805_INTRDY_2020-08-0'!$T$2:$T$870,MATCH(Filter!B793,'TE_OA_20200805_INTRDY_2020-08-0'!$G$2:$G$870,0)),'Pipe Table'!$D$2:$D$10,0))</f>
        <v>TETCO</v>
      </c>
      <c r="B793">
        <v>75709</v>
      </c>
      <c r="C793" t="str">
        <f>INDEX('TE_OA_20200805_INTRDY_2020-08-0'!$J$2:$J$870,MATCH(Filter!B793,'TE_OA_20200805_INTRDY_2020-08-0'!$G$2:$G$870))</f>
        <v>Receipt</v>
      </c>
      <c r="D793" t="str">
        <f>INDEX('Pipe Table'!$B$2:$B$14,MATCH(INDEX(TeAllPoints!$I$2:$I$957,MATCH(Filter!B793,TeAllPoints!$B$2:$B$957,0)),'Pipe Table'!$A$2:$A$14,0))</f>
        <v>LNG</v>
      </c>
      <c r="E793" t="str">
        <f>INDEX('TE_OA_20200805_INTRDY_2020-08-0'!$H$2:$H$870,MATCH(Filter!B793,'TE_OA_20200805_INTRDY_2020-08-0'!$G$2:$G$870))</f>
        <v>UGI - LNG TEMPLE (BI-DIR 73709/76709)</v>
      </c>
      <c r="F793" t="str">
        <f>INDEX('Pipe Table'!$H$2:$H$8,MATCH('TE_OA_20200805_INTRDY_2020-08-0'!I774,'Pipe Table'!$G$2:$G$8,0))</f>
        <v>TETCO-M3</v>
      </c>
      <c r="G793" t="str">
        <f>INDEX(TeAllPoints!$D$2:$D$957,MATCH(Filter!B793,TeAllPoints!$B$2:$B$957,0))</f>
        <v>PA</v>
      </c>
      <c r="H793" t="str">
        <f>INDEX(TeAllPoints!$E$2:$E$957,MATCH(Filter!B793,TeAllPoints!$B$2:$B$957,0))</f>
        <v>BERKS</v>
      </c>
      <c r="I793">
        <f>INDEX('TE_OA_20200805_INTRDY_2020-08-0'!$Q$2:$Q$870,MATCH(Filter!B793,'TE_OA_20200805_INTRDY_2020-08-0'!$G$2:$G$870))</f>
        <v>145084</v>
      </c>
      <c r="J793">
        <f>INDEX('TE_OA_20200805_INTRDY_2020-08-0'!$R$2:$R$870,MATCH(Filter!B793,'TE_OA_20200805_INTRDY_2020-08-0'!$G$2:$G$870))</f>
        <v>0</v>
      </c>
    </row>
    <row r="794" spans="1:10" x14ac:dyDescent="0.25">
      <c r="A794" t="str">
        <f>INDEX('Pipe Table'!$E$2:$E$10,MATCH(INDEX('TE_OA_20200805_INTRDY_2020-08-0'!$T$2:$T$870,MATCH(Filter!B794,'TE_OA_20200805_INTRDY_2020-08-0'!$G$2:$G$870,0)),'Pipe Table'!$D$2:$D$10,0))</f>
        <v>TETCO</v>
      </c>
      <c r="B794">
        <v>75709</v>
      </c>
      <c r="C794" t="str">
        <f>INDEX('TE_OA_20200805_INTRDY_2020-08-0'!$J$2:$J$870,MATCH(Filter!B794,'TE_OA_20200805_INTRDY_2020-08-0'!$G$2:$G$870))</f>
        <v>Receipt</v>
      </c>
      <c r="D794" t="str">
        <f>INDEX('Pipe Table'!$B$2:$B$14,MATCH(INDEX(TeAllPoints!$I$2:$I$957,MATCH(Filter!B794,TeAllPoints!$B$2:$B$957,0)),'Pipe Table'!$A$2:$A$14,0))</f>
        <v>LNG</v>
      </c>
      <c r="E794" t="str">
        <f>INDEX('TE_OA_20200805_INTRDY_2020-08-0'!$H$2:$H$870,MATCH(Filter!B794,'TE_OA_20200805_INTRDY_2020-08-0'!$G$2:$G$870))</f>
        <v>UGI - LNG TEMPLE (BI-DIR 73709/76709)</v>
      </c>
      <c r="F794" t="str">
        <f>INDEX('Pipe Table'!$H$2:$H$8,MATCH('TE_OA_20200805_INTRDY_2020-08-0'!I775,'Pipe Table'!$G$2:$G$8,0))</f>
        <v>TETCO-M3</v>
      </c>
      <c r="G794" t="str">
        <f>INDEX(TeAllPoints!$D$2:$D$957,MATCH(Filter!B794,TeAllPoints!$B$2:$B$957,0))</f>
        <v>PA</v>
      </c>
      <c r="H794" t="str">
        <f>INDEX(TeAllPoints!$E$2:$E$957,MATCH(Filter!B794,TeAllPoints!$B$2:$B$957,0))</f>
        <v>BERKS</v>
      </c>
      <c r="I794">
        <f>INDEX('TE_OA_20200805_INTRDY_2020-08-0'!$Q$2:$Q$870,MATCH(Filter!B794,'TE_OA_20200805_INTRDY_2020-08-0'!$G$2:$G$870))</f>
        <v>145084</v>
      </c>
      <c r="J794">
        <f>INDEX('TE_OA_20200805_INTRDY_2020-08-0'!$R$2:$R$870,MATCH(Filter!B794,'TE_OA_20200805_INTRDY_2020-08-0'!$G$2:$G$870))</f>
        <v>0</v>
      </c>
    </row>
    <row r="795" spans="1:10" x14ac:dyDescent="0.25">
      <c r="A795" t="str">
        <f>INDEX('Pipe Table'!$E$2:$E$10,MATCH(INDEX('TE_OA_20200805_INTRDY_2020-08-0'!$T$2:$T$870,MATCH(Filter!B795,'TE_OA_20200805_INTRDY_2020-08-0'!$G$2:$G$870,0)),'Pipe Table'!$D$2:$D$10,0))</f>
        <v>TETCO</v>
      </c>
      <c r="B795">
        <v>75720</v>
      </c>
      <c r="C795" t="str">
        <f>INDEX('TE_OA_20200805_INTRDY_2020-08-0'!$J$2:$J$870,MATCH(Filter!B795,'TE_OA_20200805_INTRDY_2020-08-0'!$G$2:$G$870))</f>
        <v>Delivery</v>
      </c>
      <c r="D795" t="str">
        <f>INDEX('Pipe Table'!$B$2:$B$14,MATCH(INDEX(TeAllPoints!$I$2:$I$957,MATCH(Filter!B795,TeAllPoints!$B$2:$B$957,0)),'Pipe Table'!$A$2:$A$14,0))</f>
        <v>Intrcnnct</v>
      </c>
      <c r="E795" t="str">
        <f>INDEX('TE_OA_20200805_INTRDY_2020-08-0'!$H$2:$H$870,MATCH(Filter!B795,'TE_OA_20200805_INTRDY_2020-08-0'!$G$2:$G$870))</f>
        <v>NATIONAL FUEL-HOLBROOK GREENE CO., PA (D73720/R76720)</v>
      </c>
      <c r="F795" t="str">
        <f>INDEX('Pipe Table'!$H$2:$H$8,MATCH('TE_OA_20200805_INTRDY_2020-08-0'!I776,'Pipe Table'!$G$2:$G$8,0))</f>
        <v>TETCO-M2</v>
      </c>
      <c r="G795" t="str">
        <f>INDEX(TeAllPoints!$D$2:$D$957,MATCH(Filter!B795,TeAllPoints!$B$2:$B$957,0))</f>
        <v>PA</v>
      </c>
      <c r="H795" t="str">
        <f>INDEX(TeAllPoints!$E$2:$E$957,MATCH(Filter!B795,TeAllPoints!$B$2:$B$957,0))</f>
        <v>GREENE</v>
      </c>
      <c r="I795">
        <f>INDEX('TE_OA_20200805_INTRDY_2020-08-0'!$Q$2:$Q$870,MATCH(Filter!B795,'TE_OA_20200805_INTRDY_2020-08-0'!$G$2:$G$870))</f>
        <v>673210</v>
      </c>
      <c r="J795">
        <f>INDEX('TE_OA_20200805_INTRDY_2020-08-0'!$R$2:$R$870,MATCH(Filter!B795,'TE_OA_20200805_INTRDY_2020-08-0'!$G$2:$G$870))</f>
        <v>99958</v>
      </c>
    </row>
    <row r="796" spans="1:10" x14ac:dyDescent="0.25">
      <c r="A796" t="str">
        <f>INDEX('Pipe Table'!$E$2:$E$10,MATCH(INDEX('TE_OA_20200805_INTRDY_2020-08-0'!$T$2:$T$870,MATCH(Filter!B796,'TE_OA_20200805_INTRDY_2020-08-0'!$G$2:$G$870,0)),'Pipe Table'!$D$2:$D$10,0))</f>
        <v>TETCO</v>
      </c>
      <c r="B796">
        <v>75720</v>
      </c>
      <c r="C796" t="str">
        <f>INDEX('TE_OA_20200805_INTRDY_2020-08-0'!$J$2:$J$870,MATCH(Filter!B796,'TE_OA_20200805_INTRDY_2020-08-0'!$G$2:$G$870))</f>
        <v>Delivery</v>
      </c>
      <c r="D796" t="str">
        <f>INDEX('Pipe Table'!$B$2:$B$14,MATCH(INDEX(TeAllPoints!$I$2:$I$957,MATCH(Filter!B796,TeAllPoints!$B$2:$B$957,0)),'Pipe Table'!$A$2:$A$14,0))</f>
        <v>Intrcnnct</v>
      </c>
      <c r="E796" t="str">
        <f>INDEX('TE_OA_20200805_INTRDY_2020-08-0'!$H$2:$H$870,MATCH(Filter!B796,'TE_OA_20200805_INTRDY_2020-08-0'!$G$2:$G$870))</f>
        <v>NATIONAL FUEL-HOLBROOK GREENE CO., PA (D73720/R76720)</v>
      </c>
      <c r="F796" t="str">
        <f>INDEX('Pipe Table'!$H$2:$H$8,MATCH('TE_OA_20200805_INTRDY_2020-08-0'!I777,'Pipe Table'!$G$2:$G$8,0))</f>
        <v>TETCO-M2</v>
      </c>
      <c r="G796" t="str">
        <f>INDEX(TeAllPoints!$D$2:$D$957,MATCH(Filter!B796,TeAllPoints!$B$2:$B$957,0))</f>
        <v>PA</v>
      </c>
      <c r="H796" t="str">
        <f>INDEX(TeAllPoints!$E$2:$E$957,MATCH(Filter!B796,TeAllPoints!$B$2:$B$957,0))</f>
        <v>GREENE</v>
      </c>
      <c r="I796">
        <f>INDEX('TE_OA_20200805_INTRDY_2020-08-0'!$Q$2:$Q$870,MATCH(Filter!B796,'TE_OA_20200805_INTRDY_2020-08-0'!$G$2:$G$870))</f>
        <v>673210</v>
      </c>
      <c r="J796">
        <f>INDEX('TE_OA_20200805_INTRDY_2020-08-0'!$R$2:$R$870,MATCH(Filter!B796,'TE_OA_20200805_INTRDY_2020-08-0'!$G$2:$G$870))</f>
        <v>99958</v>
      </c>
    </row>
    <row r="797" spans="1:10" x14ac:dyDescent="0.25">
      <c r="A797" t="str">
        <f>INDEX('Pipe Table'!$E$2:$E$10,MATCH(INDEX('TE_OA_20200805_INTRDY_2020-08-0'!$T$2:$T$870,MATCH(Filter!B797,'TE_OA_20200805_INTRDY_2020-08-0'!$G$2:$G$870,0)),'Pipe Table'!$D$2:$D$10,0))</f>
        <v>TETCO</v>
      </c>
      <c r="B797">
        <v>75773</v>
      </c>
      <c r="C797" t="str">
        <f>INDEX('TE_OA_20200805_INTRDY_2020-08-0'!$J$2:$J$870,MATCH(Filter!B797,'TE_OA_20200805_INTRDY_2020-08-0'!$G$2:$G$870))</f>
        <v>Receipt</v>
      </c>
      <c r="D797" t="str">
        <f>INDEX('Pipe Table'!$B$2:$B$14,MATCH(INDEX(TeAllPoints!$I$2:$I$957,MATCH(Filter!B797,TeAllPoints!$B$2:$B$957,0)),'Pipe Table'!$A$2:$A$14,0))</f>
        <v>Stor</v>
      </c>
      <c r="E797" t="str">
        <f>INDEX('TE_OA_20200805_INTRDY_2020-08-0'!$H$2:$H$870,MATCH(Filter!B797,'TE_OA_20200805_INTRDY_2020-08-0'!$G$2:$G$870))</f>
        <v>MOSS BLUFF GAS STRG-CHAMBERS CO. TX-(D7277</v>
      </c>
      <c r="F797" t="str">
        <f>INDEX('Pipe Table'!$H$2:$H$8,MATCH('TE_OA_20200805_INTRDY_2020-08-0'!I778,'Pipe Table'!$G$2:$G$8,0))</f>
        <v>TETCO-STX</v>
      </c>
      <c r="G797" t="str">
        <f>INDEX(TeAllPoints!$D$2:$D$957,MATCH(Filter!B797,TeAllPoints!$B$2:$B$957,0))</f>
        <v>TX</v>
      </c>
      <c r="H797" t="str">
        <f>INDEX(TeAllPoints!$E$2:$E$957,MATCH(Filter!B797,TeAllPoints!$B$2:$B$957,0))</f>
        <v>CHAMBERS</v>
      </c>
      <c r="I797">
        <f>INDEX('TE_OA_20200805_INTRDY_2020-08-0'!$Q$2:$Q$870,MATCH(Filter!B797,'TE_OA_20200805_INTRDY_2020-08-0'!$G$2:$G$870))</f>
        <v>684266</v>
      </c>
      <c r="J797">
        <f>INDEX('TE_OA_20200805_INTRDY_2020-08-0'!$R$2:$R$870,MATCH(Filter!B797,'TE_OA_20200805_INTRDY_2020-08-0'!$G$2:$G$870))</f>
        <v>500</v>
      </c>
    </row>
    <row r="798" spans="1:10" x14ac:dyDescent="0.25">
      <c r="A798" t="str">
        <f>INDEX('Pipe Table'!$E$2:$E$10,MATCH(INDEX('TE_OA_20200805_INTRDY_2020-08-0'!$T$2:$T$870,MATCH(Filter!B798,'TE_OA_20200805_INTRDY_2020-08-0'!$G$2:$G$870,0)),'Pipe Table'!$D$2:$D$10,0))</f>
        <v>TETCO</v>
      </c>
      <c r="B798">
        <v>75773</v>
      </c>
      <c r="C798" t="str">
        <f>INDEX('TE_OA_20200805_INTRDY_2020-08-0'!$J$2:$J$870,MATCH(Filter!B798,'TE_OA_20200805_INTRDY_2020-08-0'!$G$2:$G$870))</f>
        <v>Receipt</v>
      </c>
      <c r="D798" t="str">
        <f>INDEX('Pipe Table'!$B$2:$B$14,MATCH(INDEX(TeAllPoints!$I$2:$I$957,MATCH(Filter!B798,TeAllPoints!$B$2:$B$957,0)),'Pipe Table'!$A$2:$A$14,0))</f>
        <v>Stor</v>
      </c>
      <c r="E798" t="str">
        <f>INDEX('TE_OA_20200805_INTRDY_2020-08-0'!$H$2:$H$870,MATCH(Filter!B798,'TE_OA_20200805_INTRDY_2020-08-0'!$G$2:$G$870))</f>
        <v>MOSS BLUFF GAS STRG-CHAMBERS CO. TX-(D7277</v>
      </c>
      <c r="F798" t="str">
        <f>INDEX('Pipe Table'!$H$2:$H$8,MATCH('TE_OA_20200805_INTRDY_2020-08-0'!I779,'Pipe Table'!$G$2:$G$8,0))</f>
        <v>TETCO-STX</v>
      </c>
      <c r="G798" t="str">
        <f>INDEX(TeAllPoints!$D$2:$D$957,MATCH(Filter!B798,TeAllPoints!$B$2:$B$957,0))</f>
        <v>TX</v>
      </c>
      <c r="H798" t="str">
        <f>INDEX(TeAllPoints!$E$2:$E$957,MATCH(Filter!B798,TeAllPoints!$B$2:$B$957,0))</f>
        <v>CHAMBERS</v>
      </c>
      <c r="I798">
        <f>INDEX('TE_OA_20200805_INTRDY_2020-08-0'!$Q$2:$Q$870,MATCH(Filter!B798,'TE_OA_20200805_INTRDY_2020-08-0'!$G$2:$G$870))</f>
        <v>684266</v>
      </c>
      <c r="J798">
        <f>INDEX('TE_OA_20200805_INTRDY_2020-08-0'!$R$2:$R$870,MATCH(Filter!B798,'TE_OA_20200805_INTRDY_2020-08-0'!$G$2:$G$870))</f>
        <v>500</v>
      </c>
    </row>
    <row r="799" spans="1:10" x14ac:dyDescent="0.25">
      <c r="A799" t="str">
        <f>INDEX('Pipe Table'!$E$2:$E$10,MATCH(INDEX('TE_OA_20200805_INTRDY_2020-08-0'!$T$2:$T$870,MATCH(Filter!B799,'TE_OA_20200805_INTRDY_2020-08-0'!$G$2:$G$870,0)),'Pipe Table'!$D$2:$D$10,0))</f>
        <v>TETCO</v>
      </c>
      <c r="B799">
        <v>75778</v>
      </c>
      <c r="C799" t="str">
        <f>INDEX('TE_OA_20200805_INTRDY_2020-08-0'!$J$2:$J$870,MATCH(Filter!B799,'TE_OA_20200805_INTRDY_2020-08-0'!$G$2:$G$870))</f>
        <v>Delivery</v>
      </c>
      <c r="D799" t="str">
        <f>INDEX('Pipe Table'!$B$2:$B$14,MATCH(INDEX(TeAllPoints!$I$2:$I$957,MATCH(Filter!B799,TeAllPoints!$B$2:$B$957,0)),'Pipe Table'!$A$2:$A$14,0))</f>
        <v>Intrcnnct</v>
      </c>
      <c r="E799" t="str">
        <f>INDEX('TE_OA_20200805_INTRDY_2020-08-0'!$H$2:$H$870,MATCH(Filter!B799,'TE_OA_20200805_INTRDY_2020-08-0'!$G$2:$G$870))</f>
        <v>ATMOS TEXAS - LONE STAR GAS  - WALLER, TX-(D72778/R76778)</v>
      </c>
      <c r="F799" t="str">
        <f>INDEX('Pipe Table'!$H$2:$H$8,MATCH('TE_OA_20200805_INTRDY_2020-08-0'!I780,'Pipe Table'!$G$2:$G$8,0))</f>
        <v>TETCO-STX</v>
      </c>
      <c r="G799" t="str">
        <f>INDEX(TeAllPoints!$D$2:$D$957,MATCH(Filter!B799,TeAllPoints!$B$2:$B$957,0))</f>
        <v>TX</v>
      </c>
      <c r="H799" t="str">
        <f>INDEX(TeAllPoints!$E$2:$E$957,MATCH(Filter!B799,TeAllPoints!$B$2:$B$957,0))</f>
        <v>WALLER</v>
      </c>
      <c r="I799">
        <f>INDEX('TE_OA_20200805_INTRDY_2020-08-0'!$Q$2:$Q$870,MATCH(Filter!B799,'TE_OA_20200805_INTRDY_2020-08-0'!$G$2:$G$870))</f>
        <v>111451</v>
      </c>
      <c r="J799">
        <f>INDEX('TE_OA_20200805_INTRDY_2020-08-0'!$R$2:$R$870,MATCH(Filter!B799,'TE_OA_20200805_INTRDY_2020-08-0'!$G$2:$G$870))</f>
        <v>0</v>
      </c>
    </row>
    <row r="800" spans="1:10" x14ac:dyDescent="0.25">
      <c r="A800" t="str">
        <f>INDEX('Pipe Table'!$E$2:$E$10,MATCH(INDEX('TE_OA_20200805_INTRDY_2020-08-0'!$T$2:$T$870,MATCH(Filter!B800,'TE_OA_20200805_INTRDY_2020-08-0'!$G$2:$G$870,0)),'Pipe Table'!$D$2:$D$10,0))</f>
        <v>TETCO</v>
      </c>
      <c r="B800">
        <v>75778</v>
      </c>
      <c r="C800" t="str">
        <f>INDEX('TE_OA_20200805_INTRDY_2020-08-0'!$J$2:$J$870,MATCH(Filter!B800,'TE_OA_20200805_INTRDY_2020-08-0'!$G$2:$G$870))</f>
        <v>Delivery</v>
      </c>
      <c r="D800" t="str">
        <f>INDEX('Pipe Table'!$B$2:$B$14,MATCH(INDEX(TeAllPoints!$I$2:$I$957,MATCH(Filter!B800,TeAllPoints!$B$2:$B$957,0)),'Pipe Table'!$A$2:$A$14,0))</f>
        <v>Intrcnnct</v>
      </c>
      <c r="E800" t="str">
        <f>INDEX('TE_OA_20200805_INTRDY_2020-08-0'!$H$2:$H$870,MATCH(Filter!B800,'TE_OA_20200805_INTRDY_2020-08-0'!$G$2:$G$870))</f>
        <v>ATMOS TEXAS - LONE STAR GAS  - WALLER, TX-(D72778/R76778)</v>
      </c>
      <c r="F800" t="str">
        <f>INDEX('Pipe Table'!$H$2:$H$8,MATCH('TE_OA_20200805_INTRDY_2020-08-0'!I781,'Pipe Table'!$G$2:$G$8,0))</f>
        <v>TETCO-STX</v>
      </c>
      <c r="G800" t="str">
        <f>INDEX(TeAllPoints!$D$2:$D$957,MATCH(Filter!B800,TeAllPoints!$B$2:$B$957,0))</f>
        <v>TX</v>
      </c>
      <c r="H800" t="str">
        <f>INDEX(TeAllPoints!$E$2:$E$957,MATCH(Filter!B800,TeAllPoints!$B$2:$B$957,0))</f>
        <v>WALLER</v>
      </c>
      <c r="I800">
        <f>INDEX('TE_OA_20200805_INTRDY_2020-08-0'!$Q$2:$Q$870,MATCH(Filter!B800,'TE_OA_20200805_INTRDY_2020-08-0'!$G$2:$G$870))</f>
        <v>111451</v>
      </c>
      <c r="J800">
        <f>INDEX('TE_OA_20200805_INTRDY_2020-08-0'!$R$2:$R$870,MATCH(Filter!B800,'TE_OA_20200805_INTRDY_2020-08-0'!$G$2:$G$870))</f>
        <v>0</v>
      </c>
    </row>
    <row r="801" spans="1:10" x14ac:dyDescent="0.25">
      <c r="A801" t="str">
        <f>INDEX('Pipe Table'!$E$2:$E$10,MATCH(INDEX('TE_OA_20200805_INTRDY_2020-08-0'!$T$2:$T$870,MATCH(Filter!B801,'TE_OA_20200805_INTRDY_2020-08-0'!$G$2:$G$870,0)),'Pipe Table'!$D$2:$D$10,0))</f>
        <v>TETCO</v>
      </c>
      <c r="B801">
        <v>75821</v>
      </c>
      <c r="C801" t="str">
        <f>INDEX('TE_OA_20200805_INTRDY_2020-08-0'!$J$2:$J$870,MATCH(Filter!B801,'TE_OA_20200805_INTRDY_2020-08-0'!$G$2:$G$870))</f>
        <v>Storage Withdrawal</v>
      </c>
      <c r="D801" t="str">
        <f>INDEX('Pipe Table'!$B$2:$B$14,MATCH(INDEX(TeAllPoints!$I$2:$I$957,MATCH(Filter!B801,TeAllPoints!$B$2:$B$957,0)),'Pipe Table'!$A$2:$A$14,0))</f>
        <v>Stor</v>
      </c>
      <c r="E801" t="str">
        <f>INDEX('TE_OA_20200805_INTRDY_2020-08-0'!$H$2:$H$870,MATCH(Filter!B801,'TE_OA_20200805_INTRDY_2020-08-0'!$G$2:$G$870))</f>
        <v>DTI - N. SUMMIT STORAGE - FAYETTE CO., PA (D72821/R72822)</v>
      </c>
      <c r="F801" t="str">
        <f>INDEX('Pipe Table'!$H$2:$H$8,MATCH('TE_OA_20200805_INTRDY_2020-08-0'!I782,'Pipe Table'!$G$2:$G$8,0))</f>
        <v>TETCO-M2</v>
      </c>
      <c r="G801" t="str">
        <f>INDEX(TeAllPoints!$D$2:$D$957,MATCH(Filter!B801,TeAllPoints!$B$2:$B$957,0))</f>
        <v>PA</v>
      </c>
      <c r="H801" t="str">
        <f>INDEX(TeAllPoints!$E$2:$E$957,MATCH(Filter!B801,TeAllPoints!$B$2:$B$957,0))</f>
        <v>FAYETTE</v>
      </c>
      <c r="I801">
        <f>INDEX('TE_OA_20200805_INTRDY_2020-08-0'!$Q$2:$Q$870,MATCH(Filter!B801,'TE_OA_20200805_INTRDY_2020-08-0'!$G$2:$G$870))</f>
        <v>601958</v>
      </c>
      <c r="J801">
        <f>INDEX('TE_OA_20200805_INTRDY_2020-08-0'!$R$2:$R$870,MATCH(Filter!B801,'TE_OA_20200805_INTRDY_2020-08-0'!$G$2:$G$870))</f>
        <v>0</v>
      </c>
    </row>
    <row r="802" spans="1:10" x14ac:dyDescent="0.25">
      <c r="A802" t="str">
        <f>INDEX('Pipe Table'!$E$2:$E$10,MATCH(INDEX('TE_OA_20200805_INTRDY_2020-08-0'!$T$2:$T$870,MATCH(Filter!B802,'TE_OA_20200805_INTRDY_2020-08-0'!$G$2:$G$870,0)),'Pipe Table'!$D$2:$D$10,0))</f>
        <v>TETCO</v>
      </c>
      <c r="B802">
        <v>75821</v>
      </c>
      <c r="C802" t="str">
        <f>INDEX('TE_OA_20200805_INTRDY_2020-08-0'!$J$2:$J$870,MATCH(Filter!B802,'TE_OA_20200805_INTRDY_2020-08-0'!$G$2:$G$870))</f>
        <v>Storage Withdrawal</v>
      </c>
      <c r="D802" t="str">
        <f>INDEX('Pipe Table'!$B$2:$B$14,MATCH(INDEX(TeAllPoints!$I$2:$I$957,MATCH(Filter!B802,TeAllPoints!$B$2:$B$957,0)),'Pipe Table'!$A$2:$A$14,0))</f>
        <v>Stor</v>
      </c>
      <c r="E802" t="str">
        <f>INDEX('TE_OA_20200805_INTRDY_2020-08-0'!$H$2:$H$870,MATCH(Filter!B802,'TE_OA_20200805_INTRDY_2020-08-0'!$G$2:$G$870))</f>
        <v>DTI - N. SUMMIT STORAGE - FAYETTE CO., PA (D72821/R72822)</v>
      </c>
      <c r="F802" t="str">
        <f>INDEX('Pipe Table'!$H$2:$H$8,MATCH('TE_OA_20200805_INTRDY_2020-08-0'!I783,'Pipe Table'!$G$2:$G$8,0))</f>
        <v>TETCO-M2</v>
      </c>
      <c r="G802" t="str">
        <f>INDEX(TeAllPoints!$D$2:$D$957,MATCH(Filter!B802,TeAllPoints!$B$2:$B$957,0))</f>
        <v>PA</v>
      </c>
      <c r="H802" t="str">
        <f>INDEX(TeAllPoints!$E$2:$E$957,MATCH(Filter!B802,TeAllPoints!$B$2:$B$957,0))</f>
        <v>FAYETTE</v>
      </c>
      <c r="I802">
        <f>INDEX('TE_OA_20200805_INTRDY_2020-08-0'!$Q$2:$Q$870,MATCH(Filter!B802,'TE_OA_20200805_INTRDY_2020-08-0'!$G$2:$G$870))</f>
        <v>601958</v>
      </c>
      <c r="J802">
        <f>INDEX('TE_OA_20200805_INTRDY_2020-08-0'!$R$2:$R$870,MATCH(Filter!B802,'TE_OA_20200805_INTRDY_2020-08-0'!$G$2:$G$870))</f>
        <v>0</v>
      </c>
    </row>
    <row r="803" spans="1:10" x14ac:dyDescent="0.25">
      <c r="A803" t="str">
        <f>INDEX('Pipe Table'!$E$2:$E$10,MATCH(INDEX('TE_OA_20200805_INTRDY_2020-08-0'!$T$2:$T$870,MATCH(Filter!B803,'TE_OA_20200805_INTRDY_2020-08-0'!$G$2:$G$870,0)),'Pipe Table'!$D$2:$D$10,0))</f>
        <v>TETCO</v>
      </c>
      <c r="B803">
        <v>75858</v>
      </c>
      <c r="C803" t="str">
        <f>INDEX('TE_OA_20200805_INTRDY_2020-08-0'!$J$2:$J$870,MATCH(Filter!B803,'TE_OA_20200805_INTRDY_2020-08-0'!$G$2:$G$870))</f>
        <v>Delivery</v>
      </c>
      <c r="D803" t="str">
        <f>INDEX('Pipe Table'!$B$2:$B$14,MATCH(INDEX(TeAllPoints!$I$2:$I$957,MATCH(Filter!B803,TeAllPoints!$B$2:$B$957,0)),'Pipe Table'!$A$2:$A$14,0))</f>
        <v>Intrcnnct</v>
      </c>
      <c r="E803" t="str">
        <f>INDEX('TE_OA_20200805_INTRDY_2020-08-0'!$H$2:$H$870,MATCH(Filter!B803,'TE_OA_20200805_INTRDY_2020-08-0'!$G$2:$G$870))</f>
        <v>COPANO PIPELINE - MONTGOMEREY CO., TX (D72858/R76858)</v>
      </c>
      <c r="F803" t="str">
        <f>INDEX('Pipe Table'!$H$2:$H$8,MATCH('TE_OA_20200805_INTRDY_2020-08-0'!I784,'Pipe Table'!$G$2:$G$8,0))</f>
        <v>TETCO-STX</v>
      </c>
      <c r="G803" t="str">
        <f>INDEX(TeAllPoints!$D$2:$D$957,MATCH(Filter!B803,TeAllPoints!$B$2:$B$957,0))</f>
        <v>TX</v>
      </c>
      <c r="H803" t="str">
        <f>INDEX(TeAllPoints!$E$2:$E$957,MATCH(Filter!B803,TeAllPoints!$B$2:$B$957,0))</f>
        <v>MONTGOMERY</v>
      </c>
      <c r="I803">
        <f>INDEX('TE_OA_20200805_INTRDY_2020-08-0'!$Q$2:$Q$870,MATCH(Filter!B803,'TE_OA_20200805_INTRDY_2020-08-0'!$G$2:$G$870))</f>
        <v>101087</v>
      </c>
      <c r="J803">
        <f>INDEX('TE_OA_20200805_INTRDY_2020-08-0'!$R$2:$R$870,MATCH(Filter!B803,'TE_OA_20200805_INTRDY_2020-08-0'!$G$2:$G$870))</f>
        <v>0</v>
      </c>
    </row>
    <row r="804" spans="1:10" x14ac:dyDescent="0.25">
      <c r="A804" t="str">
        <f>INDEX('Pipe Table'!$E$2:$E$10,MATCH(INDEX('TE_OA_20200805_INTRDY_2020-08-0'!$T$2:$T$870,MATCH(Filter!B804,'TE_OA_20200805_INTRDY_2020-08-0'!$G$2:$G$870,0)),'Pipe Table'!$D$2:$D$10,0))</f>
        <v>TETCO</v>
      </c>
      <c r="B804">
        <v>75865</v>
      </c>
      <c r="C804" t="str">
        <f>INDEX('TE_OA_20200805_INTRDY_2020-08-0'!$J$2:$J$870,MATCH(Filter!B804,'TE_OA_20200805_INTRDY_2020-08-0'!$G$2:$G$870))</f>
        <v>Receipt</v>
      </c>
      <c r="D804" t="str">
        <f>INDEX('Pipe Table'!$B$2:$B$14,MATCH(INDEX(TeAllPoints!$I$2:$I$957,MATCH(Filter!B804,TeAllPoints!$B$2:$B$957,0)),'Pipe Table'!$A$2:$A$14,0))</f>
        <v>Intrcnnct</v>
      </c>
      <c r="E804" t="str">
        <f>INDEX('TE_OA_20200805_INTRDY_2020-08-0'!$H$2:$H$870,MATCH(Filter!B804,'TE_OA_20200805_INTRDY_2020-08-0'!$G$2:$G$870))</f>
        <v>THREE RIVERS PIPELINE CO. - INDIANA CO., PA (D7286</v>
      </c>
      <c r="F804" t="str">
        <f>INDEX('Pipe Table'!$H$2:$H$8,MATCH('TE_OA_20200805_INTRDY_2020-08-0'!I785,'Pipe Table'!$G$2:$G$8,0))</f>
        <v>TETCO-M3</v>
      </c>
      <c r="G804" t="str">
        <f>INDEX(TeAllPoints!$D$2:$D$957,MATCH(Filter!B804,TeAllPoints!$B$2:$B$957,0))</f>
        <v>PA</v>
      </c>
      <c r="H804" t="str">
        <f>INDEX(TeAllPoints!$E$2:$E$957,MATCH(Filter!B804,TeAllPoints!$B$2:$B$957,0))</f>
        <v>INDIANA</v>
      </c>
      <c r="I804">
        <f>INDEX('TE_OA_20200805_INTRDY_2020-08-0'!$Q$2:$Q$870,MATCH(Filter!B804,'TE_OA_20200805_INTRDY_2020-08-0'!$G$2:$G$870))</f>
        <v>83953</v>
      </c>
      <c r="J804">
        <f>INDEX('TE_OA_20200805_INTRDY_2020-08-0'!$R$2:$R$870,MATCH(Filter!B804,'TE_OA_20200805_INTRDY_2020-08-0'!$G$2:$G$870))</f>
        <v>0</v>
      </c>
    </row>
    <row r="805" spans="1:10" x14ac:dyDescent="0.25">
      <c r="A805" t="str">
        <f>INDEX('Pipe Table'!$E$2:$E$10,MATCH(INDEX('TE_OA_20200805_INTRDY_2020-08-0'!$T$2:$T$870,MATCH(Filter!B805,'TE_OA_20200805_INTRDY_2020-08-0'!$G$2:$G$870,0)),'Pipe Table'!$D$2:$D$10,0))</f>
        <v>TETCO</v>
      </c>
      <c r="B805">
        <v>75866</v>
      </c>
      <c r="C805" t="str">
        <f>INDEX('TE_OA_20200805_INTRDY_2020-08-0'!$J$2:$J$870,MATCH(Filter!B805,'TE_OA_20200805_INTRDY_2020-08-0'!$G$2:$G$870))</f>
        <v>Receipt</v>
      </c>
      <c r="D805" t="str">
        <f>INDEX('Pipe Table'!$B$2:$B$14,MATCH(INDEX(TeAllPoints!$I$2:$I$957,MATCH(Filter!B805,TeAllPoints!$B$2:$B$957,0)),'Pipe Table'!$A$2:$A$14,0))</f>
        <v>LNG</v>
      </c>
      <c r="E805" t="str">
        <f>INDEX('TE_OA_20200805_INTRDY_2020-08-0'!$H$2:$H$870,MATCH(Filter!B805,'TE_OA_20200805_INTRDY_2020-08-0'!$G$2:$G$870))</f>
        <v>CHENIERE LNG, BEAUREGARD PA,LA (D-73866/R-73566)</v>
      </c>
      <c r="F805" t="str">
        <f>INDEX('Pipe Table'!$H$2:$H$8,MATCH('TE_OA_20200805_INTRDY_2020-08-0'!I786,'Pipe Table'!$G$2:$G$8,0))</f>
        <v>TETCO-WLA</v>
      </c>
      <c r="G805" t="str">
        <f>INDEX(TeAllPoints!$D$2:$D$957,MATCH(Filter!B805,TeAllPoints!$B$2:$B$957,0))</f>
        <v>LA</v>
      </c>
      <c r="H805" t="str">
        <f>INDEX(TeAllPoints!$E$2:$E$957,MATCH(Filter!B805,TeAllPoints!$B$2:$B$957,0))</f>
        <v>BEAUREGARD</v>
      </c>
      <c r="I805">
        <f>INDEX('TE_OA_20200805_INTRDY_2020-08-0'!$Q$2:$Q$870,MATCH(Filter!B805,'TE_OA_20200805_INTRDY_2020-08-0'!$G$2:$G$870))</f>
        <v>560000</v>
      </c>
      <c r="J805">
        <f>INDEX('TE_OA_20200805_INTRDY_2020-08-0'!$R$2:$R$870,MATCH(Filter!B805,'TE_OA_20200805_INTRDY_2020-08-0'!$G$2:$G$870))</f>
        <v>176048</v>
      </c>
    </row>
    <row r="806" spans="1:10" x14ac:dyDescent="0.25">
      <c r="A806" t="str">
        <f>INDEX('Pipe Table'!$E$2:$E$10,MATCH(INDEX('TE_OA_20200805_INTRDY_2020-08-0'!$T$2:$T$870,MATCH(Filter!B806,'TE_OA_20200805_INTRDY_2020-08-0'!$G$2:$G$870,0)),'Pipe Table'!$D$2:$D$10,0))</f>
        <v>TETCO</v>
      </c>
      <c r="B806">
        <v>75866</v>
      </c>
      <c r="C806" t="str">
        <f>INDEX('TE_OA_20200805_INTRDY_2020-08-0'!$J$2:$J$870,MATCH(Filter!B806,'TE_OA_20200805_INTRDY_2020-08-0'!$G$2:$G$870))</f>
        <v>Receipt</v>
      </c>
      <c r="D806" t="str">
        <f>INDEX('Pipe Table'!$B$2:$B$14,MATCH(INDEX(TeAllPoints!$I$2:$I$957,MATCH(Filter!B806,TeAllPoints!$B$2:$B$957,0)),'Pipe Table'!$A$2:$A$14,0))</f>
        <v>LNG</v>
      </c>
      <c r="E806" t="str">
        <f>INDEX('TE_OA_20200805_INTRDY_2020-08-0'!$H$2:$H$870,MATCH(Filter!B806,'TE_OA_20200805_INTRDY_2020-08-0'!$G$2:$G$870))</f>
        <v>CHENIERE LNG, BEAUREGARD PA,LA (D-73866/R-73566)</v>
      </c>
      <c r="F806" t="str">
        <f>INDEX('Pipe Table'!$H$2:$H$8,MATCH('TE_OA_20200805_INTRDY_2020-08-0'!I787,'Pipe Table'!$G$2:$G$8,0))</f>
        <v>TETCO-WLA</v>
      </c>
      <c r="G806" t="str">
        <f>INDEX(TeAllPoints!$D$2:$D$957,MATCH(Filter!B806,TeAllPoints!$B$2:$B$957,0))</f>
        <v>LA</v>
      </c>
      <c r="H806" t="str">
        <f>INDEX(TeAllPoints!$E$2:$E$957,MATCH(Filter!B806,TeAllPoints!$B$2:$B$957,0))</f>
        <v>BEAUREGARD</v>
      </c>
      <c r="I806">
        <f>INDEX('TE_OA_20200805_INTRDY_2020-08-0'!$Q$2:$Q$870,MATCH(Filter!B806,'TE_OA_20200805_INTRDY_2020-08-0'!$G$2:$G$870))</f>
        <v>560000</v>
      </c>
      <c r="J806">
        <f>INDEX('TE_OA_20200805_INTRDY_2020-08-0'!$R$2:$R$870,MATCH(Filter!B806,'TE_OA_20200805_INTRDY_2020-08-0'!$G$2:$G$870))</f>
        <v>176048</v>
      </c>
    </row>
    <row r="807" spans="1:10" x14ac:dyDescent="0.25">
      <c r="A807" t="str">
        <f>INDEX('Pipe Table'!$E$2:$E$10,MATCH(INDEX('TE_OA_20200805_INTRDY_2020-08-0'!$T$2:$T$870,MATCH(Filter!B807,'TE_OA_20200805_INTRDY_2020-08-0'!$G$2:$G$870,0)),'Pipe Table'!$D$2:$D$10,0))</f>
        <v>TETCO</v>
      </c>
      <c r="B807">
        <v>75868</v>
      </c>
      <c r="C807" t="str">
        <f>INDEX('TE_OA_20200805_INTRDY_2020-08-0'!$J$2:$J$870,MATCH(Filter!B807,'TE_OA_20200805_INTRDY_2020-08-0'!$G$2:$G$870))</f>
        <v>Delivery</v>
      </c>
      <c r="D807" t="str">
        <f>INDEX('Pipe Table'!$B$2:$B$14,MATCH(INDEX(TeAllPoints!$I$2:$I$957,MATCH(Filter!B807,TeAllPoints!$B$2:$B$957,0)),'Pipe Table'!$A$2:$A$14,0))</f>
        <v>Intrcnnct</v>
      </c>
      <c r="E807" t="str">
        <f>INDEX('TE_OA_20200805_INTRDY_2020-08-0'!$H$2:$H$870,MATCH(Filter!B807,'TE_OA_20200805_INTRDY_2020-08-0'!$G$2:$G$870))</f>
        <v>DTI - CRAYNE REC- (REC72868/DEL76868)</v>
      </c>
      <c r="F807" t="str">
        <f>INDEX('Pipe Table'!$H$2:$H$8,MATCH('TE_OA_20200805_INTRDY_2020-08-0'!I788,'Pipe Table'!$G$2:$G$8,0))</f>
        <v>TETCO-M2</v>
      </c>
      <c r="G807" t="str">
        <f>INDEX(TeAllPoints!$D$2:$D$957,MATCH(Filter!B807,TeAllPoints!$B$2:$B$957,0))</f>
        <v>PA</v>
      </c>
      <c r="H807" t="str">
        <f>INDEX(TeAllPoints!$E$2:$E$957,MATCH(Filter!B807,TeAllPoints!$B$2:$B$957,0))</f>
        <v>GREENE</v>
      </c>
      <c r="I807">
        <f>INDEX('TE_OA_20200805_INTRDY_2020-08-0'!$Q$2:$Q$870,MATCH(Filter!B807,'TE_OA_20200805_INTRDY_2020-08-0'!$G$2:$G$870))</f>
        <v>862202</v>
      </c>
      <c r="J807">
        <f>INDEX('TE_OA_20200805_INTRDY_2020-08-0'!$R$2:$R$870,MATCH(Filter!B807,'TE_OA_20200805_INTRDY_2020-08-0'!$G$2:$G$870))</f>
        <v>113086</v>
      </c>
    </row>
    <row r="808" spans="1:10" x14ac:dyDescent="0.25">
      <c r="A808" t="str">
        <f>INDEX('Pipe Table'!$E$2:$E$10,MATCH(INDEX('TE_OA_20200805_INTRDY_2020-08-0'!$T$2:$T$870,MATCH(Filter!B808,'TE_OA_20200805_INTRDY_2020-08-0'!$G$2:$G$870,0)),'Pipe Table'!$D$2:$D$10,0))</f>
        <v>TETCO</v>
      </c>
      <c r="B808">
        <v>75868</v>
      </c>
      <c r="C808" t="str">
        <f>INDEX('TE_OA_20200805_INTRDY_2020-08-0'!$J$2:$J$870,MATCH(Filter!B808,'TE_OA_20200805_INTRDY_2020-08-0'!$G$2:$G$870))</f>
        <v>Delivery</v>
      </c>
      <c r="D808" t="str">
        <f>INDEX('Pipe Table'!$B$2:$B$14,MATCH(INDEX(TeAllPoints!$I$2:$I$957,MATCH(Filter!B808,TeAllPoints!$B$2:$B$957,0)),'Pipe Table'!$A$2:$A$14,0))</f>
        <v>Intrcnnct</v>
      </c>
      <c r="E808" t="str">
        <f>INDEX('TE_OA_20200805_INTRDY_2020-08-0'!$H$2:$H$870,MATCH(Filter!B808,'TE_OA_20200805_INTRDY_2020-08-0'!$G$2:$G$870))</f>
        <v>DTI - CRAYNE REC- (REC72868/DEL76868)</v>
      </c>
      <c r="F808" t="str">
        <f>INDEX('Pipe Table'!$H$2:$H$8,MATCH('TE_OA_20200805_INTRDY_2020-08-0'!I789,'Pipe Table'!$G$2:$G$8,0))</f>
        <v>TETCO-M2</v>
      </c>
      <c r="G808" t="str">
        <f>INDEX(TeAllPoints!$D$2:$D$957,MATCH(Filter!B808,TeAllPoints!$B$2:$B$957,0))</f>
        <v>PA</v>
      </c>
      <c r="H808" t="str">
        <f>INDEX(TeAllPoints!$E$2:$E$957,MATCH(Filter!B808,TeAllPoints!$B$2:$B$957,0))</f>
        <v>GREENE</v>
      </c>
      <c r="I808">
        <f>INDEX('TE_OA_20200805_INTRDY_2020-08-0'!$Q$2:$Q$870,MATCH(Filter!B808,'TE_OA_20200805_INTRDY_2020-08-0'!$G$2:$G$870))</f>
        <v>862202</v>
      </c>
      <c r="J808">
        <f>INDEX('TE_OA_20200805_INTRDY_2020-08-0'!$R$2:$R$870,MATCH(Filter!B808,'TE_OA_20200805_INTRDY_2020-08-0'!$G$2:$G$870))</f>
        <v>113086</v>
      </c>
    </row>
    <row r="809" spans="1:10" x14ac:dyDescent="0.25">
      <c r="A809" t="str">
        <f>INDEX('Pipe Table'!$E$2:$E$10,MATCH(INDEX('TE_OA_20200805_INTRDY_2020-08-0'!$T$2:$T$870,MATCH(Filter!B809,'TE_OA_20200805_INTRDY_2020-08-0'!$G$2:$G$870,0)),'Pipe Table'!$D$2:$D$10,0))</f>
        <v>TETCO</v>
      </c>
      <c r="B809">
        <v>75872</v>
      </c>
      <c r="C809" t="str">
        <f>INDEX('TE_OA_20200805_INTRDY_2020-08-0'!$J$2:$J$870,MATCH(Filter!B809,'TE_OA_20200805_INTRDY_2020-08-0'!$G$2:$G$870))</f>
        <v>Receipt</v>
      </c>
      <c r="D809" t="str">
        <f>INDEX('Pipe Table'!$B$2:$B$14,MATCH(INDEX(TeAllPoints!$I$2:$I$957,MATCH(Filter!B809,TeAllPoints!$B$2:$B$957,0)),'Pipe Table'!$A$2:$A$14,0))</f>
        <v>Intrcnnct</v>
      </c>
      <c r="E809" t="str">
        <f>INDEX('TE_OA_20200805_INTRDY_2020-08-0'!$H$2:$H$870,MATCH(Filter!B809,'TE_OA_20200805_INTRDY_2020-08-0'!$G$2:$G$870))</f>
        <v>CENTANA INTRA P/L, STORAGE - JEFFERSON, CO. (72872</v>
      </c>
      <c r="F809" t="str">
        <f>INDEX('Pipe Table'!$H$2:$H$8,MATCH('TE_OA_20200805_INTRDY_2020-08-0'!I790,'Pipe Table'!$G$2:$G$8,0))</f>
        <v>TETCO-STX</v>
      </c>
      <c r="G809" t="str">
        <f>INDEX(TeAllPoints!$D$2:$D$957,MATCH(Filter!B809,TeAllPoints!$B$2:$B$957,0))</f>
        <v>TX</v>
      </c>
      <c r="H809" t="str">
        <f>INDEX(TeAllPoints!$E$2:$E$957,MATCH(Filter!B809,TeAllPoints!$B$2:$B$957,0))</f>
        <v>JEFFERSON</v>
      </c>
      <c r="I809">
        <f>INDEX('TE_OA_20200805_INTRDY_2020-08-0'!$Q$2:$Q$870,MATCH(Filter!B809,'TE_OA_20200805_INTRDY_2020-08-0'!$G$2:$G$870))</f>
        <v>266479</v>
      </c>
      <c r="J809">
        <f>INDEX('TE_OA_20200805_INTRDY_2020-08-0'!$R$2:$R$870,MATCH(Filter!B809,'TE_OA_20200805_INTRDY_2020-08-0'!$G$2:$G$870))</f>
        <v>0</v>
      </c>
    </row>
    <row r="810" spans="1:10" x14ac:dyDescent="0.25">
      <c r="A810" t="str">
        <f>INDEX('Pipe Table'!$E$2:$E$10,MATCH(INDEX('TE_OA_20200805_INTRDY_2020-08-0'!$T$2:$T$870,MATCH(Filter!B810,'TE_OA_20200805_INTRDY_2020-08-0'!$G$2:$G$870,0)),'Pipe Table'!$D$2:$D$10,0))</f>
        <v>TETCO</v>
      </c>
      <c r="B810">
        <v>75872</v>
      </c>
      <c r="C810" t="str">
        <f>INDEX('TE_OA_20200805_INTRDY_2020-08-0'!$J$2:$J$870,MATCH(Filter!B810,'TE_OA_20200805_INTRDY_2020-08-0'!$G$2:$G$870))</f>
        <v>Receipt</v>
      </c>
      <c r="D810" t="str">
        <f>INDEX('Pipe Table'!$B$2:$B$14,MATCH(INDEX(TeAllPoints!$I$2:$I$957,MATCH(Filter!B810,TeAllPoints!$B$2:$B$957,0)),'Pipe Table'!$A$2:$A$14,0))</f>
        <v>Intrcnnct</v>
      </c>
      <c r="E810" t="str">
        <f>INDEX('TE_OA_20200805_INTRDY_2020-08-0'!$H$2:$H$870,MATCH(Filter!B810,'TE_OA_20200805_INTRDY_2020-08-0'!$G$2:$G$870))</f>
        <v>CENTANA INTRA P/L, STORAGE - JEFFERSON, CO. (72872</v>
      </c>
      <c r="F810" t="str">
        <f>INDEX('Pipe Table'!$H$2:$H$8,MATCH('TE_OA_20200805_INTRDY_2020-08-0'!I791,'Pipe Table'!$G$2:$G$8,0))</f>
        <v>TETCO-STX</v>
      </c>
      <c r="G810" t="str">
        <f>INDEX(TeAllPoints!$D$2:$D$957,MATCH(Filter!B810,TeAllPoints!$B$2:$B$957,0))</f>
        <v>TX</v>
      </c>
      <c r="H810" t="str">
        <f>INDEX(TeAllPoints!$E$2:$E$957,MATCH(Filter!B810,TeAllPoints!$B$2:$B$957,0))</f>
        <v>JEFFERSON</v>
      </c>
      <c r="I810">
        <f>INDEX('TE_OA_20200805_INTRDY_2020-08-0'!$Q$2:$Q$870,MATCH(Filter!B810,'TE_OA_20200805_INTRDY_2020-08-0'!$G$2:$G$870))</f>
        <v>266479</v>
      </c>
      <c r="J810">
        <f>INDEX('TE_OA_20200805_INTRDY_2020-08-0'!$R$2:$R$870,MATCH(Filter!B810,'TE_OA_20200805_INTRDY_2020-08-0'!$G$2:$G$870))</f>
        <v>0</v>
      </c>
    </row>
    <row r="811" spans="1:10" x14ac:dyDescent="0.25">
      <c r="A811" t="str">
        <f>INDEX('Pipe Table'!$E$2:$E$10,MATCH(INDEX('TE_OA_20200805_INTRDY_2020-08-0'!$T$2:$T$870,MATCH(Filter!B811,'TE_OA_20200805_INTRDY_2020-08-0'!$G$2:$G$870,0)),'Pipe Table'!$D$2:$D$10,0))</f>
        <v>TETCO</v>
      </c>
      <c r="B811">
        <v>75884</v>
      </c>
      <c r="C811" t="str">
        <f>INDEX('TE_OA_20200805_INTRDY_2020-08-0'!$J$2:$J$870,MATCH(Filter!B811,'TE_OA_20200805_INTRDY_2020-08-0'!$G$2:$G$870))</f>
        <v>Receipt</v>
      </c>
      <c r="D811" t="str">
        <f>INDEX('Pipe Table'!$B$2:$B$14,MATCH(INDEX(TeAllPoints!$I$2:$I$957,MATCH(Filter!B811,TeAllPoints!$B$2:$B$957,0)),'Pipe Table'!$A$2:$A$14,0))</f>
        <v>Intrcnnct</v>
      </c>
      <c r="E811" t="str">
        <f>INDEX('TE_OA_20200805_INTRDY_2020-08-0'!$H$2:$H$870,MATCH(Filter!B811,'TE_OA_20200805_INTRDY_2020-08-0'!$G$2:$G$870))</f>
        <v>EQT QVC STEIGER RIDGE ROAD, MONROE CO, OH (D73884/R73885)</v>
      </c>
      <c r="F811" t="str">
        <f>INDEX('Pipe Table'!$H$2:$H$8,MATCH('TE_OA_20200805_INTRDY_2020-08-0'!I792,'Pipe Table'!$G$2:$G$8,0))</f>
        <v>TETCO-M2</v>
      </c>
      <c r="G811" t="str">
        <f>INDEX(TeAllPoints!$D$2:$D$957,MATCH(Filter!B811,TeAllPoints!$B$2:$B$957,0))</f>
        <v>OH</v>
      </c>
      <c r="H811" t="str">
        <f>INDEX(TeAllPoints!$E$2:$E$957,MATCH(Filter!B811,TeAllPoints!$B$2:$B$957,0))</f>
        <v>MONROE</v>
      </c>
      <c r="I811">
        <f>INDEX('TE_OA_20200805_INTRDY_2020-08-0'!$Q$2:$Q$870,MATCH(Filter!B811,'TE_OA_20200805_INTRDY_2020-08-0'!$G$2:$G$870))</f>
        <v>508500</v>
      </c>
      <c r="J811">
        <f>INDEX('TE_OA_20200805_INTRDY_2020-08-0'!$R$2:$R$870,MATCH(Filter!B811,'TE_OA_20200805_INTRDY_2020-08-0'!$G$2:$G$870))</f>
        <v>0</v>
      </c>
    </row>
    <row r="812" spans="1:10" x14ac:dyDescent="0.25">
      <c r="A812" t="str">
        <f>INDEX('Pipe Table'!$E$2:$E$10,MATCH(INDEX('TE_OA_20200805_INTRDY_2020-08-0'!$T$2:$T$870,MATCH(Filter!B812,'TE_OA_20200805_INTRDY_2020-08-0'!$G$2:$G$870,0)),'Pipe Table'!$D$2:$D$10,0))</f>
        <v>TETCO</v>
      </c>
      <c r="B812">
        <v>75884</v>
      </c>
      <c r="C812" t="str">
        <f>INDEX('TE_OA_20200805_INTRDY_2020-08-0'!$J$2:$J$870,MATCH(Filter!B812,'TE_OA_20200805_INTRDY_2020-08-0'!$G$2:$G$870))</f>
        <v>Receipt</v>
      </c>
      <c r="D812" t="str">
        <f>INDEX('Pipe Table'!$B$2:$B$14,MATCH(INDEX(TeAllPoints!$I$2:$I$957,MATCH(Filter!B812,TeAllPoints!$B$2:$B$957,0)),'Pipe Table'!$A$2:$A$14,0))</f>
        <v>Intrcnnct</v>
      </c>
      <c r="E812" t="str">
        <f>INDEX('TE_OA_20200805_INTRDY_2020-08-0'!$H$2:$H$870,MATCH(Filter!B812,'TE_OA_20200805_INTRDY_2020-08-0'!$G$2:$G$870))</f>
        <v>EQT QVC STEIGER RIDGE ROAD, MONROE CO, OH (D73884/R73885)</v>
      </c>
      <c r="F812" t="str">
        <f>INDEX('Pipe Table'!$H$2:$H$8,MATCH('TE_OA_20200805_INTRDY_2020-08-0'!I793,'Pipe Table'!$G$2:$G$8,0))</f>
        <v>TETCO-M2</v>
      </c>
      <c r="G812" t="str">
        <f>INDEX(TeAllPoints!$D$2:$D$957,MATCH(Filter!B812,TeAllPoints!$B$2:$B$957,0))</f>
        <v>OH</v>
      </c>
      <c r="H812" t="str">
        <f>INDEX(TeAllPoints!$E$2:$E$957,MATCH(Filter!B812,TeAllPoints!$B$2:$B$957,0))</f>
        <v>MONROE</v>
      </c>
      <c r="I812">
        <f>INDEX('TE_OA_20200805_INTRDY_2020-08-0'!$Q$2:$Q$870,MATCH(Filter!B812,'TE_OA_20200805_INTRDY_2020-08-0'!$G$2:$G$870))</f>
        <v>508500</v>
      </c>
      <c r="J812">
        <f>INDEX('TE_OA_20200805_INTRDY_2020-08-0'!$R$2:$R$870,MATCH(Filter!B812,'TE_OA_20200805_INTRDY_2020-08-0'!$G$2:$G$870))</f>
        <v>0</v>
      </c>
    </row>
    <row r="813" spans="1:10" x14ac:dyDescent="0.25">
      <c r="A813" t="str">
        <f>INDEX('Pipe Table'!$E$2:$E$10,MATCH(INDEX('TE_OA_20200805_INTRDY_2020-08-0'!$T$2:$T$870,MATCH(Filter!B813,'TE_OA_20200805_INTRDY_2020-08-0'!$G$2:$G$870,0)),'Pipe Table'!$D$2:$D$10,0))</f>
        <v>TETCO</v>
      </c>
      <c r="B813">
        <v>75891</v>
      </c>
      <c r="C813" t="str">
        <f>INDEX('TE_OA_20200805_INTRDY_2020-08-0'!$J$2:$J$870,MATCH(Filter!B813,'TE_OA_20200805_INTRDY_2020-08-0'!$G$2:$G$870))</f>
        <v>Delivery</v>
      </c>
      <c r="D813" t="str">
        <f>INDEX('Pipe Table'!$B$2:$B$14,MATCH(INDEX(TeAllPoints!$I$2:$I$957,MATCH(Filter!B813,TeAllPoints!$B$2:$B$957,0)),'Pipe Table'!$A$2:$A$14,0))</f>
        <v>Intrcnnct</v>
      </c>
      <c r="E813" t="str">
        <f>INDEX('TE_OA_20200805_INTRDY_2020-08-0'!$H$2:$H$870,MATCH(Filter!B813,'TE_OA_20200805_INTRDY_2020-08-0'!$G$2:$G$870))</f>
        <v>GULF SOUTH/COASTAL BEND DELIVERY CR 206 (D-73891/R76891)</v>
      </c>
      <c r="F813" t="str">
        <f>INDEX('Pipe Table'!$H$2:$H$8,MATCH('TE_OA_20200805_INTRDY_2020-08-0'!I794,'Pipe Table'!$G$2:$G$8,0))</f>
        <v>TETCO-STX</v>
      </c>
      <c r="G813" t="str">
        <f>INDEX(TeAllPoints!$D$2:$D$957,MATCH(Filter!B813,TeAllPoints!$B$2:$B$957,0))</f>
        <v>TX</v>
      </c>
      <c r="H813" t="str">
        <f>INDEX(TeAllPoints!$E$2:$E$957,MATCH(Filter!B813,TeAllPoints!$B$2:$B$957,0))</f>
        <v>JACKSON</v>
      </c>
      <c r="I813">
        <f>INDEX('TE_OA_20200805_INTRDY_2020-08-0'!$Q$2:$Q$870,MATCH(Filter!B813,'TE_OA_20200805_INTRDY_2020-08-0'!$G$2:$G$870))</f>
        <v>508500</v>
      </c>
      <c r="J813">
        <f>INDEX('TE_OA_20200805_INTRDY_2020-08-0'!$R$2:$R$870,MATCH(Filter!B813,'TE_OA_20200805_INTRDY_2020-08-0'!$G$2:$G$870))</f>
        <v>0</v>
      </c>
    </row>
    <row r="814" spans="1:10" x14ac:dyDescent="0.25">
      <c r="A814" t="str">
        <f>INDEX('Pipe Table'!$E$2:$E$10,MATCH(INDEX('TE_OA_20200805_INTRDY_2020-08-0'!$T$2:$T$870,MATCH(Filter!B814,'TE_OA_20200805_INTRDY_2020-08-0'!$G$2:$G$870,0)),'Pipe Table'!$D$2:$D$10,0))</f>
        <v>TETCO</v>
      </c>
      <c r="B814">
        <v>75891</v>
      </c>
      <c r="C814" t="str">
        <f>INDEX('TE_OA_20200805_INTRDY_2020-08-0'!$J$2:$J$870,MATCH(Filter!B814,'TE_OA_20200805_INTRDY_2020-08-0'!$G$2:$G$870))</f>
        <v>Delivery</v>
      </c>
      <c r="D814" t="str">
        <f>INDEX('Pipe Table'!$B$2:$B$14,MATCH(INDEX(TeAllPoints!$I$2:$I$957,MATCH(Filter!B814,TeAllPoints!$B$2:$B$957,0)),'Pipe Table'!$A$2:$A$14,0))</f>
        <v>Intrcnnct</v>
      </c>
      <c r="E814" t="str">
        <f>INDEX('TE_OA_20200805_INTRDY_2020-08-0'!$H$2:$H$870,MATCH(Filter!B814,'TE_OA_20200805_INTRDY_2020-08-0'!$G$2:$G$870))</f>
        <v>GULF SOUTH/COASTAL BEND DELIVERY CR 206 (D-73891/R76891)</v>
      </c>
      <c r="F814" t="str">
        <f>INDEX('Pipe Table'!$H$2:$H$8,MATCH('TE_OA_20200805_INTRDY_2020-08-0'!I795,'Pipe Table'!$G$2:$G$8,0))</f>
        <v>TETCO-STX</v>
      </c>
      <c r="G814" t="str">
        <f>INDEX(TeAllPoints!$D$2:$D$957,MATCH(Filter!B814,TeAllPoints!$B$2:$B$957,0))</f>
        <v>TX</v>
      </c>
      <c r="H814" t="str">
        <f>INDEX(TeAllPoints!$E$2:$E$957,MATCH(Filter!B814,TeAllPoints!$B$2:$B$957,0))</f>
        <v>JACKSON</v>
      </c>
      <c r="I814">
        <f>INDEX('TE_OA_20200805_INTRDY_2020-08-0'!$Q$2:$Q$870,MATCH(Filter!B814,'TE_OA_20200805_INTRDY_2020-08-0'!$G$2:$G$870))</f>
        <v>508500</v>
      </c>
      <c r="J814">
        <f>INDEX('TE_OA_20200805_INTRDY_2020-08-0'!$R$2:$R$870,MATCH(Filter!B814,'TE_OA_20200805_INTRDY_2020-08-0'!$G$2:$G$870))</f>
        <v>0</v>
      </c>
    </row>
    <row r="815" spans="1:10" x14ac:dyDescent="0.25">
      <c r="A815" t="str">
        <f>INDEX('Pipe Table'!$E$2:$E$10,MATCH(INDEX('TE_OA_20200805_INTRDY_2020-08-0'!$T$2:$T$870,MATCH(Filter!B815,'TE_OA_20200805_INTRDY_2020-08-0'!$G$2:$G$870,0)),'Pipe Table'!$D$2:$D$10,0))</f>
        <v>TETCO</v>
      </c>
      <c r="B815">
        <v>75897</v>
      </c>
      <c r="C815" t="str">
        <f>INDEX('TE_OA_20200805_INTRDY_2020-08-0'!$J$2:$J$870,MATCH(Filter!B815,'TE_OA_20200805_INTRDY_2020-08-0'!$G$2:$G$870))</f>
        <v>Receipt</v>
      </c>
      <c r="D815" t="str">
        <f>INDEX('Pipe Table'!$B$2:$B$14,MATCH(INDEX(TeAllPoints!$I$2:$I$957,MATCH(Filter!B815,TeAllPoints!$B$2:$B$957,0)),'Pipe Table'!$A$2:$A$14,0))</f>
        <v>LDC</v>
      </c>
      <c r="E815" t="str">
        <f>INDEX('TE_OA_20200805_INTRDY_2020-08-0'!$H$2:$H$870,MATCH(Filter!B815,'TE_OA_20200805_INTRDY_2020-08-0'!$G$2:$G$870))</f>
        <v>PEOPLES GAS - BEAVER RUN ROAD, DELMONT, PA (R 76897/D 73897)</v>
      </c>
      <c r="F815" t="str">
        <f>INDEX('Pipe Table'!$H$2:$H$8,MATCH('TE_OA_20200805_INTRDY_2020-08-0'!I796,'Pipe Table'!$G$2:$G$8,0))</f>
        <v>TETCO-M2</v>
      </c>
      <c r="G815" t="str">
        <f>INDEX(TeAllPoints!$D$2:$D$957,MATCH(Filter!B815,TeAllPoints!$B$2:$B$957,0))</f>
        <v>PA</v>
      </c>
      <c r="H815" t="str">
        <f>INDEX(TeAllPoints!$E$2:$E$957,MATCH(Filter!B815,TeAllPoints!$B$2:$B$957,0))</f>
        <v>WESTMORELAND</v>
      </c>
      <c r="I815">
        <f>INDEX('TE_OA_20200805_INTRDY_2020-08-0'!$Q$2:$Q$870,MATCH(Filter!B815,'TE_OA_20200805_INTRDY_2020-08-0'!$G$2:$G$870))</f>
        <v>70000</v>
      </c>
      <c r="J815">
        <f>INDEX('TE_OA_20200805_INTRDY_2020-08-0'!$R$2:$R$870,MATCH(Filter!B815,'TE_OA_20200805_INTRDY_2020-08-0'!$G$2:$G$870))</f>
        <v>0</v>
      </c>
    </row>
    <row r="816" spans="1:10" x14ac:dyDescent="0.25">
      <c r="A816" t="str">
        <f>INDEX('Pipe Table'!$E$2:$E$10,MATCH(INDEX('TE_OA_20200805_INTRDY_2020-08-0'!$T$2:$T$870,MATCH(Filter!B816,'TE_OA_20200805_INTRDY_2020-08-0'!$G$2:$G$870,0)),'Pipe Table'!$D$2:$D$10,0))</f>
        <v>TETCO</v>
      </c>
      <c r="B816">
        <v>75897</v>
      </c>
      <c r="C816" t="str">
        <f>INDEX('TE_OA_20200805_INTRDY_2020-08-0'!$J$2:$J$870,MATCH(Filter!B816,'TE_OA_20200805_INTRDY_2020-08-0'!$G$2:$G$870))</f>
        <v>Receipt</v>
      </c>
      <c r="D816" t="str">
        <f>INDEX('Pipe Table'!$B$2:$B$14,MATCH(INDEX(TeAllPoints!$I$2:$I$957,MATCH(Filter!B816,TeAllPoints!$B$2:$B$957,0)),'Pipe Table'!$A$2:$A$14,0))</f>
        <v>LDC</v>
      </c>
      <c r="E816" t="str">
        <f>INDEX('TE_OA_20200805_INTRDY_2020-08-0'!$H$2:$H$870,MATCH(Filter!B816,'TE_OA_20200805_INTRDY_2020-08-0'!$G$2:$G$870))</f>
        <v>PEOPLES GAS - BEAVER RUN ROAD, DELMONT, PA (R 76897/D 73897)</v>
      </c>
      <c r="F816" t="str">
        <f>INDEX('Pipe Table'!$H$2:$H$8,MATCH('TE_OA_20200805_INTRDY_2020-08-0'!I797,'Pipe Table'!$G$2:$G$8,0))</f>
        <v>TETCO-M2</v>
      </c>
      <c r="G816" t="str">
        <f>INDEX(TeAllPoints!$D$2:$D$957,MATCH(Filter!B816,TeAllPoints!$B$2:$B$957,0))</f>
        <v>PA</v>
      </c>
      <c r="H816" t="str">
        <f>INDEX(TeAllPoints!$E$2:$E$957,MATCH(Filter!B816,TeAllPoints!$B$2:$B$957,0))</f>
        <v>WESTMORELAND</v>
      </c>
      <c r="I816">
        <f>INDEX('TE_OA_20200805_INTRDY_2020-08-0'!$Q$2:$Q$870,MATCH(Filter!B816,'TE_OA_20200805_INTRDY_2020-08-0'!$G$2:$G$870))</f>
        <v>70000</v>
      </c>
      <c r="J816">
        <f>INDEX('TE_OA_20200805_INTRDY_2020-08-0'!$R$2:$R$870,MATCH(Filter!B816,'TE_OA_20200805_INTRDY_2020-08-0'!$G$2:$G$870))</f>
        <v>0</v>
      </c>
    </row>
    <row r="817" spans="1:10" x14ac:dyDescent="0.25">
      <c r="A817" t="str">
        <f>INDEX('Pipe Table'!$E$2:$E$10,MATCH(INDEX('TE_OA_20200805_INTRDY_2020-08-0'!$T$2:$T$870,MATCH(Filter!B817,'TE_OA_20200805_INTRDY_2020-08-0'!$G$2:$G$870,0)),'Pipe Table'!$D$2:$D$10,0))</f>
        <v>TETCO</v>
      </c>
      <c r="B817">
        <v>75917</v>
      </c>
      <c r="C817" t="str">
        <f>INDEX('TE_OA_20200805_INTRDY_2020-08-0'!$J$2:$J$870,MATCH(Filter!B817,'TE_OA_20200805_INTRDY_2020-08-0'!$G$2:$G$870))</f>
        <v>Receipt</v>
      </c>
      <c r="D817" t="str">
        <f>INDEX('Pipe Table'!$B$2:$B$14,MATCH(INDEX(TeAllPoints!$I$2:$I$957,MATCH(Filter!B817,TeAllPoints!$B$2:$B$957,0)),'Pipe Table'!$A$2:$A$14,0))</f>
        <v>Intrcnnct</v>
      </c>
      <c r="E817" t="str">
        <f>INDEX('TE_OA_20200805_INTRDY_2020-08-0'!$H$2:$H$870,MATCH(Filter!B817,'TE_OA_20200805_INTRDY_2020-08-0'!$G$2:$G$870))</f>
        <v>TETLP/POMELO INTERCONNECT WITH VCP (DEL 73916/REC 73917)</v>
      </c>
      <c r="F817" t="str">
        <f>INDEX('Pipe Table'!$H$2:$H$8,MATCH('TE_OA_20200805_INTRDY_2020-08-0'!I798,'Pipe Table'!$G$2:$G$8,0))</f>
        <v>TETCO-STX</v>
      </c>
      <c r="G817" t="str">
        <f>INDEX(TeAllPoints!$D$2:$D$957,MATCH(Filter!B817,TeAllPoints!$B$2:$B$957,0))</f>
        <v>TX</v>
      </c>
      <c r="H817" t="str">
        <f>INDEX(TeAllPoints!$E$2:$E$957,MATCH(Filter!B817,TeAllPoints!$B$2:$B$957,0))</f>
        <v>NUECES</v>
      </c>
      <c r="I817">
        <f>INDEX('TE_OA_20200805_INTRDY_2020-08-0'!$Q$2:$Q$870,MATCH(Filter!B817,'TE_OA_20200805_INTRDY_2020-08-0'!$G$2:$G$870))</f>
        <v>396000</v>
      </c>
      <c r="J817">
        <f>INDEX('TE_OA_20200805_INTRDY_2020-08-0'!$R$2:$R$870,MATCH(Filter!B817,'TE_OA_20200805_INTRDY_2020-08-0'!$G$2:$G$870))</f>
        <v>82144</v>
      </c>
    </row>
    <row r="818" spans="1:10" x14ac:dyDescent="0.25">
      <c r="A818" t="str">
        <f>INDEX('Pipe Table'!$E$2:$E$10,MATCH(INDEX('TE_OA_20200805_INTRDY_2020-08-0'!$T$2:$T$870,MATCH(Filter!B818,'TE_OA_20200805_INTRDY_2020-08-0'!$G$2:$G$870,0)),'Pipe Table'!$D$2:$D$10,0))</f>
        <v>TETCO</v>
      </c>
      <c r="B818">
        <v>75917</v>
      </c>
      <c r="C818" t="str">
        <f>INDEX('TE_OA_20200805_INTRDY_2020-08-0'!$J$2:$J$870,MATCH(Filter!B818,'TE_OA_20200805_INTRDY_2020-08-0'!$G$2:$G$870))</f>
        <v>Receipt</v>
      </c>
      <c r="D818" t="str">
        <f>INDEX('Pipe Table'!$B$2:$B$14,MATCH(INDEX(TeAllPoints!$I$2:$I$957,MATCH(Filter!B818,TeAllPoints!$B$2:$B$957,0)),'Pipe Table'!$A$2:$A$14,0))</f>
        <v>Intrcnnct</v>
      </c>
      <c r="E818" t="str">
        <f>INDEX('TE_OA_20200805_INTRDY_2020-08-0'!$H$2:$H$870,MATCH(Filter!B818,'TE_OA_20200805_INTRDY_2020-08-0'!$G$2:$G$870))</f>
        <v>TETLP/POMELO INTERCONNECT WITH VCP (DEL 73916/REC 73917)</v>
      </c>
      <c r="F818" t="str">
        <f>INDEX('Pipe Table'!$H$2:$H$8,MATCH('TE_OA_20200805_INTRDY_2020-08-0'!I799,'Pipe Table'!$G$2:$G$8,0))</f>
        <v>TETCO-STX</v>
      </c>
      <c r="G818" t="str">
        <f>INDEX(TeAllPoints!$D$2:$D$957,MATCH(Filter!B818,TeAllPoints!$B$2:$B$957,0))</f>
        <v>TX</v>
      </c>
      <c r="H818" t="str">
        <f>INDEX(TeAllPoints!$E$2:$E$957,MATCH(Filter!B818,TeAllPoints!$B$2:$B$957,0))</f>
        <v>NUECES</v>
      </c>
      <c r="I818">
        <f>INDEX('TE_OA_20200805_INTRDY_2020-08-0'!$Q$2:$Q$870,MATCH(Filter!B818,'TE_OA_20200805_INTRDY_2020-08-0'!$G$2:$G$870))</f>
        <v>396000</v>
      </c>
      <c r="J818">
        <f>INDEX('TE_OA_20200805_INTRDY_2020-08-0'!$R$2:$R$870,MATCH(Filter!B818,'TE_OA_20200805_INTRDY_2020-08-0'!$G$2:$G$870))</f>
        <v>82144</v>
      </c>
    </row>
    <row r="819" spans="1:10" x14ac:dyDescent="0.25">
      <c r="A819" t="str">
        <f>INDEX('Pipe Table'!$E$2:$E$10,MATCH(INDEX('TE_OA_20200805_INTRDY_2020-08-0'!$T$2:$T$870,MATCH(Filter!B819,'TE_OA_20200805_INTRDY_2020-08-0'!$G$2:$G$870,0)),'Pipe Table'!$D$2:$D$10,0))</f>
        <v>TETCO</v>
      </c>
      <c r="B819">
        <v>75919</v>
      </c>
      <c r="C819" t="str">
        <f>INDEX('TE_OA_20200805_INTRDY_2020-08-0'!$J$2:$J$870,MATCH(Filter!B819,'TE_OA_20200805_INTRDY_2020-08-0'!$G$2:$G$870))</f>
        <v>Delivery</v>
      </c>
      <c r="D819" t="str">
        <f>INDEX('Pipe Table'!$B$2:$B$14,MATCH(INDEX(TeAllPoints!$I$2:$I$957,MATCH(Filter!B819,TeAllPoints!$B$2:$B$957,0)),'Pipe Table'!$A$2:$A$14,0))</f>
        <v>Intrcnnct</v>
      </c>
      <c r="E819" t="str">
        <f>INDEX('TE_OA_20200805_INTRDY_2020-08-0'!$H$2:$H$870,MATCH(Filter!B819,'TE_OA_20200805_INTRDY_2020-08-0'!$G$2:$G$870))</f>
        <v>TRANSCO - BELLE MEADE, NJ (D70919/R76919)</v>
      </c>
      <c r="F819" t="str">
        <f>INDEX('Pipe Table'!$H$2:$H$8,MATCH('TE_OA_20200805_INTRDY_2020-08-0'!I800,'Pipe Table'!$G$2:$G$8,0))</f>
        <v>TETCO-M3</v>
      </c>
      <c r="G819" t="str">
        <f>INDEX(TeAllPoints!$D$2:$D$957,MATCH(Filter!B819,TeAllPoints!$B$2:$B$957,0))</f>
        <v>NJ</v>
      </c>
      <c r="H819" t="str">
        <f>INDEX(TeAllPoints!$E$2:$E$957,MATCH(Filter!B819,TeAllPoints!$B$2:$B$957,0))</f>
        <v>SOMERSET</v>
      </c>
      <c r="I819">
        <f>INDEX('TE_OA_20200805_INTRDY_2020-08-0'!$Q$2:$Q$870,MATCH(Filter!B819,'TE_OA_20200805_INTRDY_2020-08-0'!$G$2:$G$870))</f>
        <v>85487</v>
      </c>
      <c r="J819">
        <f>INDEX('TE_OA_20200805_INTRDY_2020-08-0'!$R$2:$R$870,MATCH(Filter!B819,'TE_OA_20200805_INTRDY_2020-08-0'!$G$2:$G$870))</f>
        <v>60685</v>
      </c>
    </row>
    <row r="820" spans="1:10" x14ac:dyDescent="0.25">
      <c r="A820" t="str">
        <f>INDEX('Pipe Table'!$E$2:$E$10,MATCH(INDEX('TE_OA_20200805_INTRDY_2020-08-0'!$T$2:$T$870,MATCH(Filter!B820,'TE_OA_20200805_INTRDY_2020-08-0'!$G$2:$G$870,0)),'Pipe Table'!$D$2:$D$10,0))</f>
        <v>TETCO</v>
      </c>
      <c r="B820">
        <v>75919</v>
      </c>
      <c r="C820" t="str">
        <f>INDEX('TE_OA_20200805_INTRDY_2020-08-0'!$J$2:$J$870,MATCH(Filter!B820,'TE_OA_20200805_INTRDY_2020-08-0'!$G$2:$G$870))</f>
        <v>Delivery</v>
      </c>
      <c r="D820" t="str">
        <f>INDEX('Pipe Table'!$B$2:$B$14,MATCH(INDEX(TeAllPoints!$I$2:$I$957,MATCH(Filter!B820,TeAllPoints!$B$2:$B$957,0)),'Pipe Table'!$A$2:$A$14,0))</f>
        <v>Intrcnnct</v>
      </c>
      <c r="E820" t="str">
        <f>INDEX('TE_OA_20200805_INTRDY_2020-08-0'!$H$2:$H$870,MATCH(Filter!B820,'TE_OA_20200805_INTRDY_2020-08-0'!$G$2:$G$870))</f>
        <v>TRANSCO - BELLE MEADE, NJ (D70919/R76919)</v>
      </c>
      <c r="F820" t="str">
        <f>INDEX('Pipe Table'!$H$2:$H$8,MATCH('TE_OA_20200805_INTRDY_2020-08-0'!I801,'Pipe Table'!$G$2:$G$8,0))</f>
        <v>TETCO-M3</v>
      </c>
      <c r="G820" t="str">
        <f>INDEX(TeAllPoints!$D$2:$D$957,MATCH(Filter!B820,TeAllPoints!$B$2:$B$957,0))</f>
        <v>NJ</v>
      </c>
      <c r="H820" t="str">
        <f>INDEX(TeAllPoints!$E$2:$E$957,MATCH(Filter!B820,TeAllPoints!$B$2:$B$957,0))</f>
        <v>SOMERSET</v>
      </c>
      <c r="I820">
        <f>INDEX('TE_OA_20200805_INTRDY_2020-08-0'!$Q$2:$Q$870,MATCH(Filter!B820,'TE_OA_20200805_INTRDY_2020-08-0'!$G$2:$G$870))</f>
        <v>85487</v>
      </c>
      <c r="J820">
        <f>INDEX('TE_OA_20200805_INTRDY_2020-08-0'!$R$2:$R$870,MATCH(Filter!B820,'TE_OA_20200805_INTRDY_2020-08-0'!$G$2:$G$870))</f>
        <v>60685</v>
      </c>
    </row>
    <row r="821" spans="1:10" x14ac:dyDescent="0.25">
      <c r="A821" t="str">
        <f>INDEX('Pipe Table'!$E$2:$E$10,MATCH(INDEX('TE_OA_20200805_INTRDY_2020-08-0'!$T$2:$T$870,MATCH(Filter!B821,'TE_OA_20200805_INTRDY_2020-08-0'!$G$2:$G$870,0)),'Pipe Table'!$D$2:$D$10,0))</f>
        <v>TETCO</v>
      </c>
      <c r="B821">
        <v>75931</v>
      </c>
      <c r="C821" t="str">
        <f>INDEX('TE_OA_20200805_INTRDY_2020-08-0'!$J$2:$J$870,MATCH(Filter!B821,'TE_OA_20200805_INTRDY_2020-08-0'!$G$2:$G$870))</f>
        <v>Storage Withdrawal</v>
      </c>
      <c r="D821" t="str">
        <f>INDEX('Pipe Table'!$B$2:$B$14,MATCH(INDEX(TeAllPoints!$I$2:$I$957,MATCH(Filter!B821,TeAllPoints!$B$2:$B$957,0)),'Pipe Table'!$A$2:$A$14,0))</f>
        <v>Stor</v>
      </c>
      <c r="E821" t="str">
        <f>INDEX('TE_OA_20200805_INTRDY_2020-08-0'!$H$2:$H$870,MATCH(Filter!B821,'TE_OA_20200805_INTRDY_2020-08-0'!$G$2:$G$870))</f>
        <v>DTI - LEIDY STORAGE (D70931/R76931)</v>
      </c>
      <c r="F821" t="str">
        <f>INDEX('Pipe Table'!$H$2:$H$8,MATCH('TE_OA_20200805_INTRDY_2020-08-0'!I802,'Pipe Table'!$G$2:$G$8,0))</f>
        <v>TETCO-M3</v>
      </c>
      <c r="G821" t="str">
        <f>INDEX(TeAllPoints!$D$2:$D$957,MATCH(Filter!B821,TeAllPoints!$B$2:$B$957,0))</f>
        <v>PA</v>
      </c>
      <c r="H821" t="str">
        <f>INDEX(TeAllPoints!$E$2:$E$957,MATCH(Filter!B821,TeAllPoints!$B$2:$B$957,0))</f>
        <v>CLINTON</v>
      </c>
      <c r="I821">
        <f>INDEX('TE_OA_20200805_INTRDY_2020-08-0'!$Q$2:$Q$870,MATCH(Filter!B821,'TE_OA_20200805_INTRDY_2020-08-0'!$G$2:$G$870))</f>
        <v>884388</v>
      </c>
      <c r="J821">
        <f>INDEX('TE_OA_20200805_INTRDY_2020-08-0'!$R$2:$R$870,MATCH(Filter!B821,'TE_OA_20200805_INTRDY_2020-08-0'!$G$2:$G$870))</f>
        <v>183502</v>
      </c>
    </row>
    <row r="822" spans="1:10" x14ac:dyDescent="0.25">
      <c r="A822" t="str">
        <f>INDEX('Pipe Table'!$E$2:$E$10,MATCH(INDEX('TE_OA_20200805_INTRDY_2020-08-0'!$T$2:$T$870,MATCH(Filter!B822,'TE_OA_20200805_INTRDY_2020-08-0'!$G$2:$G$870,0)),'Pipe Table'!$D$2:$D$10,0))</f>
        <v>TETCO</v>
      </c>
      <c r="B822">
        <v>75931</v>
      </c>
      <c r="C822" t="str">
        <f>INDEX('TE_OA_20200805_INTRDY_2020-08-0'!$J$2:$J$870,MATCH(Filter!B822,'TE_OA_20200805_INTRDY_2020-08-0'!$G$2:$G$870))</f>
        <v>Storage Withdrawal</v>
      </c>
      <c r="D822" t="str">
        <f>INDEX('Pipe Table'!$B$2:$B$14,MATCH(INDEX(TeAllPoints!$I$2:$I$957,MATCH(Filter!B822,TeAllPoints!$B$2:$B$957,0)),'Pipe Table'!$A$2:$A$14,0))</f>
        <v>Stor</v>
      </c>
      <c r="E822" t="str">
        <f>INDEX('TE_OA_20200805_INTRDY_2020-08-0'!$H$2:$H$870,MATCH(Filter!B822,'TE_OA_20200805_INTRDY_2020-08-0'!$G$2:$G$870))</f>
        <v>DTI - LEIDY STORAGE (D70931/R76931)</v>
      </c>
      <c r="F822" t="str">
        <f>INDEX('Pipe Table'!$H$2:$H$8,MATCH('TE_OA_20200805_INTRDY_2020-08-0'!I803,'Pipe Table'!$G$2:$G$8,0))</f>
        <v>TETCO-M3</v>
      </c>
      <c r="G822" t="str">
        <f>INDEX(TeAllPoints!$D$2:$D$957,MATCH(Filter!B822,TeAllPoints!$B$2:$B$957,0))</f>
        <v>PA</v>
      </c>
      <c r="H822" t="str">
        <f>INDEX(TeAllPoints!$E$2:$E$957,MATCH(Filter!B822,TeAllPoints!$B$2:$B$957,0))</f>
        <v>CLINTON</v>
      </c>
      <c r="I822">
        <f>INDEX('TE_OA_20200805_INTRDY_2020-08-0'!$Q$2:$Q$870,MATCH(Filter!B822,'TE_OA_20200805_INTRDY_2020-08-0'!$G$2:$G$870))</f>
        <v>884388</v>
      </c>
      <c r="J822">
        <f>INDEX('TE_OA_20200805_INTRDY_2020-08-0'!$R$2:$R$870,MATCH(Filter!B822,'TE_OA_20200805_INTRDY_2020-08-0'!$G$2:$G$870))</f>
        <v>183502</v>
      </c>
    </row>
    <row r="823" spans="1:10" x14ac:dyDescent="0.25">
      <c r="A823" t="str">
        <f>INDEX('Pipe Table'!$E$2:$E$10,MATCH(INDEX('TE_OA_20200805_INTRDY_2020-08-0'!$T$2:$T$870,MATCH(Filter!B823,'TE_OA_20200805_INTRDY_2020-08-0'!$G$2:$G$870,0)),'Pipe Table'!$D$2:$D$10,0))</f>
        <v>TETCO</v>
      </c>
      <c r="B823">
        <v>75977</v>
      </c>
      <c r="C823" t="str">
        <f>INDEX('TE_OA_20200805_INTRDY_2020-08-0'!$J$2:$J$870,MATCH(Filter!B823,'TE_OA_20200805_INTRDY_2020-08-0'!$G$2:$G$870))</f>
        <v>Storage Withdrawal</v>
      </c>
      <c r="D823" t="str">
        <f>INDEX('Pipe Table'!$B$2:$B$14,MATCH(INDEX(TeAllPoints!$I$2:$I$957,MATCH(Filter!B823,TeAllPoints!$B$2:$B$957,0)),'Pipe Table'!$A$2:$A$14,0))</f>
        <v>Intrcnnct</v>
      </c>
      <c r="E823" t="str">
        <f>INDEX('TE_OA_20200805_INTRDY_2020-08-0'!$H$2:$H$870,MATCH(Filter!B823,'TE_OA_20200805_INTRDY_2020-08-0'!$G$2:$G$870))</f>
        <v>NATIONAL FUEL - CLINTON,PA (72977-D,72978-R)</v>
      </c>
      <c r="F823" t="str">
        <f>INDEX('Pipe Table'!$H$2:$H$8,MATCH('TE_OA_20200805_INTRDY_2020-08-0'!I804,'Pipe Table'!$G$2:$G$8,0))</f>
        <v>TETCO-M3</v>
      </c>
      <c r="G823" t="str">
        <f>INDEX(TeAllPoints!$D$2:$D$957,MATCH(Filter!B823,TeAllPoints!$B$2:$B$957,0))</f>
        <v>PA</v>
      </c>
      <c r="H823" t="str">
        <f>INDEX(TeAllPoints!$E$2:$E$957,MATCH(Filter!B823,TeAllPoints!$B$2:$B$957,0))</f>
        <v>CLINTON</v>
      </c>
      <c r="I823">
        <f>INDEX('TE_OA_20200805_INTRDY_2020-08-0'!$Q$2:$Q$870,MATCH(Filter!B823,'TE_OA_20200805_INTRDY_2020-08-0'!$G$2:$G$870))</f>
        <v>73456</v>
      </c>
      <c r="J823">
        <f>INDEX('TE_OA_20200805_INTRDY_2020-08-0'!$R$2:$R$870,MATCH(Filter!B823,'TE_OA_20200805_INTRDY_2020-08-0'!$G$2:$G$870))</f>
        <v>0</v>
      </c>
    </row>
    <row r="824" spans="1:10" x14ac:dyDescent="0.25">
      <c r="A824" t="str">
        <f>INDEX('Pipe Table'!$E$2:$E$10,MATCH(INDEX('TE_OA_20200805_INTRDY_2020-08-0'!$T$2:$T$870,MATCH(Filter!B824,'TE_OA_20200805_INTRDY_2020-08-0'!$G$2:$G$870,0)),'Pipe Table'!$D$2:$D$10,0))</f>
        <v>TETCO</v>
      </c>
      <c r="B824">
        <v>75977</v>
      </c>
      <c r="C824" t="str">
        <f>INDEX('TE_OA_20200805_INTRDY_2020-08-0'!$J$2:$J$870,MATCH(Filter!B824,'TE_OA_20200805_INTRDY_2020-08-0'!$G$2:$G$870))</f>
        <v>Storage Withdrawal</v>
      </c>
      <c r="D824" t="str">
        <f>INDEX('Pipe Table'!$B$2:$B$14,MATCH(INDEX(TeAllPoints!$I$2:$I$957,MATCH(Filter!B824,TeAllPoints!$B$2:$B$957,0)),'Pipe Table'!$A$2:$A$14,0))</f>
        <v>Intrcnnct</v>
      </c>
      <c r="E824" t="str">
        <f>INDEX('TE_OA_20200805_INTRDY_2020-08-0'!$H$2:$H$870,MATCH(Filter!B824,'TE_OA_20200805_INTRDY_2020-08-0'!$G$2:$G$870))</f>
        <v>NATIONAL FUEL - CLINTON,PA (72977-D,72978-R)</v>
      </c>
      <c r="F824" t="str">
        <f>INDEX('Pipe Table'!$H$2:$H$8,MATCH('TE_OA_20200805_INTRDY_2020-08-0'!I805,'Pipe Table'!$G$2:$G$8,0))</f>
        <v>TETCO-M3</v>
      </c>
      <c r="G824" t="str">
        <f>INDEX(TeAllPoints!$D$2:$D$957,MATCH(Filter!B824,TeAllPoints!$B$2:$B$957,0))</f>
        <v>PA</v>
      </c>
      <c r="H824" t="str">
        <f>INDEX(TeAllPoints!$E$2:$E$957,MATCH(Filter!B824,TeAllPoints!$B$2:$B$957,0))</f>
        <v>CLINTON</v>
      </c>
      <c r="I824">
        <f>INDEX('TE_OA_20200805_INTRDY_2020-08-0'!$Q$2:$Q$870,MATCH(Filter!B824,'TE_OA_20200805_INTRDY_2020-08-0'!$G$2:$G$870))</f>
        <v>73456</v>
      </c>
      <c r="J824">
        <f>INDEX('TE_OA_20200805_INTRDY_2020-08-0'!$R$2:$R$870,MATCH(Filter!B824,'TE_OA_20200805_INTRDY_2020-08-0'!$G$2:$G$870))</f>
        <v>0</v>
      </c>
    </row>
    <row r="825" spans="1:10" x14ac:dyDescent="0.25">
      <c r="A825" t="str">
        <f>INDEX('Pipe Table'!$E$2:$E$10,MATCH(INDEX('TE_OA_20200805_INTRDY_2020-08-0'!$T$2:$T$870,MATCH(Filter!B825,'TE_OA_20200805_INTRDY_2020-08-0'!$G$2:$G$870,0)),'Pipe Table'!$D$2:$D$10,0))</f>
        <v>TETCO</v>
      </c>
      <c r="B825">
        <v>76025</v>
      </c>
      <c r="C825" t="str">
        <f>INDEX('TE_OA_20200805_INTRDY_2020-08-0'!$J$2:$J$870,MATCH(Filter!B825,'TE_OA_20200805_INTRDY_2020-08-0'!$G$2:$G$870))</f>
        <v>Receipt</v>
      </c>
      <c r="D825" t="str">
        <f>INDEX('Pipe Table'!$B$2:$B$14,MATCH(INDEX(TeAllPoints!$I$2:$I$957,MATCH(Filter!B825,TeAllPoints!$B$2:$B$957,0)),'Pipe Table'!$A$2:$A$14,0))</f>
        <v>Wellhead</v>
      </c>
      <c r="E825" t="str">
        <f>INDEX('TE_OA_20200805_INTRDY_2020-08-0'!$H$2:$H$870,MATCH(Filter!B825,'TE_OA_20200805_INTRDY_2020-08-0'!$G$2:$G$870))</f>
        <v>Atmos Energy, TN (B/D 73025)</v>
      </c>
      <c r="F825" t="str">
        <f>INDEX('Pipe Table'!$H$2:$H$8,MATCH('TE_OA_20200805_INTRDY_2020-08-0'!I806,'Pipe Table'!$G$2:$G$8,0))</f>
        <v>TETCO-M1</v>
      </c>
      <c r="G825" t="str">
        <f>INDEX(TeAllPoints!$D$2:$D$957,MATCH(Filter!B825,TeAllPoints!$B$2:$B$957,0))</f>
        <v>TN</v>
      </c>
      <c r="H825" t="str">
        <f>INDEX(TeAllPoints!$E$2:$E$957,MATCH(Filter!B825,TeAllPoints!$B$2:$B$957,0))</f>
        <v>WILLIAMSON</v>
      </c>
      <c r="I825">
        <f>INDEX('TE_OA_20200805_INTRDY_2020-08-0'!$Q$2:$Q$870,MATCH(Filter!B825,'TE_OA_20200805_INTRDY_2020-08-0'!$G$2:$G$870))</f>
        <v>210772</v>
      </c>
      <c r="J825">
        <f>INDEX('TE_OA_20200805_INTRDY_2020-08-0'!$R$2:$R$870,MATCH(Filter!B825,'TE_OA_20200805_INTRDY_2020-08-0'!$G$2:$G$870))</f>
        <v>0</v>
      </c>
    </row>
    <row r="826" spans="1:10" x14ac:dyDescent="0.25">
      <c r="A826" t="str">
        <f>INDEX('Pipe Table'!$E$2:$E$10,MATCH(INDEX('TE_OA_20200805_INTRDY_2020-08-0'!$T$2:$T$870,MATCH(Filter!B826,'TE_OA_20200805_INTRDY_2020-08-0'!$G$2:$G$870,0)),'Pipe Table'!$D$2:$D$10,0))</f>
        <v>TETCO</v>
      </c>
      <c r="B826">
        <v>76087</v>
      </c>
      <c r="C826" t="str">
        <f>INDEX('TE_OA_20200805_INTRDY_2020-08-0'!$J$2:$J$870,MATCH(Filter!B826,'TE_OA_20200805_INTRDY_2020-08-0'!$G$2:$G$870))</f>
        <v>Delivery</v>
      </c>
      <c r="D826" t="str">
        <f>INDEX('Pipe Table'!$B$2:$B$14,MATCH(INDEX(TeAllPoints!$I$2:$I$957,MATCH(Filter!B826,TeAllPoints!$B$2:$B$957,0)),'Pipe Table'!$A$2:$A$14,0))</f>
        <v>Intrcnnct</v>
      </c>
      <c r="E826" t="str">
        <f>INDEX('TE_OA_20200805_INTRDY_2020-08-0'!$H$2:$H$870,MATCH(Filter!B826,'TE_OA_20200805_INTRDY_2020-08-0'!$G$2:$G$870))</f>
        <v>Algonquin - Lambertville, NJ (Receipt)</v>
      </c>
      <c r="F826" t="str">
        <f>INDEX('Pipe Table'!$H$2:$H$8,MATCH('TE_OA_20200805_INTRDY_2020-08-0'!I807,'Pipe Table'!$G$2:$G$8,0))</f>
        <v>TETCO-M3</v>
      </c>
      <c r="G826" t="str">
        <f>INDEX(TeAllPoints!$D$2:$D$957,MATCH(Filter!B826,TeAllPoints!$B$2:$B$957,0))</f>
        <v>NJ</v>
      </c>
      <c r="H826" t="str">
        <f>INDEX(TeAllPoints!$E$2:$E$957,MATCH(Filter!B826,TeAllPoints!$B$2:$B$957,0))</f>
        <v>HUNTERDON</v>
      </c>
      <c r="I826">
        <f>INDEX('TE_OA_20200805_INTRDY_2020-08-0'!$Q$2:$Q$870,MATCH(Filter!B826,'TE_OA_20200805_INTRDY_2020-08-0'!$G$2:$G$870))</f>
        <v>280000</v>
      </c>
      <c r="J826">
        <f>INDEX('TE_OA_20200805_INTRDY_2020-08-0'!$R$2:$R$870,MATCH(Filter!B826,'TE_OA_20200805_INTRDY_2020-08-0'!$G$2:$G$870))</f>
        <v>-2276</v>
      </c>
    </row>
    <row r="827" spans="1:10" x14ac:dyDescent="0.25">
      <c r="A827" t="str">
        <f>INDEX('Pipe Table'!$E$2:$E$10,MATCH(INDEX('TE_OA_20200805_INTRDY_2020-08-0'!$T$2:$T$870,MATCH(Filter!B827,'TE_OA_20200805_INTRDY_2020-08-0'!$G$2:$G$870,0)),'Pipe Table'!$D$2:$D$10,0))</f>
        <v>TETCO</v>
      </c>
      <c r="B827">
        <v>76298</v>
      </c>
      <c r="C827" t="str">
        <f>INDEX('TE_OA_20200805_INTRDY_2020-08-0'!$J$2:$J$870,MATCH(Filter!B827,'TE_OA_20200805_INTRDY_2020-08-0'!$G$2:$G$870))</f>
        <v>Receipt</v>
      </c>
      <c r="D827" t="str">
        <f>INDEX('Pipe Table'!$B$2:$B$14,MATCH(INDEX(TeAllPoints!$I$2:$I$957,MATCH(Filter!B827,TeAllPoints!$B$2:$B$957,0)),'Pipe Table'!$A$2:$A$14,0))</f>
        <v>Intrcnnct</v>
      </c>
      <c r="E827" t="str">
        <f>INDEX('TE_OA_20200805_INTRDY_2020-08-0'!$H$2:$H$870,MATCH(Filter!B827,'TE_OA_20200805_INTRDY_2020-08-0'!$G$2:$G$870))</f>
        <v>East Tennessee Gas - Mt. Pleasant,TN-REC (B/D71298)</v>
      </c>
      <c r="F827" t="str">
        <f>INDEX('Pipe Table'!$H$2:$H$8,MATCH('TE_OA_20200805_INTRDY_2020-08-0'!I808,'Pipe Table'!$G$2:$G$8,0))</f>
        <v>TETCO-M1</v>
      </c>
      <c r="G827" t="str">
        <f>INDEX(TeAllPoints!$D$2:$D$957,MATCH(Filter!B827,TeAllPoints!$B$2:$B$957,0))</f>
        <v>TN</v>
      </c>
      <c r="H827" t="str">
        <f>INDEX(TeAllPoints!$E$2:$E$957,MATCH(Filter!B827,TeAllPoints!$B$2:$B$957,0))</f>
        <v>GILES</v>
      </c>
      <c r="I827">
        <f>INDEX('TE_OA_20200805_INTRDY_2020-08-0'!$Q$2:$Q$870,MATCH(Filter!B827,'TE_OA_20200805_INTRDY_2020-08-0'!$G$2:$G$870))</f>
        <v>549003</v>
      </c>
      <c r="J827">
        <f>INDEX('TE_OA_20200805_INTRDY_2020-08-0'!$R$2:$R$870,MATCH(Filter!B827,'TE_OA_20200805_INTRDY_2020-08-0'!$G$2:$G$870))</f>
        <v>0</v>
      </c>
    </row>
    <row r="828" spans="1:10" x14ac:dyDescent="0.25">
      <c r="A828" t="str">
        <f>INDEX('Pipe Table'!$E$2:$E$10,MATCH(INDEX('TE_OA_20200805_INTRDY_2020-08-0'!$T$2:$T$870,MATCH(Filter!B828,'TE_OA_20200805_INTRDY_2020-08-0'!$G$2:$G$870,0)),'Pipe Table'!$D$2:$D$10,0))</f>
        <v>TETCO</v>
      </c>
      <c r="B828">
        <v>76580</v>
      </c>
      <c r="C828" t="str">
        <f>INDEX('TE_OA_20200805_INTRDY_2020-08-0'!$J$2:$J$870,MATCH(Filter!B828,'TE_OA_20200805_INTRDY_2020-08-0'!$G$2:$G$870))</f>
        <v>Receipt</v>
      </c>
      <c r="D828" t="str">
        <f>INDEX('Pipe Table'!$B$2:$B$14,MATCH(INDEX(TeAllPoints!$I$2:$I$957,MATCH(Filter!B828,TeAllPoints!$B$2:$B$957,0)),'Pipe Table'!$A$2:$A$14,0))</f>
        <v>Intrcnnct</v>
      </c>
      <c r="E828" t="str">
        <f>INDEX('TE_OA_20200805_INTRDY_2020-08-0'!$H$2:$H$870,MATCH(Filter!B828,'TE_OA_20200805_INTRDY_2020-08-0'!$G$2:$G$870))</f>
        <v>Southcross Mississippi Pipeline, LP- Hinds, MS - DEL (B/D 76580)</v>
      </c>
      <c r="F828" t="str">
        <f>INDEX('Pipe Table'!$H$2:$H$8,MATCH('TE_OA_20200805_INTRDY_2020-08-0'!I809,'Pipe Table'!$G$2:$G$8,0))</f>
        <v>TETCO-ELA</v>
      </c>
      <c r="G828" t="str">
        <f>INDEX(TeAllPoints!$D$2:$D$957,MATCH(Filter!B828,TeAllPoints!$B$2:$B$957,0))</f>
        <v>MS</v>
      </c>
      <c r="H828" t="str">
        <f>INDEX(TeAllPoints!$E$2:$E$957,MATCH(Filter!B828,TeAllPoints!$B$2:$B$957,0))</f>
        <v>HINDS</v>
      </c>
      <c r="I828">
        <f>INDEX('TE_OA_20200805_INTRDY_2020-08-0'!$Q$2:$Q$870,MATCH(Filter!B828,'TE_OA_20200805_INTRDY_2020-08-0'!$G$2:$G$870))</f>
        <v>97571</v>
      </c>
      <c r="J828">
        <f>INDEX('TE_OA_20200805_INTRDY_2020-08-0'!$R$2:$R$870,MATCH(Filter!B828,'TE_OA_20200805_INTRDY_2020-08-0'!$G$2:$G$870))</f>
        <v>0</v>
      </c>
    </row>
    <row r="829" spans="1:10" x14ac:dyDescent="0.25">
      <c r="A829" t="str">
        <f>INDEX('Pipe Table'!$E$2:$E$10,MATCH(INDEX('TE_OA_20200805_INTRDY_2020-08-0'!$T$2:$T$870,MATCH(Filter!B829,'TE_OA_20200805_INTRDY_2020-08-0'!$G$2:$G$870,0)),'Pipe Table'!$D$2:$D$10,0))</f>
        <v>TETCO</v>
      </c>
      <c r="B829">
        <v>76609</v>
      </c>
      <c r="C829" t="str">
        <f>INDEX('TE_OA_20200805_INTRDY_2020-08-0'!$J$2:$J$870,MATCH(Filter!B829,'TE_OA_20200805_INTRDY_2020-08-0'!$G$2:$G$870))</f>
        <v>Receipt</v>
      </c>
      <c r="D829" t="str">
        <f>INDEX('Pipe Table'!$B$2:$B$14,MATCH(INDEX(TeAllPoints!$I$2:$I$957,MATCH(Filter!B829,TeAllPoints!$B$2:$B$957,0)),'Pipe Table'!$A$2:$A$14,0))</f>
        <v>Wellhead</v>
      </c>
      <c r="E829" t="str">
        <f>INDEX('TE_OA_20200805_INTRDY_2020-08-0'!$H$2:$H$870,MATCH(Filter!B829,'TE_OA_20200805_INTRDY_2020-08-0'!$G$2:$G$870))</f>
        <v>Williams Energy LLC - Lafourche Psh., LA-REC</v>
      </c>
      <c r="F829" t="str">
        <f>INDEX('Pipe Table'!$H$2:$H$8,MATCH('TE_OA_20200805_INTRDY_2020-08-0'!I810,'Pipe Table'!$G$2:$G$8,0))</f>
        <v>TETCO-ELA</v>
      </c>
      <c r="G829" t="str">
        <f>INDEX(TeAllPoints!$D$2:$D$957,MATCH(Filter!B829,TeAllPoints!$B$2:$B$957,0))</f>
        <v>LA</v>
      </c>
      <c r="H829" t="str">
        <f>INDEX(TeAllPoints!$E$2:$E$957,MATCH(Filter!B829,TeAllPoints!$B$2:$B$957,0))</f>
        <v>LAFOURCHE</v>
      </c>
      <c r="I829">
        <f>INDEX('TE_OA_20200805_INTRDY_2020-08-0'!$Q$2:$Q$870,MATCH(Filter!B829,'TE_OA_20200805_INTRDY_2020-08-0'!$G$2:$G$870))</f>
        <v>417875</v>
      </c>
      <c r="J829">
        <f>INDEX('TE_OA_20200805_INTRDY_2020-08-0'!$R$2:$R$870,MATCH(Filter!B829,'TE_OA_20200805_INTRDY_2020-08-0'!$G$2:$G$870))</f>
        <v>0</v>
      </c>
    </row>
    <row r="830" spans="1:10" x14ac:dyDescent="0.25">
      <c r="A830" t="str">
        <f>INDEX('Pipe Table'!$E$2:$E$10,MATCH(INDEX('TE_OA_20200805_INTRDY_2020-08-0'!$T$2:$T$870,MATCH(Filter!B830,'TE_OA_20200805_INTRDY_2020-08-0'!$G$2:$G$870,0)),'Pipe Table'!$D$2:$D$10,0))</f>
        <v>TETCO</v>
      </c>
      <c r="B830">
        <v>76671</v>
      </c>
      <c r="C830" t="str">
        <f>INDEX('TE_OA_20200805_INTRDY_2020-08-0'!$J$2:$J$870,MATCH(Filter!B830,'TE_OA_20200805_INTRDY_2020-08-0'!$G$2:$G$870))</f>
        <v>Receipt</v>
      </c>
      <c r="D830" t="str">
        <f>INDEX('Pipe Table'!$B$2:$B$14,MATCH(INDEX(TeAllPoints!$I$2:$I$957,MATCH(Filter!B830,TeAllPoints!$B$2:$B$957,0)),'Pipe Table'!$A$2:$A$14,0))</f>
        <v>Wellhead</v>
      </c>
      <c r="E830" t="str">
        <f>INDEX('TE_OA_20200805_INTRDY_2020-08-0'!$H$2:$H$870,MATCH(Filter!B830,'TE_OA_20200805_INTRDY_2020-08-0'!$G$2:$G$870))</f>
        <v>PEOPLES NAT - Rager Mountain, PA (Rec.)</v>
      </c>
      <c r="F830" t="str">
        <f>INDEX('Pipe Table'!$H$2:$H$8,MATCH('TE_OA_20200805_INTRDY_2020-08-0'!I811,'Pipe Table'!$G$2:$G$8,0))</f>
        <v>TETCO-M3</v>
      </c>
      <c r="G830" t="str">
        <f>INDEX(TeAllPoints!$D$2:$D$957,MATCH(Filter!B830,TeAllPoints!$B$2:$B$957,0))</f>
        <v>PA</v>
      </c>
      <c r="H830" t="str">
        <f>INDEX(TeAllPoints!$E$2:$E$957,MATCH(Filter!B830,TeAllPoints!$B$2:$B$957,0))</f>
        <v>CAMBRIA</v>
      </c>
      <c r="I830">
        <f>INDEX('TE_OA_20200805_INTRDY_2020-08-0'!$Q$2:$Q$870,MATCH(Filter!B830,'TE_OA_20200805_INTRDY_2020-08-0'!$G$2:$G$870))</f>
        <v>76328</v>
      </c>
      <c r="J830">
        <f>INDEX('TE_OA_20200805_INTRDY_2020-08-0'!$R$2:$R$870,MATCH(Filter!B830,'TE_OA_20200805_INTRDY_2020-08-0'!$G$2:$G$870))</f>
        <v>4470</v>
      </c>
    </row>
    <row r="831" spans="1:10" x14ac:dyDescent="0.25">
      <c r="A831" t="str">
        <f>INDEX('Pipe Table'!$E$2:$E$10,MATCH(INDEX('TE_OA_20200805_INTRDY_2020-08-0'!$T$2:$T$870,MATCH(Filter!B831,'TE_OA_20200805_INTRDY_2020-08-0'!$G$2:$G$870,0)),'Pipe Table'!$D$2:$D$10,0))</f>
        <v>TETCO</v>
      </c>
      <c r="B831">
        <v>76840</v>
      </c>
      <c r="C831" t="str">
        <f>INDEX('TE_OA_20200805_INTRDY_2020-08-0'!$J$2:$J$870,MATCH(Filter!B831,'TE_OA_20200805_INTRDY_2020-08-0'!$G$2:$G$870))</f>
        <v>Receipt</v>
      </c>
      <c r="D831" t="str">
        <f>INDEX('Pipe Table'!$B$2:$B$14,MATCH(INDEX(TeAllPoints!$I$2:$I$957,MATCH(Filter!B831,TeAllPoints!$B$2:$B$957,0)),'Pipe Table'!$A$2:$A$14,0))</f>
        <v>Intrcnnct</v>
      </c>
      <c r="E831" t="str">
        <f>INDEX('TE_OA_20200805_INTRDY_2020-08-0'!$H$2:$H$870,MATCH(Filter!B831,'TE_OA_20200805_INTRDY_2020-08-0'!$G$2:$G$870))</f>
        <v>AGT to TE Hanover</v>
      </c>
      <c r="F831" t="str">
        <f>INDEX('Pipe Table'!$H$2:$H$8,MATCH('TE_OA_20200805_INTRDY_2020-08-0'!I812,'Pipe Table'!$G$2:$G$8,0))</f>
        <v>TETCO-M3</v>
      </c>
      <c r="G831" t="str">
        <f>INDEX(TeAllPoints!$D$2:$D$957,MATCH(Filter!B831,TeAllPoints!$B$2:$B$957,0))</f>
        <v>NJ</v>
      </c>
      <c r="H831" t="str">
        <f>INDEX(TeAllPoints!$E$2:$E$957,MATCH(Filter!B831,TeAllPoints!$B$2:$B$957,0))</f>
        <v>MORRIS</v>
      </c>
      <c r="I831">
        <f>INDEX('TE_OA_20200805_INTRDY_2020-08-0'!$Q$2:$Q$870,MATCH(Filter!B831,'TE_OA_20200805_INTRDY_2020-08-0'!$G$2:$G$870))</f>
        <v>1305276</v>
      </c>
      <c r="J831">
        <f>INDEX('TE_OA_20200805_INTRDY_2020-08-0'!$R$2:$R$870,MATCH(Filter!B831,'TE_OA_20200805_INTRDY_2020-08-0'!$G$2:$G$870))</f>
        <v>451614</v>
      </c>
    </row>
    <row r="832" spans="1:10" x14ac:dyDescent="0.25">
      <c r="A832" t="str">
        <f>INDEX('Pipe Table'!$E$2:$E$10,MATCH(INDEX('TE_OA_20200805_INTRDY_2020-08-0'!$T$2:$T$870,MATCH(Filter!B832,'TE_OA_20200805_INTRDY_2020-08-0'!$G$2:$G$870,0)),'Pipe Table'!$D$2:$D$10,0))</f>
        <v>TETCO</v>
      </c>
      <c r="B832">
        <v>76890</v>
      </c>
      <c r="C832" t="str">
        <f>INDEX('TE_OA_20200805_INTRDY_2020-08-0'!$J$2:$J$870,MATCH(Filter!B832,'TE_OA_20200805_INTRDY_2020-08-0'!$G$2:$G$870))</f>
        <v>Receipt</v>
      </c>
      <c r="D832" t="str">
        <f>INDEX('Pipe Table'!$B$2:$B$14,MATCH(INDEX(TeAllPoints!$I$2:$I$957,MATCH(Filter!B832,TeAllPoints!$B$2:$B$957,0)),'Pipe Table'!$A$2:$A$14,0))</f>
        <v>Intrcnnct</v>
      </c>
      <c r="E832" t="str">
        <f>INDEX('TE_OA_20200805_INTRDY_2020-08-0'!$H$2:$H$870,MATCH(Filter!B832,'TE_OA_20200805_INTRDY_2020-08-0'!$G$2:$G$870))</f>
        <v>Louisiana Intrastate Gas - Iberville Psh.,LA - REC</v>
      </c>
      <c r="F832" t="str">
        <f>INDEX('Pipe Table'!$H$2:$H$8,MATCH('TE_OA_20200805_INTRDY_2020-08-0'!I813,'Pipe Table'!$G$2:$G$8,0))</f>
        <v>TETCO-ELA</v>
      </c>
      <c r="G832" t="str">
        <f>INDEX(TeAllPoints!$D$2:$D$957,MATCH(Filter!B832,TeAllPoints!$B$2:$B$957,0))</f>
        <v>LA</v>
      </c>
      <c r="H832" t="str">
        <f>INDEX(TeAllPoints!$E$2:$E$957,MATCH(Filter!B832,TeAllPoints!$B$2:$B$957,0))</f>
        <v>IBERVILLE</v>
      </c>
      <c r="I832">
        <f>INDEX('TE_OA_20200805_INTRDY_2020-08-0'!$Q$2:$Q$870,MATCH(Filter!B832,'TE_OA_20200805_INTRDY_2020-08-0'!$G$2:$G$870))</f>
        <v>65618</v>
      </c>
      <c r="J832">
        <f>INDEX('TE_OA_20200805_INTRDY_2020-08-0'!$R$2:$R$870,MATCH(Filter!B832,'TE_OA_20200805_INTRDY_2020-08-0'!$G$2:$G$870))</f>
        <v>0</v>
      </c>
    </row>
    <row r="833" spans="1:10" x14ac:dyDescent="0.25">
      <c r="A833" t="str">
        <f>INDEX('Pipe Table'!$E$2:$E$10,MATCH(INDEX('TE_OA_20200805_INTRDY_2020-08-0'!$T$2:$T$870,MATCH(Filter!B833,'TE_OA_20200805_INTRDY_2020-08-0'!$G$2:$G$870,0)),'Pipe Table'!$D$2:$D$10,0))</f>
        <v>TETCO</v>
      </c>
      <c r="B833">
        <v>76903</v>
      </c>
      <c r="C833" t="str">
        <f>INDEX('TE_OA_20200805_INTRDY_2020-08-0'!$J$2:$J$870,MATCH(Filter!B833,'TE_OA_20200805_INTRDY_2020-08-0'!$G$2:$G$870))</f>
        <v>Delivery</v>
      </c>
      <c r="D833" t="str">
        <f>INDEX('Pipe Table'!$B$2:$B$14,MATCH(INDEX(TeAllPoints!$I$2:$I$957,MATCH(Filter!B833,TeAllPoints!$B$2:$B$957,0)),'Pipe Table'!$A$2:$A$14,0))</f>
        <v>Intrcnnct</v>
      </c>
      <c r="E833" t="str">
        <f>INDEX('TE_OA_20200805_INTRDY_2020-08-0'!$H$2:$H$870,MATCH(Filter!B833,'TE_OA_20200805_INTRDY_2020-08-0'!$G$2:$G$870))</f>
        <v>ANR, DEL- Glen Karn, OH</v>
      </c>
      <c r="F833" t="str">
        <f>INDEX('Pipe Table'!$H$2:$H$8,MATCH('TE_OA_20200805_INTRDY_2020-08-0'!I814,'Pipe Table'!$G$2:$G$8,0))</f>
        <v>TETCO-M2</v>
      </c>
      <c r="G833" t="str">
        <f>INDEX(TeAllPoints!$D$2:$D$957,MATCH(Filter!B833,TeAllPoints!$B$2:$B$957,0))</f>
        <v>OH</v>
      </c>
      <c r="H833" t="str">
        <f>INDEX(TeAllPoints!$E$2:$E$957,MATCH(Filter!B833,TeAllPoints!$B$2:$B$957,0))</f>
        <v>DARKE</v>
      </c>
      <c r="I833">
        <f>INDEX('TE_OA_20200805_INTRDY_2020-08-0'!$Q$2:$Q$870,MATCH(Filter!B833,'TE_OA_20200805_INTRDY_2020-08-0'!$G$2:$G$870))</f>
        <v>769560</v>
      </c>
      <c r="J833">
        <f>INDEX('TE_OA_20200805_INTRDY_2020-08-0'!$R$2:$R$870,MATCH(Filter!B833,'TE_OA_20200805_INTRDY_2020-08-0'!$G$2:$G$870))</f>
        <v>84875</v>
      </c>
    </row>
    <row r="834" spans="1:10" x14ac:dyDescent="0.25">
      <c r="A834" t="str">
        <f>INDEX('Pipe Table'!$E$2:$E$10,MATCH(INDEX('TE_OA_20200805_INTRDY_2020-08-0'!$T$2:$T$870,MATCH(Filter!B834,'TE_OA_20200805_INTRDY_2020-08-0'!$G$2:$G$870,0)),'Pipe Table'!$D$2:$D$10,0))</f>
        <v>TETCO</v>
      </c>
      <c r="B834">
        <v>76910</v>
      </c>
      <c r="C834" t="str">
        <f>INDEX('TE_OA_20200805_INTRDY_2020-08-0'!$J$2:$J$870,MATCH(Filter!B834,'TE_OA_20200805_INTRDY_2020-08-0'!$G$2:$G$870))</f>
        <v>Receipt</v>
      </c>
      <c r="D834" t="str">
        <f>INDEX('Pipe Table'!$B$2:$B$14,MATCH(INDEX(TeAllPoints!$I$2:$I$957,MATCH(Filter!B834,TeAllPoints!$B$2:$B$957,0)),'Pipe Table'!$A$2:$A$14,0))</f>
        <v>Intrcnnct</v>
      </c>
      <c r="E834" t="str">
        <f>INDEX('TE_OA_20200805_INTRDY_2020-08-0'!$H$2:$H$870,MATCH(Filter!B834,'TE_OA_20200805_INTRDY_2020-08-0'!$G$2:$G$870))</f>
        <v>Dominion Energy Transmission, Inc - LEBANON, WARREN CO, OH</v>
      </c>
      <c r="F834" t="str">
        <f>INDEX('Pipe Table'!$H$2:$H$8,MATCH('TE_OA_20200805_INTRDY_2020-08-0'!I815,'Pipe Table'!$G$2:$G$8,0))</f>
        <v>TETCO-M2</v>
      </c>
      <c r="G834" t="str">
        <f>INDEX(TeAllPoints!$D$2:$D$957,MATCH(Filter!B834,TeAllPoints!$B$2:$B$957,0))</f>
        <v>OH</v>
      </c>
      <c r="H834" t="str">
        <f>INDEX(TeAllPoints!$E$2:$E$957,MATCH(Filter!B834,TeAllPoints!$B$2:$B$957,0))</f>
        <v>WARREN</v>
      </c>
      <c r="I834">
        <f>INDEX('TE_OA_20200805_INTRDY_2020-08-0'!$Q$2:$Q$870,MATCH(Filter!B834,'TE_OA_20200805_INTRDY_2020-08-0'!$G$2:$G$870))</f>
        <v>518897</v>
      </c>
      <c r="J834">
        <f>INDEX('TE_OA_20200805_INTRDY_2020-08-0'!$R$2:$R$870,MATCH(Filter!B834,'TE_OA_20200805_INTRDY_2020-08-0'!$G$2:$G$870))</f>
        <v>0</v>
      </c>
    </row>
    <row r="835" spans="1:10" x14ac:dyDescent="0.25">
      <c r="A835" t="str">
        <f>INDEX('Pipe Table'!$E$2:$E$10,MATCH(INDEX('TE_OA_20200805_INTRDY_2020-08-0'!$T$2:$T$870,MATCH(Filter!B835,'TE_OA_20200805_INTRDY_2020-08-0'!$G$2:$G$870,0)),'Pipe Table'!$D$2:$D$10,0))</f>
        <v>TETCO</v>
      </c>
      <c r="B835">
        <v>78201</v>
      </c>
      <c r="C835" t="str">
        <f>INDEX('TE_OA_20200805_INTRDY_2020-08-0'!$J$2:$J$870,MATCH(Filter!B835,'TE_OA_20200805_INTRDY_2020-08-0'!$G$2:$G$870))</f>
        <v>Receipt</v>
      </c>
      <c r="D835" t="str">
        <f>INDEX('Pipe Table'!$B$2:$B$14,MATCH(INDEX(TeAllPoints!$I$2:$I$957,MATCH(Filter!B835,TeAllPoints!$B$2:$B$957,0)),'Pipe Table'!$A$2:$A$14,0))</f>
        <v>Intrcnnct</v>
      </c>
      <c r="E835" t="str">
        <f>INDEX('TE_OA_20200805_INTRDY_2020-08-0'!$H$2:$H$870,MATCH(Filter!B835,'TE_OA_20200805_INTRDY_2020-08-0'!$G$2:$G$870))</f>
        <v>MAHWAH</v>
      </c>
      <c r="F835" t="str">
        <f>INDEX('Pipe Table'!$H$2:$H$8,MATCH('TE_OA_20200805_INTRDY_2020-08-0'!I816,'Pipe Table'!$G$2:$G$8,0))</f>
        <v>TETCO-M3</v>
      </c>
      <c r="G835" t="str">
        <f>INDEX(TeAllPoints!$D$2:$D$957,MATCH(Filter!B835,TeAllPoints!$B$2:$B$957,0))</f>
        <v>NJ</v>
      </c>
      <c r="H835" t="str">
        <f>INDEX(TeAllPoints!$E$2:$E$957,MATCH(Filter!B835,TeAllPoints!$B$2:$B$957,0))</f>
        <v>BERGEN</v>
      </c>
      <c r="I835">
        <f>INDEX('TE_OA_20200805_INTRDY_2020-08-0'!$Q$2:$Q$870,MATCH(Filter!B835,'TE_OA_20200805_INTRDY_2020-08-0'!$G$2:$G$870))</f>
        <v>734278</v>
      </c>
      <c r="J835">
        <f>INDEX('TE_OA_20200805_INTRDY_2020-08-0'!$R$2:$R$870,MATCH(Filter!B835,'TE_OA_20200805_INTRDY_2020-08-0'!$G$2:$G$870))</f>
        <v>421932</v>
      </c>
    </row>
    <row r="836" spans="1:10" x14ac:dyDescent="0.25">
      <c r="A836" t="str">
        <f>INDEX('Pipe Table'!$E$2:$E$10,MATCH(INDEX('TE_OA_20200805_INTRDY_2020-08-0'!$T$2:$T$870,MATCH(Filter!B836,'TE_OA_20200805_INTRDY_2020-08-0'!$G$2:$G$870,0)),'Pipe Table'!$D$2:$D$10,0))</f>
        <v>TETCO</v>
      </c>
      <c r="B836">
        <v>78214</v>
      </c>
      <c r="C836" t="str">
        <f>INDEX('TE_OA_20200805_INTRDY_2020-08-0'!$J$2:$J$870,MATCH(Filter!B836,'TE_OA_20200805_INTRDY_2020-08-0'!$G$2:$G$870))</f>
        <v>Receipt</v>
      </c>
      <c r="D836" t="str">
        <f>INDEX('Pipe Table'!$B$2:$B$14,MATCH(INDEX(TeAllPoints!$I$2:$I$957,MATCH(Filter!B836,TeAllPoints!$B$2:$B$957,0)),'Pipe Table'!$A$2:$A$14,0))</f>
        <v>Intrcnnct</v>
      </c>
      <c r="E836" t="str">
        <f>INDEX('TE_OA_20200805_INTRDY_2020-08-0'!$H$2:$H$870,MATCH(Filter!B836,'TE_OA_20200805_INTRDY_2020-08-0'!$G$2:$G$870))</f>
        <v>RAMAPO</v>
      </c>
      <c r="F836" t="str">
        <f>INDEX('Pipe Table'!$H$2:$H$8,MATCH('TE_OA_20200805_INTRDY_2020-08-0'!I817,'Pipe Table'!$G$2:$G$8,0))</f>
        <v>TETCO-M3</v>
      </c>
      <c r="G836" t="str">
        <f>INDEX(TeAllPoints!$D$2:$D$957,MATCH(Filter!B836,TeAllPoints!$B$2:$B$957,0))</f>
        <v>NY</v>
      </c>
      <c r="H836" t="str">
        <f>INDEX(TeAllPoints!$E$2:$E$957,MATCH(Filter!B836,TeAllPoints!$B$2:$B$957,0))</f>
        <v>ROCKLAND</v>
      </c>
      <c r="I836">
        <f>INDEX('TE_OA_20200805_INTRDY_2020-08-0'!$Q$2:$Q$870,MATCH(Filter!B836,'TE_OA_20200805_INTRDY_2020-08-0'!$G$2:$G$870))</f>
        <v>734278</v>
      </c>
      <c r="J836">
        <f>INDEX('TE_OA_20200805_INTRDY_2020-08-0'!$R$2:$R$870,MATCH(Filter!B836,'TE_OA_20200805_INTRDY_2020-08-0'!$G$2:$G$870))</f>
        <v>44156</v>
      </c>
    </row>
    <row r="837" spans="1:10" x14ac:dyDescent="0.25">
      <c r="A837" t="str">
        <f>INDEX('Pipe Table'!$E$2:$E$10,MATCH(INDEX('TE_OA_20200805_INTRDY_2020-08-0'!$T$2:$T$870,MATCH(Filter!B837,'TE_OA_20200805_INTRDY_2020-08-0'!$G$2:$G$870,0)),'Pipe Table'!$D$2:$D$10,0))</f>
        <v>TETCO</v>
      </c>
      <c r="B837">
        <v>79037</v>
      </c>
      <c r="C837" t="str">
        <f>INDEX('TE_OA_20200805_INTRDY_2020-08-0'!$J$2:$J$870,MATCH(Filter!B837,'TE_OA_20200805_INTRDY_2020-08-0'!$G$2:$G$870))</f>
        <v>Receipt</v>
      </c>
      <c r="D837" t="str">
        <f>INDEX('Pipe Table'!$B$2:$B$14,MATCH(INDEX(TeAllPoints!$I$2:$I$957,MATCH(Filter!B837,TeAllPoints!$B$2:$B$957,0)),'Pipe Table'!$A$2:$A$14,0))</f>
        <v>Station</v>
      </c>
      <c r="E837" t="str">
        <f>INDEX('TE_OA_20200805_INTRDY_2020-08-0'!$H$2:$H$870,MATCH(Filter!B837,'TE_OA_20200805_INTRDY_2020-08-0'!$G$2:$G$870))</f>
        <v>HEAD OF FREEHOLD LATERAL - MAINLINE</v>
      </c>
      <c r="F837" t="str">
        <f>INDEX('Pipe Table'!$H$2:$H$8,MATCH('TE_OA_20200805_INTRDY_2020-08-0'!I818,'Pipe Table'!$G$2:$G$8,0))</f>
        <v>TETCO-M3</v>
      </c>
      <c r="G837" t="str">
        <f>INDEX(TeAllPoints!$D$2:$D$957,MATCH(Filter!B837,TeAllPoints!$B$2:$B$957,0))</f>
        <v>NJ</v>
      </c>
      <c r="H837" t="str">
        <f>INDEX(TeAllPoints!$E$2:$E$957,MATCH(Filter!B837,TeAllPoints!$B$2:$B$957,0))</f>
        <v>MIDDLESEX</v>
      </c>
      <c r="I837">
        <f>INDEX('TE_OA_20200805_INTRDY_2020-08-0'!$Q$2:$Q$870,MATCH(Filter!B837,'TE_OA_20200805_INTRDY_2020-08-0'!$G$2:$G$870))</f>
        <v>630855</v>
      </c>
      <c r="J837">
        <f>INDEX('TE_OA_20200805_INTRDY_2020-08-0'!$R$2:$R$870,MATCH(Filter!B837,'TE_OA_20200805_INTRDY_2020-08-0'!$G$2:$G$870))</f>
        <v>200842</v>
      </c>
    </row>
    <row r="838" spans="1:10" x14ac:dyDescent="0.25">
      <c r="A838" t="str">
        <f>INDEX('Pipe Table'!$E$2:$E$10,MATCH(INDEX('TE_OA_20200805_INTRDY_2020-08-0'!$T$2:$T$870,MATCH(Filter!B838,'TE_OA_20200805_INTRDY_2020-08-0'!$G$2:$G$870,0)),'Pipe Table'!$D$2:$D$10,0))</f>
        <v>TETCO</v>
      </c>
      <c r="B838">
        <v>79037</v>
      </c>
      <c r="C838" t="str">
        <f>INDEX('TE_OA_20200805_INTRDY_2020-08-0'!$J$2:$J$870,MATCH(Filter!B838,'TE_OA_20200805_INTRDY_2020-08-0'!$G$2:$G$870))</f>
        <v>Receipt</v>
      </c>
      <c r="D838" t="str">
        <f>INDEX('Pipe Table'!$B$2:$B$14,MATCH(INDEX(TeAllPoints!$I$2:$I$957,MATCH(Filter!B838,TeAllPoints!$B$2:$B$957,0)),'Pipe Table'!$A$2:$A$14,0))</f>
        <v>Station</v>
      </c>
      <c r="E838" t="str">
        <f>INDEX('TE_OA_20200805_INTRDY_2020-08-0'!$H$2:$H$870,MATCH(Filter!B838,'TE_OA_20200805_INTRDY_2020-08-0'!$G$2:$G$870))</f>
        <v>HEAD OF FREEHOLD LATERAL - MAINLINE</v>
      </c>
      <c r="F838" t="str">
        <f>INDEX('Pipe Table'!$H$2:$H$8,MATCH('TE_OA_20200805_INTRDY_2020-08-0'!I819,'Pipe Table'!$G$2:$G$8,0))</f>
        <v>TETCO-M3</v>
      </c>
      <c r="G838" t="str">
        <f>INDEX(TeAllPoints!$D$2:$D$957,MATCH(Filter!B838,TeAllPoints!$B$2:$B$957,0))</f>
        <v>NJ</v>
      </c>
      <c r="H838" t="str">
        <f>INDEX(TeAllPoints!$E$2:$E$957,MATCH(Filter!B838,TeAllPoints!$B$2:$B$957,0))</f>
        <v>MIDDLESEX</v>
      </c>
      <c r="I838">
        <f>INDEX('TE_OA_20200805_INTRDY_2020-08-0'!$Q$2:$Q$870,MATCH(Filter!B838,'TE_OA_20200805_INTRDY_2020-08-0'!$G$2:$G$870))</f>
        <v>630855</v>
      </c>
      <c r="J838">
        <f>INDEX('TE_OA_20200805_INTRDY_2020-08-0'!$R$2:$R$870,MATCH(Filter!B838,'TE_OA_20200805_INTRDY_2020-08-0'!$G$2:$G$870))</f>
        <v>200842</v>
      </c>
    </row>
    <row r="839" spans="1:10" x14ac:dyDescent="0.25">
      <c r="A839" t="str">
        <f>INDEX('Pipe Table'!$E$2:$E$10,MATCH(INDEX('TE_OA_20200805_INTRDY_2020-08-0'!$T$2:$T$870,MATCH(Filter!B839,'TE_OA_20200805_INTRDY_2020-08-0'!$G$2:$G$870,0)),'Pipe Table'!$D$2:$D$10,0))</f>
        <v>TETCO</v>
      </c>
      <c r="B839">
        <v>79039</v>
      </c>
      <c r="C839" t="str">
        <f>INDEX('TE_OA_20200805_INTRDY_2020-08-0'!$J$2:$J$870,MATCH(Filter!B839,'TE_OA_20200805_INTRDY_2020-08-0'!$G$2:$G$870))</f>
        <v>Receipt</v>
      </c>
      <c r="D839" t="str">
        <f>INDEX('Pipe Table'!$B$2:$B$14,MATCH(INDEX(TeAllPoints!$I$2:$I$957,MATCH(Filter!B839,TeAllPoints!$B$2:$B$957,0)),'Pipe Table'!$A$2:$A$14,0))</f>
        <v>Station</v>
      </c>
      <c r="E839" t="str">
        <f>INDEX('TE_OA_20200805_INTRDY_2020-08-0'!$H$2:$H$870,MATCH(Filter!B839,'TE_OA_20200805_INTRDY_2020-08-0'!$G$2:$G$870))</f>
        <v>DYNEGY FAYETTE LATERAL</v>
      </c>
      <c r="F839" t="str">
        <f>INDEX('Pipe Table'!$H$2:$H$8,MATCH('TE_OA_20200805_INTRDY_2020-08-0'!I820,'Pipe Table'!$G$2:$G$8,0))</f>
        <v>TETCO-M2</v>
      </c>
      <c r="G839" t="str">
        <f>INDEX(TeAllPoints!$D$2:$D$957,MATCH(Filter!B839,TeAllPoints!$B$2:$B$957,0))</f>
        <v>PA</v>
      </c>
      <c r="H839" t="str">
        <f>INDEX(TeAllPoints!$E$2:$E$957,MATCH(Filter!B839,TeAllPoints!$B$2:$B$957,0))</f>
        <v>FAYETTE</v>
      </c>
      <c r="I839">
        <f>INDEX('TE_OA_20200805_INTRDY_2020-08-0'!$Q$2:$Q$870,MATCH(Filter!B839,'TE_OA_20200805_INTRDY_2020-08-0'!$G$2:$G$870))</f>
        <v>267304</v>
      </c>
      <c r="J839">
        <f>INDEX('TE_OA_20200805_INTRDY_2020-08-0'!$R$2:$R$870,MATCH(Filter!B839,'TE_OA_20200805_INTRDY_2020-08-0'!$G$2:$G$870))</f>
        <v>113264</v>
      </c>
    </row>
    <row r="840" spans="1:10" x14ac:dyDescent="0.25">
      <c r="A840" t="str">
        <f>INDEX('Pipe Table'!$E$2:$E$10,MATCH(INDEX('TE_OA_20200805_INTRDY_2020-08-0'!$T$2:$T$870,MATCH(Filter!B840,'TE_OA_20200805_INTRDY_2020-08-0'!$G$2:$G$870,0)),'Pipe Table'!$D$2:$D$10,0))</f>
        <v>TETCO</v>
      </c>
      <c r="B840">
        <v>79040</v>
      </c>
      <c r="C840" t="str">
        <f>INDEX('TE_OA_20200805_INTRDY_2020-08-0'!$J$2:$J$870,MATCH(Filter!B840,'TE_OA_20200805_INTRDY_2020-08-0'!$G$2:$G$870))</f>
        <v>Receipt</v>
      </c>
      <c r="D840" t="str">
        <f>INDEX('Pipe Table'!$B$2:$B$14,MATCH(INDEX(TeAllPoints!$I$2:$I$957,MATCH(Filter!B840,TeAllPoints!$B$2:$B$957,0)),'Pipe Table'!$A$2:$A$14,0))</f>
        <v>Station</v>
      </c>
      <c r="E840" t="str">
        <f>INDEX('TE_OA_20200805_INTRDY_2020-08-0'!$H$2:$H$870,MATCH(Filter!B840,'TE_OA_20200805_INTRDY_2020-08-0'!$G$2:$G$870))</f>
        <v>DYNEGY HANGING ROCK LATERAL</v>
      </c>
      <c r="F840" t="str">
        <f>INDEX('Pipe Table'!$H$2:$H$8,MATCH('TE_OA_20200805_INTRDY_2020-08-0'!I821,'Pipe Table'!$G$2:$G$8,0))</f>
        <v>TETCO-M2</v>
      </c>
      <c r="G840" t="str">
        <f>INDEX(TeAllPoints!$D$2:$D$957,MATCH(Filter!B840,TeAllPoints!$B$2:$B$957,0))</f>
        <v>OH</v>
      </c>
      <c r="H840" t="str">
        <f>INDEX(TeAllPoints!$E$2:$E$957,MATCH(Filter!B840,TeAllPoints!$B$2:$B$957,0))</f>
        <v>SCIOTO</v>
      </c>
      <c r="I840">
        <f>INDEX('TE_OA_20200805_INTRDY_2020-08-0'!$Q$2:$Q$870,MATCH(Filter!B840,'TE_OA_20200805_INTRDY_2020-08-0'!$G$2:$G$870))</f>
        <v>288920</v>
      </c>
      <c r="J840">
        <f>INDEX('TE_OA_20200805_INTRDY_2020-08-0'!$R$2:$R$870,MATCH(Filter!B840,'TE_OA_20200805_INTRDY_2020-08-0'!$G$2:$G$870))</f>
        <v>59999</v>
      </c>
    </row>
    <row r="841" spans="1:10" x14ac:dyDescent="0.25">
      <c r="A841" t="str">
        <f>INDEX('Pipe Table'!$E$2:$E$10,MATCH(INDEX('TE_OA_20200805_INTRDY_2020-08-0'!$T$2:$T$870,MATCH(Filter!B841,'TE_OA_20200805_INTRDY_2020-08-0'!$G$2:$G$870,0)),'Pipe Table'!$D$2:$D$10,0))</f>
        <v>TETCO</v>
      </c>
      <c r="B841">
        <v>79050</v>
      </c>
      <c r="C841" t="str">
        <f>INDEX('TE_OA_20200805_INTRDY_2020-08-0'!$J$2:$J$870,MATCH(Filter!B841,'TE_OA_20200805_INTRDY_2020-08-0'!$G$2:$G$870))</f>
        <v>Receipt</v>
      </c>
      <c r="D841" t="str">
        <f>INDEX('Pipe Table'!$B$2:$B$14,MATCH(INDEX(TeAllPoints!$I$2:$I$957,MATCH(Filter!B841,TeAllPoints!$B$2:$B$957,0)),'Pipe Table'!$A$2:$A$14,0))</f>
        <v>Station</v>
      </c>
      <c r="E841" t="str">
        <f>INDEX('TE_OA_20200805_INTRDY_2020-08-0'!$H$2:$H$870,MATCH(Filter!B841,'TE_OA_20200805_INTRDY_2020-08-0'!$G$2:$G$870))</f>
        <v>OHIO PIPELINE ENERGY NETWORK (MAINLINE)</v>
      </c>
      <c r="F841" t="str">
        <f>INDEX('Pipe Table'!$H$2:$H$8,MATCH('TE_OA_20200805_INTRDY_2020-08-0'!I822,'Pipe Table'!$G$2:$G$8,0))</f>
        <v>TETCO-M2</v>
      </c>
      <c r="G841" t="str">
        <f>INDEX(TeAllPoints!$D$2:$D$957,MATCH(Filter!B841,TeAllPoints!$B$2:$B$957,0))</f>
        <v>OH</v>
      </c>
      <c r="H841" t="str">
        <f>INDEX(TeAllPoints!$E$2:$E$957,MATCH(Filter!B841,TeAllPoints!$B$2:$B$957,0))</f>
        <v>JEFFERSON</v>
      </c>
      <c r="I841">
        <f>INDEX('TE_OA_20200805_INTRDY_2020-08-0'!$Q$2:$Q$870,MATCH(Filter!B841,'TE_OA_20200805_INTRDY_2020-08-0'!$G$2:$G$870))</f>
        <v>6335806</v>
      </c>
      <c r="J841">
        <f>INDEX('TE_OA_20200805_INTRDY_2020-08-0'!$R$2:$R$870,MATCH(Filter!B841,'TE_OA_20200805_INTRDY_2020-08-0'!$G$2:$G$870))</f>
        <v>183369</v>
      </c>
    </row>
    <row r="842" spans="1:10" x14ac:dyDescent="0.25">
      <c r="A842" t="str">
        <f>INDEX('Pipe Table'!$E$2:$E$10,MATCH(INDEX('TE_OA_20200805_INTRDY_2020-08-0'!$T$2:$T$870,MATCH(Filter!B842,'TE_OA_20200805_INTRDY_2020-08-0'!$G$2:$G$870,0)),'Pipe Table'!$D$2:$D$10,0))</f>
        <v>TETCO</v>
      </c>
      <c r="B842">
        <v>79051</v>
      </c>
      <c r="C842" t="str">
        <f>INDEX('TE_OA_20200805_INTRDY_2020-08-0'!$J$2:$J$870,MATCH(Filter!B842,'TE_OA_20200805_INTRDY_2020-08-0'!$G$2:$G$870))</f>
        <v>Delivery</v>
      </c>
      <c r="D842" t="str">
        <f>INDEX('Pipe Table'!$B$2:$B$14,MATCH(INDEX(TeAllPoints!$I$2:$I$957,MATCH(Filter!B842,TeAllPoints!$B$2:$B$957,0)),'Pipe Table'!$A$2:$A$14,0))</f>
        <v>Station</v>
      </c>
      <c r="E842" t="str">
        <f>INDEX('TE_OA_20200805_INTRDY_2020-08-0'!$H$2:$H$870,MATCH(Filter!B842,'TE_OA_20200805_INTRDY_2020-08-0'!$G$2:$G$870))</f>
        <v>OHIO PIPELINE ENERGY NETWORK (LATERAL)</v>
      </c>
      <c r="F842" t="str">
        <f>INDEX('Pipe Table'!$H$2:$H$8,MATCH('TE_OA_20200805_INTRDY_2020-08-0'!I823,'Pipe Table'!$G$2:$G$8,0))</f>
        <v>TETCO-M2</v>
      </c>
      <c r="G842" t="str">
        <f>INDEX(TeAllPoints!$D$2:$D$957,MATCH(Filter!B842,TeAllPoints!$B$2:$B$957,0))</f>
        <v>OH</v>
      </c>
      <c r="H842" t="str">
        <f>INDEX(TeAllPoints!$E$2:$E$957,MATCH(Filter!B842,TeAllPoints!$B$2:$B$957,0))</f>
        <v>JEFFERSON</v>
      </c>
      <c r="I842">
        <f>INDEX('TE_OA_20200805_INTRDY_2020-08-0'!$Q$2:$Q$870,MATCH(Filter!B842,'TE_OA_20200805_INTRDY_2020-08-0'!$G$2:$G$870))</f>
        <v>550000</v>
      </c>
      <c r="J842">
        <f>INDEX('TE_OA_20200805_INTRDY_2020-08-0'!$R$2:$R$870,MATCH(Filter!B842,'TE_OA_20200805_INTRDY_2020-08-0'!$G$2:$G$870))</f>
        <v>181200</v>
      </c>
    </row>
    <row r="843" spans="1:10" x14ac:dyDescent="0.25">
      <c r="A843" t="str">
        <f>INDEX('Pipe Table'!$E$2:$E$10,MATCH(INDEX('TE_OA_20200805_INTRDY_2020-08-0'!$T$2:$T$870,MATCH(Filter!B843,'TE_OA_20200805_INTRDY_2020-08-0'!$G$2:$G$870,0)),'Pipe Table'!$D$2:$D$10,0))</f>
        <v>TETCO</v>
      </c>
      <c r="B843">
        <v>79108</v>
      </c>
      <c r="C843" t="str">
        <f>INDEX('TE_OA_20200805_INTRDY_2020-08-0'!$J$2:$J$870,MATCH(Filter!B843,'TE_OA_20200805_INTRDY_2020-08-0'!$G$2:$G$870))</f>
        <v>Receipt</v>
      </c>
      <c r="D843" t="str">
        <f>INDEX('Pipe Table'!$B$2:$B$14,MATCH(INDEX(TeAllPoints!$I$2:$I$957,MATCH(Filter!B843,TeAllPoints!$B$2:$B$957,0)),'Pipe Table'!$A$2:$A$14,0))</f>
        <v>Other</v>
      </c>
      <c r="E843" t="str">
        <f>INDEX('TE_OA_20200805_INTRDY_2020-08-0'!$H$2:$H$870,MATCH(Filter!B843,'TE_OA_20200805_INTRDY_2020-08-0'!$G$2:$G$870))</f>
        <v>LATERAL 10-S - RELIANT ENERGY - CHOCTAW CO., MS</v>
      </c>
      <c r="F843" t="str">
        <f>INDEX('Pipe Table'!$H$2:$H$8,MATCH('TE_OA_20200805_INTRDY_2020-08-0'!I824,'Pipe Table'!$G$2:$G$8,0))</f>
        <v>TETCO-M1</v>
      </c>
      <c r="G843" t="str">
        <f>INDEX(TeAllPoints!$D$2:$D$957,MATCH(Filter!B843,TeAllPoints!$B$2:$B$957,0))</f>
        <v>MS</v>
      </c>
      <c r="H843" t="str">
        <f>INDEX(TeAllPoints!$E$2:$E$957,MATCH(Filter!B843,TeAllPoints!$B$2:$B$957,0))</f>
        <v>CHOCTAW</v>
      </c>
      <c r="I843">
        <f>INDEX('TE_OA_20200805_INTRDY_2020-08-0'!$Q$2:$Q$870,MATCH(Filter!B843,'TE_OA_20200805_INTRDY_2020-08-0'!$G$2:$G$870))</f>
        <v>228079</v>
      </c>
      <c r="J843">
        <f>INDEX('TE_OA_20200805_INTRDY_2020-08-0'!$R$2:$R$870,MATCH(Filter!B843,'TE_OA_20200805_INTRDY_2020-08-0'!$G$2:$G$870))</f>
        <v>0</v>
      </c>
    </row>
    <row r="844" spans="1:10" x14ac:dyDescent="0.25">
      <c r="A844" t="str">
        <f>INDEX('Pipe Table'!$E$2:$E$10,MATCH(INDEX('TE_OA_20200805_INTRDY_2020-08-0'!$T$2:$T$870,MATCH(Filter!B844,'TE_OA_20200805_INTRDY_2020-08-0'!$G$2:$G$870,0)),'Pipe Table'!$D$2:$D$10,0))</f>
        <v>TETCO</v>
      </c>
      <c r="B844">
        <v>79109</v>
      </c>
      <c r="C844" t="str">
        <f>INDEX('TE_OA_20200805_INTRDY_2020-08-0'!$J$2:$J$870,MATCH(Filter!B844,'TE_OA_20200805_INTRDY_2020-08-0'!$G$2:$G$870))</f>
        <v>Delivery</v>
      </c>
      <c r="D844" t="str">
        <f>INDEX('Pipe Table'!$B$2:$B$14,MATCH(INDEX(TeAllPoints!$I$2:$I$957,MATCH(Filter!B844,TeAllPoints!$B$2:$B$957,0)),'Pipe Table'!$A$2:$A$14,0))</f>
        <v>Station</v>
      </c>
      <c r="E844" t="str">
        <f>INDEX('TE_OA_20200805_INTRDY_2020-08-0'!$H$2:$H$870,MATCH(Filter!B844,'TE_OA_20200805_INTRDY_2020-08-0'!$G$2:$G$870))</f>
        <v>LATERAL 10-S - RELIANT ENERGY - CHOCTAW CO., MS - MAINLINE</v>
      </c>
      <c r="F844" t="str">
        <f>INDEX('Pipe Table'!$H$2:$H$8,MATCH('TE_OA_20200805_INTRDY_2020-08-0'!I825,'Pipe Table'!$G$2:$G$8,0))</f>
        <v>TETCO-M1</v>
      </c>
      <c r="G844" t="str">
        <f>INDEX(TeAllPoints!$D$2:$D$957,MATCH(Filter!B844,TeAllPoints!$B$2:$B$957,0))</f>
        <v>MS</v>
      </c>
      <c r="H844" t="str">
        <f>INDEX(TeAllPoints!$E$2:$E$957,MATCH(Filter!B844,TeAllPoints!$B$2:$B$957,0))</f>
        <v>CHOCTAW</v>
      </c>
      <c r="I844">
        <f>INDEX('TE_OA_20200805_INTRDY_2020-08-0'!$Q$2:$Q$870,MATCH(Filter!B844,'TE_OA_20200805_INTRDY_2020-08-0'!$G$2:$G$870))</f>
        <v>2167399</v>
      </c>
      <c r="J844">
        <f>INDEX('TE_OA_20200805_INTRDY_2020-08-0'!$R$2:$R$870,MATCH(Filter!B844,'TE_OA_20200805_INTRDY_2020-08-0'!$G$2:$G$870))</f>
        <v>0</v>
      </c>
    </row>
    <row r="845" spans="1:10" x14ac:dyDescent="0.25">
      <c r="A845" t="str">
        <f>INDEX('Pipe Table'!$E$2:$E$10,MATCH(INDEX('TE_OA_20200805_INTRDY_2020-08-0'!$T$2:$T$870,MATCH(Filter!B845,'TE_OA_20200805_INTRDY_2020-08-0'!$G$2:$G$870,0)),'Pipe Table'!$D$2:$D$10,0))</f>
        <v>TETCO</v>
      </c>
      <c r="B845">
        <v>79113</v>
      </c>
      <c r="C845" t="str">
        <f>INDEX('TE_OA_20200805_INTRDY_2020-08-0'!$J$2:$J$870,MATCH(Filter!B845,'TE_OA_20200805_INTRDY_2020-08-0'!$G$2:$G$870))</f>
        <v>Receipt</v>
      </c>
      <c r="D845" t="str">
        <f>INDEX('Pipe Table'!$B$2:$B$14,MATCH(INDEX(TeAllPoints!$I$2:$I$957,MATCH(Filter!B845,TeAllPoints!$B$2:$B$957,0)),'Pipe Table'!$A$2:$A$14,0))</f>
        <v>Other</v>
      </c>
      <c r="E845" t="str">
        <f>INDEX('TE_OA_20200805_INTRDY_2020-08-0'!$H$2:$H$870,MATCH(Filter!B845,'TE_OA_20200805_INTRDY_2020-08-0'!$G$2:$G$870))</f>
        <v>LATERAL 10-R - DENA WASHINGTON CO. POWER PLANT</v>
      </c>
      <c r="F845" t="str">
        <f>INDEX('Pipe Table'!$H$2:$H$8,MATCH('TE_OA_20200805_INTRDY_2020-08-0'!I826,'Pipe Table'!$G$2:$G$8,0))</f>
        <v>TETCO-M2</v>
      </c>
      <c r="G845" t="str">
        <f>INDEX(TeAllPoints!$D$2:$D$957,MATCH(Filter!B845,TeAllPoints!$B$2:$B$957,0))</f>
        <v>OH</v>
      </c>
      <c r="H845" t="str">
        <f>INDEX(TeAllPoints!$E$2:$E$957,MATCH(Filter!B845,TeAllPoints!$B$2:$B$957,0))</f>
        <v>WASHINGTON</v>
      </c>
      <c r="I845">
        <f>INDEX('TE_OA_20200805_INTRDY_2020-08-0'!$Q$2:$Q$870,MATCH(Filter!B845,'TE_OA_20200805_INTRDY_2020-08-0'!$G$2:$G$870))</f>
        <v>125000</v>
      </c>
      <c r="J845">
        <f>INDEX('TE_OA_20200805_INTRDY_2020-08-0'!$R$2:$R$870,MATCH(Filter!B845,'TE_OA_20200805_INTRDY_2020-08-0'!$G$2:$G$870))</f>
        <v>0</v>
      </c>
    </row>
    <row r="846" spans="1:10" x14ac:dyDescent="0.25">
      <c r="A846" t="str">
        <f>INDEX('Pipe Table'!$E$2:$E$10,MATCH(INDEX('TE_OA_20200805_INTRDY_2020-08-0'!$T$2:$T$870,MATCH(Filter!B846,'TE_OA_20200805_INTRDY_2020-08-0'!$G$2:$G$870,0)),'Pipe Table'!$D$2:$D$10,0))</f>
        <v>TETCO</v>
      </c>
      <c r="B846">
        <v>79114</v>
      </c>
      <c r="C846" t="str">
        <f>INDEX('TE_OA_20200805_INTRDY_2020-08-0'!$J$2:$J$870,MATCH(Filter!B846,'TE_OA_20200805_INTRDY_2020-08-0'!$G$2:$G$870))</f>
        <v>Delivery</v>
      </c>
      <c r="D846" t="str">
        <f>INDEX('Pipe Table'!$B$2:$B$14,MATCH(INDEX(TeAllPoints!$I$2:$I$957,MATCH(Filter!B846,TeAllPoints!$B$2:$B$957,0)),'Pipe Table'!$A$2:$A$14,0))</f>
        <v>Other</v>
      </c>
      <c r="E846" t="str">
        <f>INDEX('TE_OA_20200805_INTRDY_2020-08-0'!$H$2:$H$870,MATCH(Filter!B846,'TE_OA_20200805_INTRDY_2020-08-0'!$G$2:$G$870))</f>
        <v>LATERAL 10-R - DENA WASHINGTON CO. POWER PLANT - MAINLINE</v>
      </c>
      <c r="F846" t="str">
        <f>INDEX('Pipe Table'!$H$2:$H$8,MATCH('TE_OA_20200805_INTRDY_2020-08-0'!I827,'Pipe Table'!$G$2:$G$8,0))</f>
        <v>TETCO-M2</v>
      </c>
      <c r="G846" t="str">
        <f>INDEX(TeAllPoints!$D$2:$D$957,MATCH(Filter!B846,TeAllPoints!$B$2:$B$957,0))</f>
        <v>OH</v>
      </c>
      <c r="H846" t="str">
        <f>INDEX(TeAllPoints!$E$2:$E$957,MATCH(Filter!B846,TeAllPoints!$B$2:$B$957,0))</f>
        <v>WASHINGTON</v>
      </c>
      <c r="I846">
        <f>INDEX('TE_OA_20200805_INTRDY_2020-08-0'!$Q$2:$Q$870,MATCH(Filter!B846,'TE_OA_20200805_INTRDY_2020-08-0'!$G$2:$G$870))</f>
        <v>2309088</v>
      </c>
      <c r="J846">
        <f>INDEX('TE_OA_20200805_INTRDY_2020-08-0'!$R$2:$R$870,MATCH(Filter!B846,'TE_OA_20200805_INTRDY_2020-08-0'!$G$2:$G$870))</f>
        <v>45519</v>
      </c>
    </row>
    <row r="847" spans="1:10" x14ac:dyDescent="0.25">
      <c r="A847" t="str">
        <f>INDEX('Pipe Table'!$E$2:$E$10,MATCH(INDEX('TE_OA_20200805_INTRDY_2020-08-0'!$T$2:$T$870,MATCH(Filter!B847,'TE_OA_20200805_INTRDY_2020-08-0'!$G$2:$G$870,0)),'Pipe Table'!$D$2:$D$10,0))</f>
        <v>TETCO</v>
      </c>
      <c r="B847">
        <v>79122</v>
      </c>
      <c r="C847" t="str">
        <f>INDEX('TE_OA_20200805_INTRDY_2020-08-0'!$J$2:$J$870,MATCH(Filter!B847,'TE_OA_20200805_INTRDY_2020-08-0'!$G$2:$G$870))</f>
        <v>Receipt</v>
      </c>
      <c r="D847" t="str">
        <f>INDEX('Pipe Table'!$B$2:$B$14,MATCH(INDEX(TeAllPoints!$I$2:$I$957,MATCH(Filter!B847,TeAllPoints!$B$2:$B$957,0)),'Pipe Table'!$A$2:$A$14,0))</f>
        <v>Station</v>
      </c>
      <c r="E847" t="str">
        <f>INDEX('TE_OA_20200805_INTRDY_2020-08-0'!$H$2:$H$870,MATCH(Filter!B847,'TE_OA_20200805_INTRDY_2020-08-0'!$G$2:$G$870))</f>
        <v>LATERAL 2-V - RELIANT ENERGY HUNTERSTOWN</v>
      </c>
      <c r="F847" t="str">
        <f>INDEX('Pipe Table'!$H$2:$H$8,MATCH('TE_OA_20200805_INTRDY_2020-08-0'!I828,'Pipe Table'!$G$2:$G$8,0))</f>
        <v>TETCO-M3</v>
      </c>
      <c r="G847" t="str">
        <f>INDEX(TeAllPoints!$D$2:$D$957,MATCH(Filter!B847,TeAllPoints!$B$2:$B$957,0))</f>
        <v>PA</v>
      </c>
      <c r="H847" t="str">
        <f>INDEX(TeAllPoints!$E$2:$E$957,MATCH(Filter!B847,TeAllPoints!$B$2:$B$957,0))</f>
        <v>ADAMS</v>
      </c>
      <c r="I847">
        <f>INDEX('TE_OA_20200805_INTRDY_2020-08-0'!$Q$2:$Q$870,MATCH(Filter!B847,'TE_OA_20200805_INTRDY_2020-08-0'!$G$2:$G$870))</f>
        <v>154000</v>
      </c>
      <c r="J847">
        <f>INDEX('TE_OA_20200805_INTRDY_2020-08-0'!$R$2:$R$870,MATCH(Filter!B847,'TE_OA_20200805_INTRDY_2020-08-0'!$G$2:$G$870))</f>
        <v>0</v>
      </c>
    </row>
    <row r="848" spans="1:10" x14ac:dyDescent="0.25">
      <c r="A848" t="str">
        <f>INDEX('Pipe Table'!$E$2:$E$10,MATCH(INDEX('TE_OA_20200805_INTRDY_2020-08-0'!$T$2:$T$870,MATCH(Filter!B848,'TE_OA_20200805_INTRDY_2020-08-0'!$G$2:$G$870,0)),'Pipe Table'!$D$2:$D$10,0))</f>
        <v>TETCO</v>
      </c>
      <c r="B848">
        <v>79123</v>
      </c>
      <c r="C848" t="str">
        <f>INDEX('TE_OA_20200805_INTRDY_2020-08-0'!$J$2:$J$870,MATCH(Filter!B848,'TE_OA_20200805_INTRDY_2020-08-0'!$G$2:$G$870))</f>
        <v>Delivery</v>
      </c>
      <c r="D848" t="str">
        <f>INDEX('Pipe Table'!$B$2:$B$14,MATCH(INDEX(TeAllPoints!$I$2:$I$957,MATCH(Filter!B848,TeAllPoints!$B$2:$B$957,0)),'Pipe Table'!$A$2:$A$14,0))</f>
        <v>Other</v>
      </c>
      <c r="E848" t="str">
        <f>INDEX('TE_OA_20200805_INTRDY_2020-08-0'!$H$2:$H$870,MATCH(Filter!B848,'TE_OA_20200805_INTRDY_2020-08-0'!$G$2:$G$870))</f>
        <v>LATERAL 2-V - RELIANT ENERGY HUNTERSTOWN - MAINLINE</v>
      </c>
      <c r="F848" t="str">
        <f>INDEX('Pipe Table'!$H$2:$H$8,MATCH('TE_OA_20200805_INTRDY_2020-08-0'!I829,'Pipe Table'!$G$2:$G$8,0))</f>
        <v>TETCO-M3</v>
      </c>
      <c r="G848" t="str">
        <f>INDEX(TeAllPoints!$D$2:$D$957,MATCH(Filter!B848,TeAllPoints!$B$2:$B$957,0))</f>
        <v>PA</v>
      </c>
      <c r="H848" t="str">
        <f>INDEX(TeAllPoints!$E$2:$E$957,MATCH(Filter!B848,TeAllPoints!$B$2:$B$957,0))</f>
        <v>ADAMS</v>
      </c>
      <c r="I848">
        <f>INDEX('TE_OA_20200805_INTRDY_2020-08-0'!$Q$2:$Q$870,MATCH(Filter!B848,'TE_OA_20200805_INTRDY_2020-08-0'!$G$2:$G$870))</f>
        <v>2148747</v>
      </c>
      <c r="J848">
        <f>INDEX('TE_OA_20200805_INTRDY_2020-08-0'!$R$2:$R$870,MATCH(Filter!B848,'TE_OA_20200805_INTRDY_2020-08-0'!$G$2:$G$870))</f>
        <v>36390</v>
      </c>
    </row>
    <row r="849" spans="1:10" x14ac:dyDescent="0.25">
      <c r="A849" t="str">
        <f>INDEX('Pipe Table'!$E$2:$E$10,MATCH(INDEX('TE_OA_20200805_INTRDY_2020-08-0'!$T$2:$T$870,MATCH(Filter!B849,'TE_OA_20200805_INTRDY_2020-08-0'!$G$2:$G$870,0)),'Pipe Table'!$D$2:$D$10,0))</f>
        <v>TETCO</v>
      </c>
      <c r="B849">
        <v>79140</v>
      </c>
      <c r="C849" t="str">
        <f>INDEX('TE_OA_20200805_INTRDY_2020-08-0'!$J$2:$J$870,MATCH(Filter!B849,'TE_OA_20200805_INTRDY_2020-08-0'!$G$2:$G$870))</f>
        <v>Delivery</v>
      </c>
      <c r="D849" t="str">
        <f>INDEX('Pipe Table'!$B$2:$B$14,MATCH(INDEX(TeAllPoints!$I$2:$I$957,MATCH(Filter!B849,TeAllPoints!$B$2:$B$957,0)),'Pipe Table'!$A$2:$A$14,0))</f>
        <v>Station</v>
      </c>
      <c r="E849" t="str">
        <f>INDEX('TE_OA_20200805_INTRDY_2020-08-0'!$H$2:$H$870,MATCH(Filter!B849,'TE_OA_20200805_INTRDY_2020-08-0'!$G$2:$G$870))</f>
        <v>LATERAL 10-T - DYNEGY FAYETTE - MAINLINE</v>
      </c>
      <c r="F849" t="str">
        <f>INDEX('Pipe Table'!$H$2:$H$8,MATCH('TE_OA_20200805_INTRDY_2020-08-0'!I830,'Pipe Table'!$G$2:$G$8,0))</f>
        <v>TETCO-M2</v>
      </c>
      <c r="G849" t="str">
        <f>INDEX(TeAllPoints!$D$2:$D$957,MATCH(Filter!B849,TeAllPoints!$B$2:$B$957,0))</f>
        <v>PA</v>
      </c>
      <c r="H849" t="str">
        <f>INDEX(TeAllPoints!$E$2:$E$957,MATCH(Filter!B849,TeAllPoints!$B$2:$B$957,0))</f>
        <v>FAYETTE</v>
      </c>
      <c r="I849">
        <f>INDEX('TE_OA_20200805_INTRDY_2020-08-0'!$Q$2:$Q$870,MATCH(Filter!B849,'TE_OA_20200805_INTRDY_2020-08-0'!$G$2:$G$870))</f>
        <v>3822227</v>
      </c>
      <c r="J849">
        <f>INDEX('TE_OA_20200805_INTRDY_2020-08-0'!$R$2:$R$870,MATCH(Filter!B849,'TE_OA_20200805_INTRDY_2020-08-0'!$G$2:$G$870))</f>
        <v>113264</v>
      </c>
    </row>
    <row r="850" spans="1:10" x14ac:dyDescent="0.25">
      <c r="A850" t="str">
        <f>INDEX('Pipe Table'!$E$2:$E$10,MATCH(INDEX('TE_OA_20200805_INTRDY_2020-08-0'!$T$2:$T$870,MATCH(Filter!B850,'TE_OA_20200805_INTRDY_2020-08-0'!$G$2:$G$870,0)),'Pipe Table'!$D$2:$D$10,0))</f>
        <v>TETCO</v>
      </c>
      <c r="B850">
        <v>79141</v>
      </c>
      <c r="C850" t="str">
        <f>INDEX('TE_OA_20200805_INTRDY_2020-08-0'!$J$2:$J$870,MATCH(Filter!B850,'TE_OA_20200805_INTRDY_2020-08-0'!$G$2:$G$870))</f>
        <v>Delivery</v>
      </c>
      <c r="D850" t="str">
        <f>INDEX('Pipe Table'!$B$2:$B$14,MATCH(INDEX(TeAllPoints!$I$2:$I$957,MATCH(Filter!B850,TeAllPoints!$B$2:$B$957,0)),'Pipe Table'!$A$2:$A$14,0))</f>
        <v>Station</v>
      </c>
      <c r="E850" t="str">
        <f>INDEX('TE_OA_20200805_INTRDY_2020-08-0'!$H$2:$H$870,MATCH(Filter!B850,'TE_OA_20200805_INTRDY_2020-08-0'!$G$2:$G$870))</f>
        <v>LATERAL 10-U - DYNEGY HANGING ROCK - MAINLINE</v>
      </c>
      <c r="F850" t="str">
        <f>INDEX('Pipe Table'!$H$2:$H$8,MATCH('TE_OA_20200805_INTRDY_2020-08-0'!I831,'Pipe Table'!$G$2:$G$8,0))</f>
        <v>TETCO-M2</v>
      </c>
      <c r="G850" t="str">
        <f>INDEX(TeAllPoints!$D$2:$D$957,MATCH(Filter!B850,TeAllPoints!$B$2:$B$957,0))</f>
        <v>OH</v>
      </c>
      <c r="H850" t="str">
        <f>INDEX(TeAllPoints!$E$2:$E$957,MATCH(Filter!B850,TeAllPoints!$B$2:$B$957,0))</f>
        <v>SCIOTO</v>
      </c>
      <c r="I850">
        <f>INDEX('TE_OA_20200805_INTRDY_2020-08-0'!$Q$2:$Q$870,MATCH(Filter!B850,'TE_OA_20200805_INTRDY_2020-08-0'!$G$2:$G$870))</f>
        <v>2196333</v>
      </c>
      <c r="J850">
        <f>INDEX('TE_OA_20200805_INTRDY_2020-08-0'!$R$2:$R$870,MATCH(Filter!B850,'TE_OA_20200805_INTRDY_2020-08-0'!$G$2:$G$870))</f>
        <v>59999</v>
      </c>
    </row>
    <row r="851" spans="1:10" x14ac:dyDescent="0.25">
      <c r="A851" t="str">
        <f>INDEX('Pipe Table'!$E$2:$E$10,MATCH(INDEX('TE_OA_20200805_INTRDY_2020-08-0'!$T$2:$T$870,MATCH(Filter!B851,'TE_OA_20200805_INTRDY_2020-08-0'!$G$2:$G$870,0)),'Pipe Table'!$D$2:$D$10,0))</f>
        <v>TETCO</v>
      </c>
      <c r="B851">
        <v>79144</v>
      </c>
      <c r="C851" t="str">
        <f>INDEX('TE_OA_20200805_INTRDY_2020-08-0'!$J$2:$J$870,MATCH(Filter!B851,'TE_OA_20200805_INTRDY_2020-08-0'!$G$2:$G$870))</f>
        <v>Receipt</v>
      </c>
      <c r="D851" t="str">
        <f>INDEX('Pipe Table'!$B$2:$B$14,MATCH(INDEX(TeAllPoints!$I$2:$I$957,MATCH(Filter!B851,TeAllPoints!$B$2:$B$957,0)),'Pipe Table'!$A$2:$A$14,0))</f>
        <v>Station</v>
      </c>
      <c r="E851" t="str">
        <f>INDEX('TE_OA_20200805_INTRDY_2020-08-0'!$H$2:$H$870,MATCH(Filter!B851,'TE_OA_20200805_INTRDY_2020-08-0'!$G$2:$G$870))</f>
        <v>PHILADELPHIA LATERAL</v>
      </c>
      <c r="F851" t="str">
        <f>INDEX('Pipe Table'!$H$2:$H$8,MATCH('TE_OA_20200805_INTRDY_2020-08-0'!I832,'Pipe Table'!$G$2:$G$8,0))</f>
        <v>TETCO-M3</v>
      </c>
      <c r="G851" t="str">
        <f>INDEX(TeAllPoints!$D$2:$D$957,MATCH(Filter!B851,TeAllPoints!$B$2:$B$957,0))</f>
        <v>PA</v>
      </c>
      <c r="H851" t="str">
        <f>INDEX(TeAllPoints!$E$2:$E$957,MATCH(Filter!B851,TeAllPoints!$B$2:$B$957,0))</f>
        <v>CHESTER</v>
      </c>
      <c r="I851">
        <f>INDEX('TE_OA_20200805_INTRDY_2020-08-0'!$Q$2:$Q$870,MATCH(Filter!B851,'TE_OA_20200805_INTRDY_2020-08-0'!$G$2:$G$870))</f>
        <v>553203</v>
      </c>
      <c r="J851">
        <f>INDEX('TE_OA_20200805_INTRDY_2020-08-0'!$R$2:$R$870,MATCH(Filter!B851,'TE_OA_20200805_INTRDY_2020-08-0'!$G$2:$G$870))</f>
        <v>95002</v>
      </c>
    </row>
    <row r="852" spans="1:10" x14ac:dyDescent="0.25">
      <c r="A852" t="str">
        <f>INDEX('Pipe Table'!$E$2:$E$10,MATCH(INDEX('TE_OA_20200805_INTRDY_2020-08-0'!$T$2:$T$870,MATCH(Filter!B852,'TE_OA_20200805_INTRDY_2020-08-0'!$G$2:$G$870,0)),'Pipe Table'!$D$2:$D$10,0))</f>
        <v>TETCO</v>
      </c>
      <c r="B852">
        <v>79147</v>
      </c>
      <c r="C852" t="str">
        <f>INDEX('TE_OA_20200805_INTRDY_2020-08-0'!$J$2:$J$870,MATCH(Filter!B852,'TE_OA_20200805_INTRDY_2020-08-0'!$G$2:$G$870))</f>
        <v>Receipt</v>
      </c>
      <c r="D852" t="str">
        <f>INDEX('Pipe Table'!$B$2:$B$14,MATCH(INDEX(TeAllPoints!$I$2:$I$957,MATCH(Filter!B852,TeAllPoints!$B$2:$B$957,0)),'Pipe Table'!$A$2:$A$14,0))</f>
        <v>Station</v>
      </c>
      <c r="E852" t="str">
        <f>INDEX('TE_OA_20200805_INTRDY_2020-08-0'!$H$2:$H$870,MATCH(Filter!B852,'TE_OA_20200805_INTRDY_2020-08-0'!$G$2:$G$870))</f>
        <v>IRONWOOD LATERAL</v>
      </c>
      <c r="F852" t="str">
        <f>INDEX('Pipe Table'!$H$2:$H$8,MATCH('TE_OA_20200805_INTRDY_2020-08-0'!I833,'Pipe Table'!$G$2:$G$8,0))</f>
        <v>TETCO-M3</v>
      </c>
      <c r="G852" t="str">
        <f>INDEX(TeAllPoints!$D$2:$D$957,MATCH(Filter!B852,TeAllPoints!$B$2:$B$957,0))</f>
        <v>PA</v>
      </c>
      <c r="H852" t="str">
        <f>INDEX(TeAllPoints!$E$2:$E$957,MATCH(Filter!B852,TeAllPoints!$B$2:$B$957,0))</f>
        <v>LEBANON</v>
      </c>
      <c r="I852">
        <f>INDEX('TE_OA_20200805_INTRDY_2020-08-0'!$Q$2:$Q$870,MATCH(Filter!B852,'TE_OA_20200805_INTRDY_2020-08-0'!$G$2:$G$870))</f>
        <v>462105</v>
      </c>
      <c r="J852">
        <f>INDEX('TE_OA_20200805_INTRDY_2020-08-0'!$R$2:$R$870,MATCH(Filter!B852,'TE_OA_20200805_INTRDY_2020-08-0'!$G$2:$G$870))</f>
        <v>0</v>
      </c>
    </row>
    <row r="853" spans="1:10" x14ac:dyDescent="0.25">
      <c r="A853" t="str">
        <f>INDEX('Pipe Table'!$E$2:$E$10,MATCH(INDEX('TE_OA_20200805_INTRDY_2020-08-0'!$T$2:$T$870,MATCH(Filter!B853,'TE_OA_20200805_INTRDY_2020-08-0'!$G$2:$G$870,0)),'Pipe Table'!$D$2:$D$10,0))</f>
        <v>TETCO</v>
      </c>
      <c r="B853">
        <v>79152</v>
      </c>
      <c r="C853" t="str">
        <f>INDEX('TE_OA_20200805_INTRDY_2020-08-0'!$J$2:$J$870,MATCH(Filter!B853,'TE_OA_20200805_INTRDY_2020-08-0'!$G$2:$G$870))</f>
        <v>Delivery</v>
      </c>
      <c r="D853" t="str">
        <f>INDEX('Pipe Table'!$B$2:$B$14,MATCH(INDEX(TeAllPoints!$I$2:$I$957,MATCH(Filter!B853,TeAllPoints!$B$2:$B$957,0)),'Pipe Table'!$A$2:$A$14,0))</f>
        <v>Station</v>
      </c>
      <c r="E853" t="str">
        <f>INDEX('TE_OA_20200805_INTRDY_2020-08-0'!$H$2:$H$870,MATCH(Filter!B853,'TE_OA_20200805_INTRDY_2020-08-0'!$G$2:$G$870))</f>
        <v>HOT SPRING LATERAL (MAINLINE)</v>
      </c>
      <c r="F853" t="str">
        <f>INDEX('Pipe Table'!$H$2:$H$8,MATCH('TE_OA_20200805_INTRDY_2020-08-0'!I834,'Pipe Table'!$G$2:$G$8,0))</f>
        <v>TETCO-ETX</v>
      </c>
      <c r="G853" t="str">
        <f>INDEX(TeAllPoints!$D$2:$D$957,MATCH(Filter!B853,TeAllPoints!$B$2:$B$957,0))</f>
        <v>AR</v>
      </c>
      <c r="H853" t="str">
        <f>INDEX(TeAllPoints!$E$2:$E$957,MATCH(Filter!B853,TeAllPoints!$B$2:$B$957,0))</f>
        <v>HOT SPRING</v>
      </c>
      <c r="I853">
        <f>INDEX('TE_OA_20200805_INTRDY_2020-08-0'!$Q$2:$Q$870,MATCH(Filter!B853,'TE_OA_20200805_INTRDY_2020-08-0'!$G$2:$G$870))</f>
        <v>229000</v>
      </c>
      <c r="J853">
        <f>INDEX('TE_OA_20200805_INTRDY_2020-08-0'!$R$2:$R$870,MATCH(Filter!B853,'TE_OA_20200805_INTRDY_2020-08-0'!$G$2:$G$870))</f>
        <v>0</v>
      </c>
    </row>
    <row r="854" spans="1:10" x14ac:dyDescent="0.25">
      <c r="A854" t="str">
        <f>INDEX('Pipe Table'!$E$2:$E$10,MATCH(INDEX('TE_OA_20200805_INTRDY_2020-08-0'!$T$2:$T$870,MATCH(Filter!B854,'TE_OA_20200805_INTRDY_2020-08-0'!$G$2:$G$870,0)),'Pipe Table'!$D$2:$D$10,0))</f>
        <v>TETCO</v>
      </c>
      <c r="B854">
        <v>79153</v>
      </c>
      <c r="C854" t="str">
        <f>INDEX('TE_OA_20200805_INTRDY_2020-08-0'!$J$2:$J$870,MATCH(Filter!B854,'TE_OA_20200805_INTRDY_2020-08-0'!$G$2:$G$870))</f>
        <v>Receipt</v>
      </c>
      <c r="D854" t="str">
        <f>INDEX('Pipe Table'!$B$2:$B$14,MATCH(INDEX(TeAllPoints!$I$2:$I$957,MATCH(Filter!B854,TeAllPoints!$B$2:$B$957,0)),'Pipe Table'!$A$2:$A$14,0))</f>
        <v>Station</v>
      </c>
      <c r="E854" t="str">
        <f>INDEX('TE_OA_20200805_INTRDY_2020-08-0'!$H$2:$H$870,MATCH(Filter!B854,'TE_OA_20200805_INTRDY_2020-08-0'!$G$2:$G$870))</f>
        <v>HEAD OF HOT SPRING LATERAL</v>
      </c>
      <c r="F854" t="str">
        <f>INDEX('Pipe Table'!$H$2:$H$8,MATCH('TE_OA_20200805_INTRDY_2020-08-0'!I835,'Pipe Table'!$G$2:$G$8,0))</f>
        <v>TETCO-ETX</v>
      </c>
      <c r="G854" t="str">
        <f>INDEX(TeAllPoints!$D$2:$D$957,MATCH(Filter!B854,TeAllPoints!$B$2:$B$957,0))</f>
        <v>AR</v>
      </c>
      <c r="H854" t="str">
        <f>INDEX(TeAllPoints!$E$2:$E$957,MATCH(Filter!B854,TeAllPoints!$B$2:$B$957,0))</f>
        <v>HOT SPRING</v>
      </c>
      <c r="I854">
        <f>INDEX('TE_OA_20200805_INTRDY_2020-08-0'!$Q$2:$Q$870,MATCH(Filter!B854,'TE_OA_20200805_INTRDY_2020-08-0'!$G$2:$G$870))</f>
        <v>112000</v>
      </c>
      <c r="J854">
        <f>INDEX('TE_OA_20200805_INTRDY_2020-08-0'!$R$2:$R$870,MATCH(Filter!B854,'TE_OA_20200805_INTRDY_2020-08-0'!$G$2:$G$870))</f>
        <v>0</v>
      </c>
    </row>
    <row r="855" spans="1:10" x14ac:dyDescent="0.25">
      <c r="A855" t="str">
        <f>INDEX('Pipe Table'!$E$2:$E$10,MATCH(INDEX('TE_OA_20200805_INTRDY_2020-08-0'!$T$2:$T$870,MATCH(Filter!B855,'TE_OA_20200805_INTRDY_2020-08-0'!$G$2:$G$870,0)),'Pipe Table'!$D$2:$D$10,0))</f>
        <v>TETCO</v>
      </c>
      <c r="B855">
        <v>79660</v>
      </c>
      <c r="C855" t="str">
        <f>INDEX('TE_OA_20200805_INTRDY_2020-08-0'!$J$2:$J$870,MATCH(Filter!B855,'TE_OA_20200805_INTRDY_2020-08-0'!$G$2:$G$870))</f>
        <v>Receipt</v>
      </c>
      <c r="D855" t="str">
        <f>INDEX('Pipe Table'!$B$2:$B$14,MATCH(INDEX(TeAllPoints!$I$2:$I$957,MATCH(Filter!B855,TeAllPoints!$B$2:$B$957,0)),'Pipe Table'!$A$2:$A$14,0))</f>
        <v>Station</v>
      </c>
      <c r="E855" t="str">
        <f>INDEX('TE_OA_20200805_INTRDY_2020-08-0'!$H$2:$H$870,MATCH(Filter!B855,'TE_OA_20200805_INTRDY_2020-08-0'!$G$2:$G$870))</f>
        <v>MARIETTA CUSTODY TRANSFER POINT</v>
      </c>
      <c r="F855" t="str">
        <f>INDEX('Pipe Table'!$H$2:$H$8,MATCH('TE_OA_20200805_INTRDY_2020-08-0'!I836,'Pipe Table'!$G$2:$G$8,0))</f>
        <v>TETCO-M3</v>
      </c>
      <c r="G855" t="str">
        <f>INDEX(TeAllPoints!$D$2:$D$957,MATCH(Filter!B855,TeAllPoints!$B$2:$B$957,0))</f>
        <v>PA</v>
      </c>
      <c r="H855" t="str">
        <f>INDEX(TeAllPoints!$E$2:$E$957,MATCH(Filter!B855,TeAllPoints!$B$2:$B$957,0))</f>
        <v>LANCASTER</v>
      </c>
      <c r="I855">
        <f>INDEX('TE_OA_20200805_INTRDY_2020-08-0'!$Q$2:$Q$870,MATCH(Filter!B855,'TE_OA_20200805_INTRDY_2020-08-0'!$G$2:$G$870))</f>
        <v>1857746</v>
      </c>
      <c r="J855">
        <f>INDEX('TE_OA_20200805_INTRDY_2020-08-0'!$R$2:$R$870,MATCH(Filter!B855,'TE_OA_20200805_INTRDY_2020-08-0'!$G$2:$G$870))</f>
        <v>135867</v>
      </c>
    </row>
    <row r="856" spans="1:10" x14ac:dyDescent="0.25">
      <c r="A856" t="str">
        <f>INDEX('Pipe Table'!$E$2:$E$10,MATCH(INDEX('TE_OA_20200805_INTRDY_2020-08-0'!$T$2:$T$870,MATCH(Filter!B856,'TE_OA_20200805_INTRDY_2020-08-0'!$G$2:$G$870,0)),'Pipe Table'!$D$2:$D$10,0))</f>
        <v>TETCO</v>
      </c>
      <c r="B856">
        <v>79660</v>
      </c>
      <c r="C856" t="str">
        <f>INDEX('TE_OA_20200805_INTRDY_2020-08-0'!$J$2:$J$870,MATCH(Filter!B856,'TE_OA_20200805_INTRDY_2020-08-0'!$G$2:$G$870))</f>
        <v>Receipt</v>
      </c>
      <c r="D856" t="str">
        <f>INDEX('Pipe Table'!$B$2:$B$14,MATCH(INDEX(TeAllPoints!$I$2:$I$957,MATCH(Filter!B856,TeAllPoints!$B$2:$B$957,0)),'Pipe Table'!$A$2:$A$14,0))</f>
        <v>Station</v>
      </c>
      <c r="E856" t="str">
        <f>INDEX('TE_OA_20200805_INTRDY_2020-08-0'!$H$2:$H$870,MATCH(Filter!B856,'TE_OA_20200805_INTRDY_2020-08-0'!$G$2:$G$870))</f>
        <v>MARIETTA CUSTODY TRANSFER POINT</v>
      </c>
      <c r="F856" t="str">
        <f>INDEX('Pipe Table'!$H$2:$H$8,MATCH('TE_OA_20200805_INTRDY_2020-08-0'!I837,'Pipe Table'!$G$2:$G$8,0))</f>
        <v>TETCO-M3</v>
      </c>
      <c r="G856" t="str">
        <f>INDEX(TeAllPoints!$D$2:$D$957,MATCH(Filter!B856,TeAllPoints!$B$2:$B$957,0))</f>
        <v>PA</v>
      </c>
      <c r="H856" t="str">
        <f>INDEX(TeAllPoints!$E$2:$E$957,MATCH(Filter!B856,TeAllPoints!$B$2:$B$957,0))</f>
        <v>LANCASTER</v>
      </c>
      <c r="I856">
        <f>INDEX('TE_OA_20200805_INTRDY_2020-08-0'!$Q$2:$Q$870,MATCH(Filter!B856,'TE_OA_20200805_INTRDY_2020-08-0'!$G$2:$G$870))</f>
        <v>1857746</v>
      </c>
      <c r="J856">
        <f>INDEX('TE_OA_20200805_INTRDY_2020-08-0'!$R$2:$R$870,MATCH(Filter!B856,'TE_OA_20200805_INTRDY_2020-08-0'!$G$2:$G$870))</f>
        <v>135867</v>
      </c>
    </row>
    <row r="857" spans="1:10" x14ac:dyDescent="0.25">
      <c r="A857" t="str">
        <f>INDEX('Pipe Table'!$E$2:$E$10,MATCH(INDEX('TE_OA_20200805_INTRDY_2020-08-0'!$T$2:$T$870,MATCH(Filter!B857,'TE_OA_20200805_INTRDY_2020-08-0'!$G$2:$G$870,0)),'Pipe Table'!$D$2:$D$10,0))</f>
        <v>TETCO</v>
      </c>
      <c r="B857">
        <v>79662</v>
      </c>
      <c r="C857" t="str">
        <f>INDEX('TE_OA_20200805_INTRDY_2020-08-0'!$J$2:$J$870,MATCH(Filter!B857,'TE_OA_20200805_INTRDY_2020-08-0'!$G$2:$G$870))</f>
        <v>Delivery</v>
      </c>
      <c r="D857" t="str">
        <f>INDEX('Pipe Table'!$B$2:$B$14,MATCH(INDEX(TeAllPoints!$I$2:$I$957,MATCH(Filter!B857,TeAllPoints!$B$2:$B$957,0)),'Pipe Table'!$A$2:$A$14,0))</f>
        <v>Station</v>
      </c>
      <c r="E857" t="str">
        <f>INDEX('TE_OA_20200805_INTRDY_2020-08-0'!$H$2:$H$870,MATCH(Filter!B857,'TE_OA_20200805_INTRDY_2020-08-0'!$G$2:$G$870))</f>
        <v>DELMONT DISCHARGE CUSTODY TRANSFER POINT</v>
      </c>
      <c r="F857" t="str">
        <f>INDEX('Pipe Table'!$H$2:$H$8,MATCH('TE_OA_20200805_INTRDY_2020-08-0'!I838,'Pipe Table'!$G$2:$G$8,0))</f>
        <v>TETCO-M3</v>
      </c>
      <c r="G857" t="str">
        <f>INDEX(TeAllPoints!$D$2:$D$957,MATCH(Filter!B857,TeAllPoints!$B$2:$B$957,0))</f>
        <v>PA</v>
      </c>
      <c r="H857" t="str">
        <f>INDEX(TeAllPoints!$E$2:$E$957,MATCH(Filter!B857,TeAllPoints!$B$2:$B$957,0))</f>
        <v>WESTMORELAND</v>
      </c>
      <c r="I857">
        <f>INDEX('TE_OA_20200805_INTRDY_2020-08-0'!$Q$2:$Q$870,MATCH(Filter!B857,'TE_OA_20200805_INTRDY_2020-08-0'!$G$2:$G$870))</f>
        <v>2748719</v>
      </c>
      <c r="J857">
        <f>INDEX('TE_OA_20200805_INTRDY_2020-08-0'!$R$2:$R$870,MATCH(Filter!B857,'TE_OA_20200805_INTRDY_2020-08-0'!$G$2:$G$870))</f>
        <v>0</v>
      </c>
    </row>
    <row r="858" spans="1:10" x14ac:dyDescent="0.25">
      <c r="A858" t="str">
        <f>INDEX('Pipe Table'!$E$2:$E$10,MATCH(INDEX('TE_OA_20200805_INTRDY_2020-08-0'!$T$2:$T$870,MATCH(Filter!B858,'TE_OA_20200805_INTRDY_2020-08-0'!$G$2:$G$870,0)),'Pipe Table'!$D$2:$D$10,0))</f>
        <v>TETCO</v>
      </c>
      <c r="B858">
        <v>79668</v>
      </c>
      <c r="C858" t="str">
        <f>INDEX('TE_OA_20200805_INTRDY_2020-08-0'!$J$2:$J$870,MATCH(Filter!B858,'TE_OA_20200805_INTRDY_2020-08-0'!$G$2:$G$870))</f>
        <v>Receipt</v>
      </c>
      <c r="D858" t="str">
        <f>INDEX('Pipe Table'!$B$2:$B$14,MATCH(INDEX(TeAllPoints!$I$2:$I$957,MATCH(Filter!B858,TeAllPoints!$B$2:$B$957,0)),'Pipe Table'!$A$2:$A$14,0))</f>
        <v>Station</v>
      </c>
      <c r="E858" t="str">
        <f>INDEX('TE_OA_20200805_INTRDY_2020-08-0'!$H$2:$H$870,MATCH(Filter!B858,'TE_OA_20200805_INTRDY_2020-08-0'!$G$2:$G$870))</f>
        <v>EQUITABLE - CRAYNE, PA CUSTODY TRANSFER POINT</v>
      </c>
      <c r="F858" t="str">
        <f>INDEX('Pipe Table'!$H$2:$H$8,MATCH('TE_OA_20200805_INTRDY_2020-08-0'!I839,'Pipe Table'!$G$2:$G$8,0))</f>
        <v>TETCO-M2</v>
      </c>
      <c r="G858" t="str">
        <f>INDEX(TeAllPoints!$D$2:$D$957,MATCH(Filter!B858,TeAllPoints!$B$2:$B$957,0))</f>
        <v>PA</v>
      </c>
      <c r="H858" t="str">
        <f>INDEX(TeAllPoints!$E$2:$E$957,MATCH(Filter!B858,TeAllPoints!$B$2:$B$957,0))</f>
        <v>GREENE</v>
      </c>
      <c r="I858">
        <f>INDEX('TE_OA_20200805_INTRDY_2020-08-0'!$Q$2:$Q$870,MATCH(Filter!B858,'TE_OA_20200805_INTRDY_2020-08-0'!$G$2:$G$870))</f>
        <v>716083</v>
      </c>
      <c r="J858">
        <f>INDEX('TE_OA_20200805_INTRDY_2020-08-0'!$R$2:$R$870,MATCH(Filter!B858,'TE_OA_20200805_INTRDY_2020-08-0'!$G$2:$G$870))</f>
        <v>0</v>
      </c>
    </row>
    <row r="859" spans="1:10" x14ac:dyDescent="0.25">
      <c r="A859" t="str">
        <f>INDEX('Pipe Table'!$E$2:$E$10,MATCH(INDEX('TE_OA_20200805_INTRDY_2020-08-0'!$T$2:$T$870,MATCH(Filter!B859,'TE_OA_20200805_INTRDY_2020-08-0'!$G$2:$G$870,0)),'Pipe Table'!$D$2:$D$10,0))</f>
        <v>TETCO</v>
      </c>
      <c r="B859">
        <v>79668</v>
      </c>
      <c r="C859" t="str">
        <f>INDEX('TE_OA_20200805_INTRDY_2020-08-0'!$J$2:$J$870,MATCH(Filter!B859,'TE_OA_20200805_INTRDY_2020-08-0'!$G$2:$G$870))</f>
        <v>Receipt</v>
      </c>
      <c r="D859" t="str">
        <f>INDEX('Pipe Table'!$B$2:$B$14,MATCH(INDEX(TeAllPoints!$I$2:$I$957,MATCH(Filter!B859,TeAllPoints!$B$2:$B$957,0)),'Pipe Table'!$A$2:$A$14,0))</f>
        <v>Station</v>
      </c>
      <c r="E859" t="str">
        <f>INDEX('TE_OA_20200805_INTRDY_2020-08-0'!$H$2:$H$870,MATCH(Filter!B859,'TE_OA_20200805_INTRDY_2020-08-0'!$G$2:$G$870))</f>
        <v>EQUITABLE - CRAYNE, PA CUSTODY TRANSFER POINT</v>
      </c>
      <c r="F859" t="str">
        <f>INDEX('Pipe Table'!$H$2:$H$8,MATCH('TE_OA_20200805_INTRDY_2020-08-0'!I840,'Pipe Table'!$G$2:$G$8,0))</f>
        <v>TETCO-M2</v>
      </c>
      <c r="G859" t="str">
        <f>INDEX(TeAllPoints!$D$2:$D$957,MATCH(Filter!B859,TeAllPoints!$B$2:$B$957,0))</f>
        <v>PA</v>
      </c>
      <c r="H859" t="str">
        <f>INDEX(TeAllPoints!$E$2:$E$957,MATCH(Filter!B859,TeAllPoints!$B$2:$B$957,0))</f>
        <v>GREENE</v>
      </c>
      <c r="I859">
        <f>INDEX('TE_OA_20200805_INTRDY_2020-08-0'!$Q$2:$Q$870,MATCH(Filter!B859,'TE_OA_20200805_INTRDY_2020-08-0'!$G$2:$G$870))</f>
        <v>716083</v>
      </c>
      <c r="J859">
        <f>INDEX('TE_OA_20200805_INTRDY_2020-08-0'!$R$2:$R$870,MATCH(Filter!B859,'TE_OA_20200805_INTRDY_2020-08-0'!$G$2:$G$870))</f>
        <v>0</v>
      </c>
    </row>
    <row r="860" spans="1:10" x14ac:dyDescent="0.25">
      <c r="A860" t="str">
        <f>INDEX('Pipe Table'!$E$2:$E$10,MATCH(INDEX('TE_OA_20200805_INTRDY_2020-08-0'!$T$2:$T$870,MATCH(Filter!B860,'TE_OA_20200805_INTRDY_2020-08-0'!$G$2:$G$870,0)),'Pipe Table'!$D$2:$D$10,0))</f>
        <v>TETCO</v>
      </c>
      <c r="B860">
        <v>79669</v>
      </c>
      <c r="C860" t="str">
        <f>INDEX('TE_OA_20200805_INTRDY_2020-08-0'!$J$2:$J$870,MATCH(Filter!B860,'TE_OA_20200805_INTRDY_2020-08-0'!$G$2:$G$870))</f>
        <v>Receipt</v>
      </c>
      <c r="D860" t="str">
        <f>INDEX('Pipe Table'!$B$2:$B$14,MATCH(INDEX(TeAllPoints!$I$2:$I$957,MATCH(Filter!B860,TeAllPoints!$B$2:$B$957,0)),'Pipe Table'!$A$2:$A$14,0))</f>
        <v>Station</v>
      </c>
      <c r="E860" t="str">
        <f>INDEX('TE_OA_20200805_INTRDY_2020-08-0'!$H$2:$H$870,MATCH(Filter!B860,'TE_OA_20200805_INTRDY_2020-08-0'!$G$2:$G$870))</f>
        <v>CARNEGIE - WAYNESBURG, PA CUSTODY TRANSFER POINT</v>
      </c>
      <c r="F860" t="str">
        <f>INDEX('Pipe Table'!$H$2:$H$8,MATCH('TE_OA_20200805_INTRDY_2020-08-0'!I841,'Pipe Table'!$G$2:$G$8,0))</f>
        <v>TETCO-M2</v>
      </c>
      <c r="G860" t="str">
        <f>INDEX(TeAllPoints!$D$2:$D$957,MATCH(Filter!B860,TeAllPoints!$B$2:$B$957,0))</f>
        <v>PA</v>
      </c>
      <c r="H860" t="str">
        <f>INDEX(TeAllPoints!$E$2:$E$957,MATCH(Filter!B860,TeAllPoints!$B$2:$B$957,0))</f>
        <v>GREENE</v>
      </c>
      <c r="I860">
        <f>INDEX('TE_OA_20200805_INTRDY_2020-08-0'!$Q$2:$Q$870,MATCH(Filter!B860,'TE_OA_20200805_INTRDY_2020-08-0'!$G$2:$G$870))</f>
        <v>716083</v>
      </c>
      <c r="J860">
        <f>INDEX('TE_OA_20200805_INTRDY_2020-08-0'!$R$2:$R$870,MATCH(Filter!B860,'TE_OA_20200805_INTRDY_2020-08-0'!$G$2:$G$870))</f>
        <v>0</v>
      </c>
    </row>
    <row r="861" spans="1:10" x14ac:dyDescent="0.25">
      <c r="A861" t="str">
        <f>INDEX('Pipe Table'!$E$2:$E$10,MATCH(INDEX('TE_OA_20200805_INTRDY_2020-08-0'!$T$2:$T$870,MATCH(Filter!B861,'TE_OA_20200805_INTRDY_2020-08-0'!$G$2:$G$870,0)),'Pipe Table'!$D$2:$D$10,0))</f>
        <v>TETCO</v>
      </c>
      <c r="B861">
        <v>79921</v>
      </c>
      <c r="C861" t="str">
        <f>INDEX('TE_OA_20200805_INTRDY_2020-08-0'!$J$2:$J$870,MATCH(Filter!B861,'TE_OA_20200805_INTRDY_2020-08-0'!$G$2:$G$870))</f>
        <v>Receipt</v>
      </c>
      <c r="D861" t="str">
        <f>INDEX('Pipe Table'!$B$2:$B$14,MATCH(INDEX(TeAllPoints!$I$2:$I$957,MATCH(Filter!B861,TeAllPoints!$B$2:$B$957,0)),'Pipe Table'!$A$2:$A$14,0))</f>
        <v>Cmprssr</v>
      </c>
      <c r="E861" t="str">
        <f>INDEX('TE_OA_20200805_INTRDY_2020-08-0'!$H$2:$H$870,MATCH(Filter!B861,'TE_OA_20200805_INTRDY_2020-08-0'!$G$2:$G$870))</f>
        <v>COMPRESSOR STATION 21A (UNIONTOWN) - MAINLINE</v>
      </c>
      <c r="F861" t="str">
        <f>INDEX('Pipe Table'!$H$2:$H$8,MATCH('TE_OA_20200805_INTRDY_2020-08-0'!I842,'Pipe Table'!$G$2:$G$8,0))</f>
        <v>TETCO-M2</v>
      </c>
      <c r="G861" t="str">
        <f>INDEX(TeAllPoints!$D$2:$D$957,MATCH(Filter!B861,TeAllPoints!$B$2:$B$957,0))</f>
        <v>PA</v>
      </c>
      <c r="H861" t="str">
        <f>INDEX(TeAllPoints!$E$2:$E$957,MATCH(Filter!B861,TeAllPoints!$B$2:$B$957,0))</f>
        <v>FAYETTE</v>
      </c>
      <c r="I861">
        <f>INDEX('TE_OA_20200805_INTRDY_2020-08-0'!$Q$2:$Q$870,MATCH(Filter!B861,'TE_OA_20200805_INTRDY_2020-08-0'!$G$2:$G$870))</f>
        <v>2846177</v>
      </c>
      <c r="J861">
        <f>INDEX('TE_OA_20200805_INTRDY_2020-08-0'!$R$2:$R$870,MATCH(Filter!B861,'TE_OA_20200805_INTRDY_2020-08-0'!$G$2:$G$870))</f>
        <v>0</v>
      </c>
    </row>
    <row r="862" spans="1:10" x14ac:dyDescent="0.25">
      <c r="A862" t="str">
        <f>INDEX('Pipe Table'!$E$2:$E$10,MATCH(INDEX('TE_OA_20200805_INTRDY_2020-08-0'!$T$2:$T$870,MATCH(Filter!B862,'TE_OA_20200805_INTRDY_2020-08-0'!$G$2:$G$870,0)),'Pipe Table'!$D$2:$D$10,0))</f>
        <v>TETCO</v>
      </c>
      <c r="B862">
        <v>79921</v>
      </c>
      <c r="C862" t="str">
        <f>INDEX('TE_OA_20200805_INTRDY_2020-08-0'!$J$2:$J$870,MATCH(Filter!B862,'TE_OA_20200805_INTRDY_2020-08-0'!$G$2:$G$870))</f>
        <v>Receipt</v>
      </c>
      <c r="D862" t="str">
        <f>INDEX('Pipe Table'!$B$2:$B$14,MATCH(INDEX(TeAllPoints!$I$2:$I$957,MATCH(Filter!B862,TeAllPoints!$B$2:$B$957,0)),'Pipe Table'!$A$2:$A$14,0))</f>
        <v>Cmprssr</v>
      </c>
      <c r="E862" t="str">
        <f>INDEX('TE_OA_20200805_INTRDY_2020-08-0'!$H$2:$H$870,MATCH(Filter!B862,'TE_OA_20200805_INTRDY_2020-08-0'!$G$2:$G$870))</f>
        <v>COMPRESSOR STATION 21A (UNIONTOWN) - MAINLINE</v>
      </c>
      <c r="F862" t="str">
        <f>INDEX('Pipe Table'!$H$2:$H$8,MATCH('TE_OA_20200805_INTRDY_2020-08-0'!I843,'Pipe Table'!$G$2:$G$8,0))</f>
        <v>TETCO-M2</v>
      </c>
      <c r="G862" t="str">
        <f>INDEX(TeAllPoints!$D$2:$D$957,MATCH(Filter!B862,TeAllPoints!$B$2:$B$957,0))</f>
        <v>PA</v>
      </c>
      <c r="H862" t="str">
        <f>INDEX(TeAllPoints!$E$2:$E$957,MATCH(Filter!B862,TeAllPoints!$B$2:$B$957,0))</f>
        <v>FAYETTE</v>
      </c>
      <c r="I862">
        <f>INDEX('TE_OA_20200805_INTRDY_2020-08-0'!$Q$2:$Q$870,MATCH(Filter!B862,'TE_OA_20200805_INTRDY_2020-08-0'!$G$2:$G$870))</f>
        <v>2846177</v>
      </c>
      <c r="J862">
        <f>INDEX('TE_OA_20200805_INTRDY_2020-08-0'!$R$2:$R$870,MATCH(Filter!B862,'TE_OA_20200805_INTRDY_2020-08-0'!$G$2:$G$870))</f>
        <v>0</v>
      </c>
    </row>
    <row r="863" spans="1:10" x14ac:dyDescent="0.25">
      <c r="A863" t="str">
        <f>INDEX('Pipe Table'!$E$2:$E$10,MATCH(INDEX('TE_OA_20200805_INTRDY_2020-08-0'!$T$2:$T$870,MATCH(Filter!B863,'TE_OA_20200805_INTRDY_2020-08-0'!$G$2:$G$870,0)),'Pipe Table'!$D$2:$D$10,0))</f>
        <v>TETCO</v>
      </c>
      <c r="B863">
        <v>79922</v>
      </c>
      <c r="C863" t="str">
        <f>INDEX('TE_OA_20200805_INTRDY_2020-08-0'!$J$2:$J$870,MATCH(Filter!B863,'TE_OA_20200805_INTRDY_2020-08-0'!$G$2:$G$870))</f>
        <v>Delivery</v>
      </c>
      <c r="D863" t="str">
        <f>INDEX('Pipe Table'!$B$2:$B$14,MATCH(INDEX(TeAllPoints!$I$2:$I$957,MATCH(Filter!B863,TeAllPoints!$B$2:$B$957,0)),'Pipe Table'!$A$2:$A$14,0))</f>
        <v>Station</v>
      </c>
      <c r="E863" t="str">
        <f>INDEX('TE_OA_20200805_INTRDY_2020-08-0'!$H$2:$H$870,MATCH(Filter!B863,'TE_OA_20200805_INTRDY_2020-08-0'!$G$2:$G$870))</f>
        <v>EAGLE STATION</v>
      </c>
      <c r="F863" t="str">
        <f>INDEX('Pipe Table'!$H$2:$H$8,MATCH('TE_OA_20200805_INTRDY_2020-08-0'!I844,'Pipe Table'!$G$2:$G$8,0))</f>
        <v>TETCO-M3</v>
      </c>
      <c r="G863" t="str">
        <f>INDEX(TeAllPoints!$D$2:$D$957,MATCH(Filter!B863,TeAllPoints!$B$2:$B$957,0))</f>
        <v>PA</v>
      </c>
      <c r="H863" t="str">
        <f>INDEX(TeAllPoints!$E$2:$E$957,MATCH(Filter!B863,TeAllPoints!$B$2:$B$957,0))</f>
        <v>CHESTER</v>
      </c>
      <c r="I863">
        <f>INDEX('TE_OA_20200805_INTRDY_2020-08-0'!$Q$2:$Q$870,MATCH(Filter!B863,'TE_OA_20200805_INTRDY_2020-08-0'!$G$2:$G$870))</f>
        <v>1338493</v>
      </c>
      <c r="J863">
        <f>INDEX('TE_OA_20200805_INTRDY_2020-08-0'!$R$2:$R$870,MATCH(Filter!B863,'TE_OA_20200805_INTRDY_2020-08-0'!$G$2:$G$870))</f>
        <v>148134</v>
      </c>
    </row>
    <row r="864" spans="1:10" x14ac:dyDescent="0.25">
      <c r="A864" t="str">
        <f>INDEX('Pipe Table'!$E$2:$E$10,MATCH(INDEX('TE_OA_20200805_INTRDY_2020-08-0'!$T$2:$T$870,MATCH(Filter!B864,'TE_OA_20200805_INTRDY_2020-08-0'!$G$2:$G$870,0)),'Pipe Table'!$D$2:$D$10,0))</f>
        <v>TETCO</v>
      </c>
      <c r="B864">
        <v>79923</v>
      </c>
      <c r="C864" t="str">
        <f>INDEX('TE_OA_20200805_INTRDY_2020-08-0'!$J$2:$J$870,MATCH(Filter!B864,'TE_OA_20200805_INTRDY_2020-08-0'!$G$2:$G$870))</f>
        <v>Receipt</v>
      </c>
      <c r="D864" t="str">
        <f>INDEX('Pipe Table'!$B$2:$B$14,MATCH(INDEX(TeAllPoints!$I$2:$I$957,MATCH(Filter!B864,TeAllPoints!$B$2:$B$957,0)),'Pipe Table'!$A$2:$A$14,0))</f>
        <v>Cmprssr</v>
      </c>
      <c r="E864" t="str">
        <f>INDEX('TE_OA_20200805_INTRDY_2020-08-0'!$H$2:$H$870,MATCH(Filter!B864,'TE_OA_20200805_INTRDY_2020-08-0'!$G$2:$G$870))</f>
        <v>COMPRESSOR STATION 23  (CHAMBERSBURG)</v>
      </c>
      <c r="F864" t="str">
        <f>INDEX('Pipe Table'!$H$2:$H$8,MATCH('TE_OA_20200805_INTRDY_2020-08-0'!I845,'Pipe Table'!$G$2:$G$8,0))</f>
        <v>TETCO-M3</v>
      </c>
      <c r="G864" t="str">
        <f>INDEX(TeAllPoints!$D$2:$D$957,MATCH(Filter!B864,TeAllPoints!$B$2:$B$957,0))</f>
        <v>PA</v>
      </c>
      <c r="H864" t="str">
        <f>INDEX(TeAllPoints!$E$2:$E$957,MATCH(Filter!B864,TeAllPoints!$B$2:$B$957,0))</f>
        <v>FRANKLIN</v>
      </c>
      <c r="I864">
        <f>INDEX('TE_OA_20200805_INTRDY_2020-08-0'!$Q$2:$Q$870,MATCH(Filter!B864,'TE_OA_20200805_INTRDY_2020-08-0'!$G$2:$G$870))</f>
        <v>2163497</v>
      </c>
      <c r="J864">
        <f>INDEX('TE_OA_20200805_INTRDY_2020-08-0'!$R$2:$R$870,MATCH(Filter!B864,'TE_OA_20200805_INTRDY_2020-08-0'!$G$2:$G$870))</f>
        <v>13969</v>
      </c>
    </row>
    <row r="865" spans="1:10" x14ac:dyDescent="0.25">
      <c r="A865" t="str">
        <f>INDEX('Pipe Table'!$E$2:$E$10,MATCH(INDEX('TE_OA_20200805_INTRDY_2020-08-0'!$T$2:$T$870,MATCH(Filter!B865,'TE_OA_20200805_INTRDY_2020-08-0'!$G$2:$G$870,0)),'Pipe Table'!$D$2:$D$10,0))</f>
        <v>TETCO</v>
      </c>
      <c r="B865">
        <v>79923</v>
      </c>
      <c r="C865" t="str">
        <f>INDEX('TE_OA_20200805_INTRDY_2020-08-0'!$J$2:$J$870,MATCH(Filter!B865,'TE_OA_20200805_INTRDY_2020-08-0'!$G$2:$G$870))</f>
        <v>Receipt</v>
      </c>
      <c r="D865" t="str">
        <f>INDEX('Pipe Table'!$B$2:$B$14,MATCH(INDEX(TeAllPoints!$I$2:$I$957,MATCH(Filter!B865,TeAllPoints!$B$2:$B$957,0)),'Pipe Table'!$A$2:$A$14,0))</f>
        <v>Cmprssr</v>
      </c>
      <c r="E865" t="str">
        <f>INDEX('TE_OA_20200805_INTRDY_2020-08-0'!$H$2:$H$870,MATCH(Filter!B865,'TE_OA_20200805_INTRDY_2020-08-0'!$G$2:$G$870))</f>
        <v>COMPRESSOR STATION 23  (CHAMBERSBURG)</v>
      </c>
      <c r="F865" t="str">
        <f>INDEX('Pipe Table'!$H$2:$H$8,MATCH('TE_OA_20200805_INTRDY_2020-08-0'!I846,'Pipe Table'!$G$2:$G$8,0))</f>
        <v>TETCO-M3</v>
      </c>
      <c r="G865" t="str">
        <f>INDEX(TeAllPoints!$D$2:$D$957,MATCH(Filter!B865,TeAllPoints!$B$2:$B$957,0))</f>
        <v>PA</v>
      </c>
      <c r="H865" t="str">
        <f>INDEX(TeAllPoints!$E$2:$E$957,MATCH(Filter!B865,TeAllPoints!$B$2:$B$957,0))</f>
        <v>FRANKLIN</v>
      </c>
      <c r="I865">
        <f>INDEX('TE_OA_20200805_INTRDY_2020-08-0'!$Q$2:$Q$870,MATCH(Filter!B865,'TE_OA_20200805_INTRDY_2020-08-0'!$G$2:$G$870))</f>
        <v>2163497</v>
      </c>
      <c r="J865">
        <f>INDEX('TE_OA_20200805_INTRDY_2020-08-0'!$R$2:$R$870,MATCH(Filter!B865,'TE_OA_20200805_INTRDY_2020-08-0'!$G$2:$G$870))</f>
        <v>13969</v>
      </c>
    </row>
    <row r="866" spans="1:10" x14ac:dyDescent="0.25">
      <c r="A866" t="str">
        <f>INDEX('Pipe Table'!$E$2:$E$10,MATCH(INDEX('TE_OA_20200805_INTRDY_2020-08-0'!$T$2:$T$870,MATCH(Filter!B866,'TE_OA_20200805_INTRDY_2020-08-0'!$G$2:$G$870,0)),'Pipe Table'!$D$2:$D$10,0))</f>
        <v>TETCO</v>
      </c>
      <c r="B866">
        <v>79941</v>
      </c>
      <c r="C866" t="str">
        <f>INDEX('TE_OA_20200805_INTRDY_2020-08-0'!$J$2:$J$870,MATCH(Filter!B866,'TE_OA_20200805_INTRDY_2020-08-0'!$G$2:$G$870))</f>
        <v>Receipt</v>
      </c>
      <c r="D866" t="str">
        <f>INDEX('Pipe Table'!$B$2:$B$14,MATCH(INDEX(TeAllPoints!$I$2:$I$957,MATCH(Filter!B866,TeAllPoints!$B$2:$B$957,0)),'Pipe Table'!$A$2:$A$14,0))</f>
        <v>Station</v>
      </c>
      <c r="E866" t="str">
        <f>INDEX('TE_OA_20200805_INTRDY_2020-08-0'!$H$2:$H$870,MATCH(Filter!B866,'TE_OA_20200805_INTRDY_2020-08-0'!$G$2:$G$870))</f>
        <v>ANR/TETCO (LEBANON LATERAL-ANR CAPACITY)</v>
      </c>
      <c r="F866" t="str">
        <f>INDEX('Pipe Table'!$H$2:$H$8,MATCH('TE_OA_20200805_INTRDY_2020-08-0'!I847,'Pipe Table'!$G$2:$G$8,0))</f>
        <v>TETCO-M2</v>
      </c>
      <c r="G866" t="str">
        <f>INDEX(TeAllPoints!$D$2:$D$957,MATCH(Filter!B866,TeAllPoints!$B$2:$B$957,0))</f>
        <v>OH</v>
      </c>
      <c r="H866" t="str">
        <f>INDEX(TeAllPoints!$E$2:$E$957,MATCH(Filter!B866,TeAllPoints!$B$2:$B$957,0))</f>
        <v>WARREN</v>
      </c>
      <c r="I866">
        <f>INDEX('TE_OA_20200805_INTRDY_2020-08-0'!$Q$2:$Q$870,MATCH(Filter!B866,'TE_OA_20200805_INTRDY_2020-08-0'!$G$2:$G$870))</f>
        <v>407083</v>
      </c>
      <c r="J866">
        <f>INDEX('TE_OA_20200805_INTRDY_2020-08-0'!$R$2:$R$870,MATCH(Filter!B866,'TE_OA_20200805_INTRDY_2020-08-0'!$G$2:$G$870))</f>
        <v>138</v>
      </c>
    </row>
    <row r="867" spans="1:10" x14ac:dyDescent="0.25">
      <c r="A867" t="str">
        <f>INDEX('Pipe Table'!$E$2:$E$10,MATCH(INDEX('TE_OA_20200805_INTRDY_2020-08-0'!$T$2:$T$870,MATCH(Filter!B867,'TE_OA_20200805_INTRDY_2020-08-0'!$G$2:$G$870,0)),'Pipe Table'!$D$2:$D$10,0))</f>
        <v>TETCO</v>
      </c>
      <c r="B867">
        <v>79951</v>
      </c>
      <c r="C867" t="str">
        <f>INDEX('TE_OA_20200805_INTRDY_2020-08-0'!$J$2:$J$870,MATCH(Filter!B867,'TE_OA_20200805_INTRDY_2020-08-0'!$G$2:$G$870))</f>
        <v>Receipt</v>
      </c>
      <c r="D867" t="str">
        <f>INDEX('Pipe Table'!$B$2:$B$14,MATCH(INDEX(TeAllPoints!$I$2:$I$957,MATCH(Filter!B867,TeAllPoints!$B$2:$B$957,0)),'Pipe Table'!$A$2:$A$14,0))</f>
        <v>Station</v>
      </c>
      <c r="E867" t="str">
        <f>INDEX('TE_OA_20200805_INTRDY_2020-08-0'!$H$2:$H$870,MATCH(Filter!B867,'TE_OA_20200805_INTRDY_2020-08-0'!$G$2:$G$870))</f>
        <v>TETCO LEBANON LATERAL TAKEAWAY POINT - MAINLINE</v>
      </c>
      <c r="F867" t="str">
        <f>INDEX('Pipe Table'!$H$2:$H$8,MATCH('TE_OA_20200805_INTRDY_2020-08-0'!I848,'Pipe Table'!$G$2:$G$8,0))</f>
        <v>TETCO-M2</v>
      </c>
      <c r="G867" t="str">
        <f>INDEX(TeAllPoints!$D$2:$D$957,MATCH(Filter!B867,TeAllPoints!$B$2:$B$957,0))</f>
        <v>OH</v>
      </c>
      <c r="H867" t="str">
        <f>INDEX(TeAllPoints!$E$2:$E$957,MATCH(Filter!B867,TeAllPoints!$B$2:$B$957,0))</f>
        <v>WARREN</v>
      </c>
      <c r="I867">
        <f>INDEX('TE_OA_20200805_INTRDY_2020-08-0'!$Q$2:$Q$870,MATCH(Filter!B867,'TE_OA_20200805_INTRDY_2020-08-0'!$G$2:$G$870))</f>
        <v>811511</v>
      </c>
      <c r="J867">
        <f>INDEX('TE_OA_20200805_INTRDY_2020-08-0'!$R$2:$R$870,MATCH(Filter!B867,'TE_OA_20200805_INTRDY_2020-08-0'!$G$2:$G$870))</f>
        <v>1344</v>
      </c>
    </row>
    <row r="868" spans="1:10" x14ac:dyDescent="0.25">
      <c r="A868" t="str">
        <f>INDEX('Pipe Table'!$E$2:$E$10,MATCH(INDEX('TE_OA_20200805_INTRDY_2020-08-0'!$T$2:$T$870,MATCH(Filter!B868,'TE_OA_20200805_INTRDY_2020-08-0'!$G$2:$G$870,0)),'Pipe Table'!$D$2:$D$10,0))</f>
        <v>TETCO</v>
      </c>
      <c r="B868">
        <v>79951</v>
      </c>
      <c r="C868" t="str">
        <f>INDEX('TE_OA_20200805_INTRDY_2020-08-0'!$J$2:$J$870,MATCH(Filter!B868,'TE_OA_20200805_INTRDY_2020-08-0'!$G$2:$G$870))</f>
        <v>Receipt</v>
      </c>
      <c r="D868" t="str">
        <f>INDEX('Pipe Table'!$B$2:$B$14,MATCH(INDEX(TeAllPoints!$I$2:$I$957,MATCH(Filter!B868,TeAllPoints!$B$2:$B$957,0)),'Pipe Table'!$A$2:$A$14,0))</f>
        <v>Station</v>
      </c>
      <c r="E868" t="str">
        <f>INDEX('TE_OA_20200805_INTRDY_2020-08-0'!$H$2:$H$870,MATCH(Filter!B868,'TE_OA_20200805_INTRDY_2020-08-0'!$G$2:$G$870))</f>
        <v>TETCO LEBANON LATERAL TAKEAWAY POINT - MAINLINE</v>
      </c>
      <c r="F868" t="str">
        <f>INDEX('Pipe Table'!$H$2:$H$8,MATCH('TE_OA_20200805_INTRDY_2020-08-0'!I849,'Pipe Table'!$G$2:$G$8,0))</f>
        <v>TETCO-M2</v>
      </c>
      <c r="G868" t="str">
        <f>INDEX(TeAllPoints!$D$2:$D$957,MATCH(Filter!B868,TeAllPoints!$B$2:$B$957,0))</f>
        <v>OH</v>
      </c>
      <c r="H868" t="str">
        <f>INDEX(TeAllPoints!$E$2:$E$957,MATCH(Filter!B868,TeAllPoints!$B$2:$B$957,0))</f>
        <v>WARREN</v>
      </c>
      <c r="I868">
        <f>INDEX('TE_OA_20200805_INTRDY_2020-08-0'!$Q$2:$Q$870,MATCH(Filter!B868,'TE_OA_20200805_INTRDY_2020-08-0'!$G$2:$G$870))</f>
        <v>811511</v>
      </c>
      <c r="J868">
        <f>INDEX('TE_OA_20200805_INTRDY_2020-08-0'!$R$2:$R$870,MATCH(Filter!B868,'TE_OA_20200805_INTRDY_2020-08-0'!$G$2:$G$870))</f>
        <v>1344</v>
      </c>
    </row>
    <row r="869" spans="1:10" x14ac:dyDescent="0.25">
      <c r="A869" t="str">
        <f>INDEX('Pipe Table'!$E$2:$E$10,MATCH(INDEX('TE_OA_20200805_INTRDY_2020-08-0'!$T$2:$T$870,MATCH(Filter!B869,'TE_OA_20200805_INTRDY_2020-08-0'!$G$2:$G$870,0)),'Pipe Table'!$D$2:$D$10,0))</f>
        <v>TETCO</v>
      </c>
      <c r="B869">
        <v>79954</v>
      </c>
      <c r="C869" t="str">
        <f>INDEX('TE_OA_20200805_INTRDY_2020-08-0'!$J$2:$J$870,MATCH(Filter!B869,'TE_OA_20200805_INTRDY_2020-08-0'!$G$2:$G$870))</f>
        <v>Delivery</v>
      </c>
      <c r="D869" t="str">
        <f>INDEX('Pipe Table'!$B$2:$B$14,MATCH(INDEX(TeAllPoints!$I$2:$I$957,MATCH(Filter!B869,TeAllPoints!$B$2:$B$957,0)),'Pipe Table'!$A$2:$A$14,0))</f>
        <v>Station</v>
      </c>
      <c r="E869" t="str">
        <f>INDEX('TE_OA_20200805_INTRDY_2020-08-0'!$H$2:$H$870,MATCH(Filter!B869,'TE_OA_20200805_INTRDY_2020-08-0'!$G$2:$G$870))</f>
        <v>IRONWOOD LATERAL ACCTG PT - MAINLINE</v>
      </c>
      <c r="F869" t="str">
        <f>INDEX('Pipe Table'!$H$2:$H$8,MATCH('TE_OA_20200805_INTRDY_2020-08-0'!I850,'Pipe Table'!$G$2:$G$8,0))</f>
        <v>TETCO-M3</v>
      </c>
      <c r="G869" t="str">
        <f>INDEX(TeAllPoints!$D$2:$D$957,MATCH(Filter!B869,TeAllPoints!$B$2:$B$957,0))</f>
        <v>PA</v>
      </c>
      <c r="H869" t="str">
        <f>INDEX(TeAllPoints!$E$2:$E$957,MATCH(Filter!B869,TeAllPoints!$B$2:$B$957,0))</f>
        <v>LEBANON</v>
      </c>
      <c r="I869">
        <f>INDEX('TE_OA_20200805_INTRDY_2020-08-0'!$Q$2:$Q$870,MATCH(Filter!B869,'TE_OA_20200805_INTRDY_2020-08-0'!$G$2:$G$870))</f>
        <v>2988499</v>
      </c>
      <c r="J869">
        <f>INDEX('TE_OA_20200805_INTRDY_2020-08-0'!$R$2:$R$870,MATCH(Filter!B869,'TE_OA_20200805_INTRDY_2020-08-0'!$G$2:$G$870))</f>
        <v>0</v>
      </c>
    </row>
    <row r="870" spans="1:10" x14ac:dyDescent="0.25">
      <c r="A870" t="str">
        <f>INDEX('Pipe Table'!$E$2:$E$10,MATCH(INDEX('TE_OA_20200805_INTRDY_2020-08-0'!$T$2:$T$870,MATCH(Filter!B870,'TE_OA_20200805_INTRDY_2020-08-0'!$G$2:$G$870,0)),'Pipe Table'!$D$2:$D$10,0))</f>
        <v>TETCO</v>
      </c>
      <c r="B870">
        <v>79961</v>
      </c>
      <c r="C870" t="str">
        <f>INDEX('TE_OA_20200805_INTRDY_2020-08-0'!$J$2:$J$870,MATCH(Filter!B870,'TE_OA_20200805_INTRDY_2020-08-0'!$G$2:$G$870))</f>
        <v>Receipt</v>
      </c>
      <c r="D870" t="str">
        <f>INDEX('Pipe Table'!$B$2:$B$14,MATCH(INDEX(TeAllPoints!$I$2:$I$957,MATCH(Filter!B870,TeAllPoints!$B$2:$B$957,0)),'Pipe Table'!$A$2:$A$14,0))</f>
        <v>EndUsr</v>
      </c>
      <c r="E870" t="str">
        <f>INDEX('TE_OA_20200805_INTRDY_2020-08-0'!$H$2:$H$870,MATCH(Filter!B870,'TE_OA_20200805_INTRDY_2020-08-0'!$G$2:$G$870))</f>
        <v>CEDAR BAYOU LATERAL ACCOUNTING POINT</v>
      </c>
      <c r="F870" t="str">
        <f>INDEX('Pipe Table'!$H$2:$H$8,MATCH('TE_OA_20200805_INTRDY_2020-08-0'!I851,'Pipe Table'!$G$2:$G$8,0))</f>
        <v>TETCO-STX</v>
      </c>
      <c r="G870" t="str">
        <f>INDEX(TeAllPoints!$D$2:$D$957,MATCH(Filter!B870,TeAllPoints!$B$2:$B$957,0))</f>
        <v>TX</v>
      </c>
      <c r="H870" t="str">
        <f>INDEX(TeAllPoints!$E$2:$E$957,MATCH(Filter!B870,TeAllPoints!$B$2:$B$957,0))</f>
        <v>CHAMBERS</v>
      </c>
      <c r="I870">
        <f>INDEX('TE_OA_20200805_INTRDY_2020-08-0'!$Q$2:$Q$870,MATCH(Filter!B870,'TE_OA_20200805_INTRDY_2020-08-0'!$G$2:$G$870))</f>
        <v>360000</v>
      </c>
      <c r="J870">
        <f>INDEX('TE_OA_20200805_INTRDY_2020-08-0'!$R$2:$R$870,MATCH(Filter!B870,'TE_OA_20200805_INTRDY_2020-08-0'!$G$2:$G$870))</f>
        <v>103255</v>
      </c>
    </row>
    <row r="871" spans="1:10" x14ac:dyDescent="0.25">
      <c r="A871" t="str">
        <f>INDEX('Pipe Table'!$E$2:$E$10,MATCH(INDEX('TE_OA_20200805_INTRDY_2020-08-0'!$T$2:$T$870,MATCH(Filter!B871,'TE_OA_20200805_INTRDY_2020-08-0'!$G$2:$G$870,0)),'Pipe Table'!$D$2:$D$10,0))</f>
        <v>TETCO</v>
      </c>
      <c r="B871">
        <v>79962</v>
      </c>
      <c r="C871" t="str">
        <f>INDEX('TE_OA_20200805_INTRDY_2020-08-0'!$J$2:$J$870,MATCH(Filter!B871,'TE_OA_20200805_INTRDY_2020-08-0'!$G$2:$G$870))</f>
        <v>Delivery</v>
      </c>
      <c r="D871" t="str">
        <f>INDEX('Pipe Table'!$B$2:$B$14,MATCH(INDEX(TeAllPoints!$I$2:$I$957,MATCH(Filter!B871,TeAllPoints!$B$2:$B$957,0)),'Pipe Table'!$A$2:$A$14,0))</f>
        <v>EndUsr</v>
      </c>
      <c r="E871" t="str">
        <f>INDEX('TE_OA_20200805_INTRDY_2020-08-0'!$H$2:$H$870,MATCH(Filter!B871,'TE_OA_20200805_INTRDY_2020-08-0'!$G$2:$G$870))</f>
        <v>CEDAR BAYOU MAINLINE HEAD OF LATERAL ACCOUNTING POINT</v>
      </c>
      <c r="F871" t="str">
        <f>INDEX('Pipe Table'!$H$2:$H$8,MATCH('TE_OA_20200805_INTRDY_2020-08-0'!I852,'Pipe Table'!$G$2:$G$8,0))</f>
        <v>TETCO-STX</v>
      </c>
      <c r="G871" t="str">
        <f>INDEX(TeAllPoints!$D$2:$D$957,MATCH(Filter!B871,TeAllPoints!$B$2:$B$957,0))</f>
        <v>TX</v>
      </c>
      <c r="H871" t="str">
        <f>INDEX(TeAllPoints!$E$2:$E$957,MATCH(Filter!B871,TeAllPoints!$B$2:$B$957,0))</f>
        <v>CHAMBERS</v>
      </c>
      <c r="I871">
        <f>INDEX('TE_OA_20200805_INTRDY_2020-08-0'!$Q$2:$Q$870,MATCH(Filter!B871,'TE_OA_20200805_INTRDY_2020-08-0'!$G$2:$G$870))</f>
        <v>496505</v>
      </c>
      <c r="J871">
        <f>INDEX('TE_OA_20200805_INTRDY_2020-08-0'!$R$2:$R$870,MATCH(Filter!B871,'TE_OA_20200805_INTRDY_2020-08-0'!$G$2:$G$870))</f>
        <v>103255</v>
      </c>
    </row>
    <row r="872" spans="1:10" x14ac:dyDescent="0.25">
      <c r="A872" t="str">
        <f>INDEX('Pipe Table'!$E$2:$E$10,MATCH(INDEX('TE_OA_20200805_INTRDY_2020-08-0'!$T$2:$T$870,MATCH(Filter!B872,'TE_OA_20200805_INTRDY_2020-08-0'!$G$2:$G$870,0)),'Pipe Table'!$D$2:$D$10,0))</f>
        <v>TETCO</v>
      </c>
      <c r="B872">
        <v>79965</v>
      </c>
      <c r="C872" t="str">
        <f>INDEX('TE_OA_20200805_INTRDY_2020-08-0'!$J$2:$J$870,MATCH(Filter!B872,'TE_OA_20200805_INTRDY_2020-08-0'!$G$2:$G$870))</f>
        <v>Receipt</v>
      </c>
      <c r="D872" t="str">
        <f>INDEX('Pipe Table'!$B$2:$B$14,MATCH(INDEX(TeAllPoints!$I$2:$I$957,MATCH(Filter!B872,TeAllPoints!$B$2:$B$957,0)),'Pipe Table'!$A$2:$A$14,0))</f>
        <v>Station</v>
      </c>
      <c r="E872" t="str">
        <f>INDEX('TE_OA_20200805_INTRDY_2020-08-0'!$H$2:$H$870,MATCH(Filter!B872,'TE_OA_20200805_INTRDY_2020-08-0'!$G$2:$G$870))</f>
        <v>MARIETTA EXTENSION H/L</v>
      </c>
      <c r="F872" t="str">
        <f>INDEX('Pipe Table'!$H$2:$H$8,MATCH('TE_OA_20200805_INTRDY_2020-08-0'!I853,'Pipe Table'!$G$2:$G$8,0))</f>
        <v>TETCO-M3</v>
      </c>
      <c r="G872" t="str">
        <f>INDEX(TeAllPoints!$D$2:$D$957,MATCH(Filter!B872,TeAllPoints!$B$2:$B$957,0))</f>
        <v>PA</v>
      </c>
      <c r="H872" t="str">
        <f>INDEX(TeAllPoints!$E$2:$E$957,MATCH(Filter!B872,TeAllPoints!$B$2:$B$957,0))</f>
        <v>LANCASTER</v>
      </c>
      <c r="I872">
        <f>INDEX('TE_OA_20200805_INTRDY_2020-08-0'!$Q$2:$Q$870,MATCH(Filter!B872,'TE_OA_20200805_INTRDY_2020-08-0'!$G$2:$G$870))</f>
        <v>864000</v>
      </c>
      <c r="J872">
        <f>INDEX('TE_OA_20200805_INTRDY_2020-08-0'!$R$2:$R$870,MATCH(Filter!B872,'TE_OA_20200805_INTRDY_2020-08-0'!$G$2:$G$870))</f>
        <v>183233</v>
      </c>
    </row>
    <row r="873" spans="1:10" x14ac:dyDescent="0.25">
      <c r="A873" t="str">
        <f>INDEX('Pipe Table'!$E$2:$E$10,MATCH(INDEX('TE_OA_20200805_INTRDY_2020-08-0'!$T$2:$T$870,MATCH(Filter!B873,'TE_OA_20200805_INTRDY_2020-08-0'!$G$2:$G$870,0)),'Pipe Table'!$D$2:$D$10,0))</f>
        <v>TETCO</v>
      </c>
      <c r="B873">
        <v>79968</v>
      </c>
      <c r="C873" t="str">
        <f>INDEX('TE_OA_20200805_INTRDY_2020-08-0'!$J$2:$J$870,MATCH(Filter!B873,'TE_OA_20200805_INTRDY_2020-08-0'!$G$2:$G$870))</f>
        <v>Receipt</v>
      </c>
      <c r="D873" t="str">
        <f>INDEX('Pipe Table'!$B$2:$B$14,MATCH(INDEX(TeAllPoints!$I$2:$I$957,MATCH(Filter!B873,TeAllPoints!$B$2:$B$957,0)),'Pipe Table'!$A$2:$A$14,0))</f>
        <v>Station</v>
      </c>
      <c r="E873" t="str">
        <f>INDEX('TE_OA_20200805_INTRDY_2020-08-0'!$H$2:$H$870,MATCH(Filter!B873,'TE_OA_20200805_INTRDY_2020-08-0'!$G$2:$G$870))</f>
        <v>ELA CUSTODY TRANSFER POINT</v>
      </c>
      <c r="F873" t="str">
        <f>INDEX('Pipe Table'!$H$2:$H$8,MATCH('TE_OA_20200805_INTRDY_2020-08-0'!I854,'Pipe Table'!$G$2:$G$8,0))</f>
        <v>TETCO-ELA</v>
      </c>
      <c r="G873" t="str">
        <f>INDEX(TeAllPoints!$D$2:$D$957,MATCH(Filter!B873,TeAllPoints!$B$2:$B$957,0))</f>
        <v>MS</v>
      </c>
      <c r="H873" t="str">
        <f>INDEX(TeAllPoints!$E$2:$E$957,MATCH(Filter!B873,TeAllPoints!$B$2:$B$957,0))</f>
        <v>ATTALA</v>
      </c>
      <c r="I873">
        <f>INDEX('TE_OA_20200805_INTRDY_2020-08-0'!$Q$2:$Q$870,MATCH(Filter!B873,'TE_OA_20200805_INTRDY_2020-08-0'!$G$2:$G$870))</f>
        <v>1355000</v>
      </c>
      <c r="J873">
        <f>INDEX('TE_OA_20200805_INTRDY_2020-08-0'!$R$2:$R$870,MATCH(Filter!B873,'TE_OA_20200805_INTRDY_2020-08-0'!$G$2:$G$870))</f>
        <v>148063</v>
      </c>
    </row>
    <row r="874" spans="1:10" x14ac:dyDescent="0.25">
      <c r="A874" t="str">
        <f>INDEX('Pipe Table'!$E$2:$E$10,MATCH(INDEX('TE_OA_20200805_INTRDY_2020-08-0'!$T$2:$T$870,MATCH(Filter!B874,'TE_OA_20200805_INTRDY_2020-08-0'!$G$2:$G$870,0)),'Pipe Table'!$D$2:$D$10,0))</f>
        <v>TETCO</v>
      </c>
      <c r="B874">
        <v>79968</v>
      </c>
      <c r="C874" t="str">
        <f>INDEX('TE_OA_20200805_INTRDY_2020-08-0'!$J$2:$J$870,MATCH(Filter!B874,'TE_OA_20200805_INTRDY_2020-08-0'!$G$2:$G$870))</f>
        <v>Receipt</v>
      </c>
      <c r="D874" t="str">
        <f>INDEX('Pipe Table'!$B$2:$B$14,MATCH(INDEX(TeAllPoints!$I$2:$I$957,MATCH(Filter!B874,TeAllPoints!$B$2:$B$957,0)),'Pipe Table'!$A$2:$A$14,0))</f>
        <v>Station</v>
      </c>
      <c r="E874" t="str">
        <f>INDEX('TE_OA_20200805_INTRDY_2020-08-0'!$H$2:$H$870,MATCH(Filter!B874,'TE_OA_20200805_INTRDY_2020-08-0'!$G$2:$G$870))</f>
        <v>ELA CUSTODY TRANSFER POINT</v>
      </c>
      <c r="F874" t="str">
        <f>INDEX('Pipe Table'!$H$2:$H$8,MATCH('TE_OA_20200805_INTRDY_2020-08-0'!I855,'Pipe Table'!$G$2:$G$8,0))</f>
        <v>TETCO-ELA</v>
      </c>
      <c r="G874" t="str">
        <f>INDEX(TeAllPoints!$D$2:$D$957,MATCH(Filter!B874,TeAllPoints!$B$2:$B$957,0))</f>
        <v>MS</v>
      </c>
      <c r="H874" t="str">
        <f>INDEX(TeAllPoints!$E$2:$E$957,MATCH(Filter!B874,TeAllPoints!$B$2:$B$957,0))</f>
        <v>ATTALA</v>
      </c>
      <c r="I874">
        <f>INDEX('TE_OA_20200805_INTRDY_2020-08-0'!$Q$2:$Q$870,MATCH(Filter!B874,'TE_OA_20200805_INTRDY_2020-08-0'!$G$2:$G$870))</f>
        <v>1355000</v>
      </c>
      <c r="J874">
        <f>INDEX('TE_OA_20200805_INTRDY_2020-08-0'!$R$2:$R$870,MATCH(Filter!B874,'TE_OA_20200805_INTRDY_2020-08-0'!$G$2:$G$870))</f>
        <v>148063</v>
      </c>
    </row>
    <row r="875" spans="1:10" x14ac:dyDescent="0.25">
      <c r="A875" t="str">
        <f>INDEX('Pipe Table'!$E$2:$E$10,MATCH(INDEX('TE_OA_20200805_INTRDY_2020-08-0'!$T$2:$T$870,MATCH(Filter!B875,'TE_OA_20200805_INTRDY_2020-08-0'!$G$2:$G$870,0)),'Pipe Table'!$D$2:$D$10,0))</f>
        <v>TETCO</v>
      </c>
      <c r="B875">
        <v>79970</v>
      </c>
      <c r="C875" t="str">
        <f>INDEX('TE_OA_20200805_INTRDY_2020-08-0'!$J$2:$J$870,MATCH(Filter!B875,'TE_OA_20200805_INTRDY_2020-08-0'!$G$2:$G$870))</f>
        <v>Delivery</v>
      </c>
      <c r="D875" t="str">
        <f>INDEX('Pipe Table'!$B$2:$B$14,MATCH(INDEX(TeAllPoints!$I$2:$I$957,MATCH(Filter!B875,TeAllPoints!$B$2:$B$957,0)),'Pipe Table'!$A$2:$A$14,0))</f>
        <v>Station</v>
      </c>
      <c r="E875" t="str">
        <f>INDEX('TE_OA_20200805_INTRDY_2020-08-0'!$H$2:$H$870,MATCH(Filter!B875,'TE_OA_20200805_INTRDY_2020-08-0'!$G$2:$G$870))</f>
        <v>HEAD OF MANHATTAN EXTENSION - MAINLINE</v>
      </c>
      <c r="F875" t="str">
        <f>INDEX('Pipe Table'!$H$2:$H$8,MATCH('TE_OA_20200805_INTRDY_2020-08-0'!I856,'Pipe Table'!$G$2:$G$8,0))</f>
        <v>TETCO-M3</v>
      </c>
      <c r="G875" t="str">
        <f>INDEX(TeAllPoints!$D$2:$D$957,MATCH(Filter!B875,TeAllPoints!$B$2:$B$957,0))</f>
        <v>NY</v>
      </c>
      <c r="H875" t="str">
        <f>INDEX(TeAllPoints!$E$2:$E$957,MATCH(Filter!B875,TeAllPoints!$B$2:$B$957,0))</f>
        <v>RICHMOND</v>
      </c>
      <c r="I875">
        <f>INDEX('TE_OA_20200805_INTRDY_2020-08-0'!$Q$2:$Q$870,MATCH(Filter!B875,'TE_OA_20200805_INTRDY_2020-08-0'!$G$2:$G$870))</f>
        <v>1551263</v>
      </c>
      <c r="J875">
        <f>INDEX('TE_OA_20200805_INTRDY_2020-08-0'!$R$2:$R$870,MATCH(Filter!B875,'TE_OA_20200805_INTRDY_2020-08-0'!$G$2:$G$870))</f>
        <v>3930</v>
      </c>
    </row>
    <row r="876" spans="1:10" x14ac:dyDescent="0.25">
      <c r="A876" t="str">
        <f>INDEX('Pipe Table'!$E$2:$E$10,MATCH(INDEX('TE_OA_20200805_INTRDY_2020-08-0'!$T$2:$T$870,MATCH(Filter!B876,'TE_OA_20200805_INTRDY_2020-08-0'!$G$2:$G$870,0)),'Pipe Table'!$D$2:$D$10,0))</f>
        <v>TETCO</v>
      </c>
      <c r="B876">
        <v>79971</v>
      </c>
      <c r="C876" t="str">
        <f>INDEX('TE_OA_20200805_INTRDY_2020-08-0'!$J$2:$J$870,MATCH(Filter!B876,'TE_OA_20200805_INTRDY_2020-08-0'!$G$2:$G$870))</f>
        <v>Receipt</v>
      </c>
      <c r="D876" t="str">
        <f>INDEX('Pipe Table'!$B$2:$B$14,MATCH(INDEX(TeAllPoints!$I$2:$I$957,MATCH(Filter!B876,TeAllPoints!$B$2:$B$957,0)),'Pipe Table'!$A$2:$A$14,0))</f>
        <v>Station</v>
      </c>
      <c r="E876" t="str">
        <f>INDEX('TE_OA_20200805_INTRDY_2020-08-0'!$H$2:$H$870,MATCH(Filter!B876,'TE_OA_20200805_INTRDY_2020-08-0'!$G$2:$G$870))</f>
        <v>HEAD OF MANHATTAN EXTENSION - EXTENSION</v>
      </c>
      <c r="F876" t="str">
        <f>INDEX('Pipe Table'!$H$2:$H$8,MATCH('TE_OA_20200805_INTRDY_2020-08-0'!I857,'Pipe Table'!$G$2:$G$8,0))</f>
        <v>TETCO-M3</v>
      </c>
      <c r="G876" t="str">
        <f>INDEX(TeAllPoints!$D$2:$D$957,MATCH(Filter!B876,TeAllPoints!$B$2:$B$957,0))</f>
        <v>NY</v>
      </c>
      <c r="H876" t="str">
        <f>INDEX(TeAllPoints!$E$2:$E$957,MATCH(Filter!B876,TeAllPoints!$B$2:$B$957,0))</f>
        <v>RICHMOND</v>
      </c>
      <c r="I876">
        <f>INDEX('TE_OA_20200805_INTRDY_2020-08-0'!$Q$2:$Q$870,MATCH(Filter!B876,'TE_OA_20200805_INTRDY_2020-08-0'!$G$2:$G$870))</f>
        <v>800000</v>
      </c>
      <c r="J876">
        <f>INDEX('TE_OA_20200805_INTRDY_2020-08-0'!$R$2:$R$870,MATCH(Filter!B876,'TE_OA_20200805_INTRDY_2020-08-0'!$G$2:$G$870))</f>
        <v>3930</v>
      </c>
    </row>
    <row r="877" spans="1:10" x14ac:dyDescent="0.25">
      <c r="A877" t="str">
        <f>INDEX('Pipe Table'!$E$2:$E$10,MATCH(INDEX('TE_OA_20200805_INTRDY_2020-08-0'!$T$2:$T$870,MATCH(Filter!B877,'TE_OA_20200805_INTRDY_2020-08-0'!$G$2:$G$870,0)),'Pipe Table'!$D$2:$D$10,0))</f>
        <v>TETCO</v>
      </c>
      <c r="B877">
        <v>79974</v>
      </c>
      <c r="C877" t="str">
        <f>INDEX('TE_OA_20200805_INTRDY_2020-08-0'!$J$2:$J$870,MATCH(Filter!B877,'TE_OA_20200805_INTRDY_2020-08-0'!$G$2:$G$870))</f>
        <v>Receipt</v>
      </c>
      <c r="D877" t="str">
        <f>INDEX('Pipe Table'!$B$2:$B$14,MATCH(INDEX(TeAllPoints!$I$2:$I$957,MATCH(Filter!B877,TeAllPoints!$B$2:$B$957,0)),'Pipe Table'!$A$2:$A$14,0))</f>
        <v>Station</v>
      </c>
      <c r="E877" t="str">
        <f>INDEX('TE_OA_20200805_INTRDY_2020-08-0'!$H$2:$H$870,MATCH(Filter!B877,'TE_OA_20200805_INTRDY_2020-08-0'!$G$2:$G$870))</f>
        <v>M1 30 INCH CUSTODY TRANSFER POINT</v>
      </c>
      <c r="F877" t="str">
        <f>INDEX('Pipe Table'!$H$2:$H$8,MATCH('TE_OA_20200805_INTRDY_2020-08-0'!I858,'Pipe Table'!$G$2:$G$8,0))</f>
        <v>TETCO-M1</v>
      </c>
      <c r="G877" t="str">
        <f>INDEX(TeAllPoints!$D$2:$D$957,MATCH(Filter!B877,TeAllPoints!$B$2:$B$957,0))</f>
        <v>MS</v>
      </c>
      <c r="H877" t="str">
        <f>INDEX(TeAllPoints!$E$2:$E$957,MATCH(Filter!B877,TeAllPoints!$B$2:$B$957,0))</f>
        <v>ATTALA</v>
      </c>
      <c r="I877">
        <f>INDEX('TE_OA_20200805_INTRDY_2020-08-0'!$Q$2:$Q$870,MATCH(Filter!B877,'TE_OA_20200805_INTRDY_2020-08-0'!$G$2:$G$870))</f>
        <v>1355000</v>
      </c>
      <c r="J877">
        <f>INDEX('TE_OA_20200805_INTRDY_2020-08-0'!$R$2:$R$870,MATCH(Filter!B877,'TE_OA_20200805_INTRDY_2020-08-0'!$G$2:$G$870))</f>
        <v>0</v>
      </c>
    </row>
    <row r="878" spans="1:10" x14ac:dyDescent="0.25">
      <c r="A878" t="str">
        <f>INDEX('Pipe Table'!$E$2:$E$10,MATCH(INDEX('TE_OA_20200805_INTRDY_2020-08-0'!$T$2:$T$870,MATCH(Filter!B878,'TE_OA_20200805_INTRDY_2020-08-0'!$G$2:$G$870,0)),'Pipe Table'!$D$2:$D$10,0))</f>
        <v>TETCO</v>
      </c>
      <c r="B878">
        <v>79974</v>
      </c>
      <c r="C878" t="str">
        <f>INDEX('TE_OA_20200805_INTRDY_2020-08-0'!$J$2:$J$870,MATCH(Filter!B878,'TE_OA_20200805_INTRDY_2020-08-0'!$G$2:$G$870))</f>
        <v>Receipt</v>
      </c>
      <c r="D878" t="str">
        <f>INDEX('Pipe Table'!$B$2:$B$14,MATCH(INDEX(TeAllPoints!$I$2:$I$957,MATCH(Filter!B878,TeAllPoints!$B$2:$B$957,0)),'Pipe Table'!$A$2:$A$14,0))</f>
        <v>Station</v>
      </c>
      <c r="E878" t="str">
        <f>INDEX('TE_OA_20200805_INTRDY_2020-08-0'!$H$2:$H$870,MATCH(Filter!B878,'TE_OA_20200805_INTRDY_2020-08-0'!$G$2:$G$870))</f>
        <v>M1 30 INCH CUSTODY TRANSFER POINT</v>
      </c>
      <c r="F878" t="str">
        <f>INDEX('Pipe Table'!$H$2:$H$8,MATCH('TE_OA_20200805_INTRDY_2020-08-0'!I859,'Pipe Table'!$G$2:$G$8,0))</f>
        <v>TETCO-M1</v>
      </c>
      <c r="G878" t="str">
        <f>INDEX(TeAllPoints!$D$2:$D$957,MATCH(Filter!B878,TeAllPoints!$B$2:$B$957,0))</f>
        <v>MS</v>
      </c>
      <c r="H878" t="str">
        <f>INDEX(TeAllPoints!$E$2:$E$957,MATCH(Filter!B878,TeAllPoints!$B$2:$B$957,0))</f>
        <v>ATTALA</v>
      </c>
      <c r="I878">
        <f>INDEX('TE_OA_20200805_INTRDY_2020-08-0'!$Q$2:$Q$870,MATCH(Filter!B878,'TE_OA_20200805_INTRDY_2020-08-0'!$G$2:$G$870))</f>
        <v>1355000</v>
      </c>
      <c r="J878">
        <f>INDEX('TE_OA_20200805_INTRDY_2020-08-0'!$R$2:$R$870,MATCH(Filter!B878,'TE_OA_20200805_INTRDY_2020-08-0'!$G$2:$G$870))</f>
        <v>0</v>
      </c>
    </row>
    <row r="879" spans="1:10" x14ac:dyDescent="0.25">
      <c r="A879" t="str">
        <f>INDEX('Pipe Table'!$E$2:$E$10,MATCH(INDEX('TE_OA_20200805_INTRDY_2020-08-0'!$T$2:$T$870,MATCH(Filter!B879,'TE_OA_20200805_INTRDY_2020-08-0'!$G$2:$G$870,0)),'Pipe Table'!$D$2:$D$10,0))</f>
        <v>TETCO</v>
      </c>
      <c r="B879">
        <v>79975</v>
      </c>
      <c r="C879" t="str">
        <f>INDEX('TE_OA_20200805_INTRDY_2020-08-0'!$J$2:$J$870,MATCH(Filter!B879,'TE_OA_20200805_INTRDY_2020-08-0'!$G$2:$G$870))</f>
        <v>Receipt</v>
      </c>
      <c r="D879" t="str">
        <f>INDEX('Pipe Table'!$B$2:$B$14,MATCH(INDEX(TeAllPoints!$I$2:$I$957,MATCH(Filter!B879,TeAllPoints!$B$2:$B$957,0)),'Pipe Table'!$A$2:$A$14,0))</f>
        <v>Station</v>
      </c>
      <c r="E879" t="str">
        <f>INDEX('TE_OA_20200805_INTRDY_2020-08-0'!$H$2:$H$870,MATCH(Filter!B879,'TE_OA_20200805_INTRDY_2020-08-0'!$G$2:$G$870))</f>
        <v>UNIONTOWN WEST</v>
      </c>
      <c r="F879" t="str">
        <f>INDEX('Pipe Table'!$H$2:$H$8,MATCH('TE_OA_20200805_INTRDY_2020-08-0'!I860,'Pipe Table'!$G$2:$G$8,0))</f>
        <v>TETCO-M2</v>
      </c>
      <c r="G879" t="str">
        <f>INDEX(TeAllPoints!$D$2:$D$957,MATCH(Filter!B879,TeAllPoints!$B$2:$B$957,0))</f>
        <v>PA</v>
      </c>
      <c r="H879" t="str">
        <f>INDEX(TeAllPoints!$E$2:$E$957,MATCH(Filter!B879,TeAllPoints!$B$2:$B$957,0))</f>
        <v>FAYETTE</v>
      </c>
      <c r="I879">
        <f>INDEX('TE_OA_20200805_INTRDY_2020-08-0'!$Q$2:$Q$870,MATCH(Filter!B879,'TE_OA_20200805_INTRDY_2020-08-0'!$G$2:$G$870))</f>
        <v>993173</v>
      </c>
      <c r="J879">
        <f>INDEX('TE_OA_20200805_INTRDY_2020-08-0'!$R$2:$R$870,MATCH(Filter!B879,'TE_OA_20200805_INTRDY_2020-08-0'!$G$2:$G$870))</f>
        <v>25281</v>
      </c>
    </row>
    <row r="880" spans="1:10" x14ac:dyDescent="0.25">
      <c r="A880" t="str">
        <f>INDEX('Pipe Table'!$E$2:$E$10,MATCH(INDEX('TE_OA_20200805_INTRDY_2020-08-0'!$T$2:$T$870,MATCH(Filter!B880,'TE_OA_20200805_INTRDY_2020-08-0'!$G$2:$G$870,0)),'Pipe Table'!$D$2:$D$10,0))</f>
        <v>TETCO</v>
      </c>
      <c r="B880">
        <v>79976</v>
      </c>
      <c r="C880" t="str">
        <f>INDEX('TE_OA_20200805_INTRDY_2020-08-0'!$J$2:$J$870,MATCH(Filter!B880,'TE_OA_20200805_INTRDY_2020-08-0'!$G$2:$G$870))</f>
        <v>Delivery</v>
      </c>
      <c r="D880" t="str">
        <f>INDEX('Pipe Table'!$B$2:$B$14,MATCH(INDEX(TeAllPoints!$I$2:$I$957,MATCH(Filter!B880,TeAllPoints!$B$2:$B$957,0)),'Pipe Table'!$A$2:$A$14,0))</f>
        <v>Station</v>
      </c>
      <c r="E880" t="str">
        <f>INDEX('TE_OA_20200805_INTRDY_2020-08-0'!$H$2:$H$870,MATCH(Filter!B880,'TE_OA_20200805_INTRDY_2020-08-0'!$G$2:$G$870))</f>
        <v>BAYWAY LATERAL (MAINLINE)</v>
      </c>
      <c r="F880" t="str">
        <f>INDEX('Pipe Table'!$H$2:$H$8,MATCH('TE_OA_20200805_INTRDY_2020-08-0'!I861,'Pipe Table'!$G$2:$G$8,0))</f>
        <v>TETCO-M3</v>
      </c>
      <c r="G880" t="str">
        <f>INDEX(TeAllPoints!$D$2:$D$957,MATCH(Filter!B880,TeAllPoints!$B$2:$B$957,0))</f>
        <v>NJ</v>
      </c>
      <c r="H880" t="str">
        <f>INDEX(TeAllPoints!$E$2:$E$957,MATCH(Filter!B880,TeAllPoints!$B$2:$B$957,0))</f>
        <v>UNION</v>
      </c>
      <c r="I880">
        <f>INDEX('TE_OA_20200805_INTRDY_2020-08-0'!$Q$2:$Q$870,MATCH(Filter!B880,'TE_OA_20200805_INTRDY_2020-08-0'!$G$2:$G$870))</f>
        <v>1601263</v>
      </c>
      <c r="J880">
        <f>INDEX('TE_OA_20200805_INTRDY_2020-08-0'!$R$2:$R$870,MATCH(Filter!B880,'TE_OA_20200805_INTRDY_2020-08-0'!$G$2:$G$870))</f>
        <v>155622</v>
      </c>
    </row>
    <row r="881" spans="1:10" x14ac:dyDescent="0.25">
      <c r="A881" t="str">
        <f>INDEX('Pipe Table'!$E$2:$E$10,MATCH(INDEX('TE_OA_20200805_INTRDY_2020-08-0'!$T$2:$T$870,MATCH(Filter!B881,'TE_OA_20200805_INTRDY_2020-08-0'!$G$2:$G$870,0)),'Pipe Table'!$D$2:$D$10,0))</f>
        <v>TETCO</v>
      </c>
      <c r="B881">
        <v>79977</v>
      </c>
      <c r="C881" t="str">
        <f>INDEX('TE_OA_20200805_INTRDY_2020-08-0'!$J$2:$J$870,MATCH(Filter!B881,'TE_OA_20200805_INTRDY_2020-08-0'!$G$2:$G$870))</f>
        <v>Receipt</v>
      </c>
      <c r="D881" t="str">
        <f>INDEX('Pipe Table'!$B$2:$B$14,MATCH(INDEX(TeAllPoints!$I$2:$I$957,MATCH(Filter!B881,TeAllPoints!$B$2:$B$957,0)),'Pipe Table'!$A$2:$A$14,0))</f>
        <v>Station</v>
      </c>
      <c r="E881" t="str">
        <f>INDEX('TE_OA_20200805_INTRDY_2020-08-0'!$H$2:$H$870,MATCH(Filter!B881,'TE_OA_20200805_INTRDY_2020-08-0'!$G$2:$G$870))</f>
        <v>BAYWAY LATERAL</v>
      </c>
      <c r="F881" t="str">
        <f>INDEX('Pipe Table'!$H$2:$H$8,MATCH('TE_OA_20200805_INTRDY_2020-08-0'!I862,'Pipe Table'!$G$2:$G$8,0))</f>
        <v>TETCO-M3</v>
      </c>
      <c r="G881" t="str">
        <f>INDEX(TeAllPoints!$D$2:$D$957,MATCH(Filter!B881,TeAllPoints!$B$2:$B$957,0))</f>
        <v>NJ</v>
      </c>
      <c r="H881" t="str">
        <f>INDEX(TeAllPoints!$E$2:$E$957,MATCH(Filter!B881,TeAllPoints!$B$2:$B$957,0))</f>
        <v>UNION</v>
      </c>
      <c r="I881">
        <f>INDEX('TE_OA_20200805_INTRDY_2020-08-0'!$Q$2:$Q$870,MATCH(Filter!B881,'TE_OA_20200805_INTRDY_2020-08-0'!$G$2:$G$870))</f>
        <v>300000</v>
      </c>
      <c r="J881">
        <f>INDEX('TE_OA_20200805_INTRDY_2020-08-0'!$R$2:$R$870,MATCH(Filter!B881,'TE_OA_20200805_INTRDY_2020-08-0'!$G$2:$G$870))</f>
        <v>155622</v>
      </c>
    </row>
    <row r="882" spans="1:10" x14ac:dyDescent="0.25">
      <c r="A882" t="str">
        <f>INDEX('Pipe Table'!$E$2:$E$10,MATCH(INDEX('TE_OA_20200805_INTRDY_2020-08-0'!$T$2:$T$870,MATCH(Filter!B882,'TE_OA_20200805_INTRDY_2020-08-0'!$G$2:$G$870,0)),'Pipe Table'!$D$2:$D$10,0))</f>
        <v>TETCO</v>
      </c>
      <c r="B882">
        <v>79978</v>
      </c>
      <c r="C882" t="str">
        <f>INDEX('TE_OA_20200805_INTRDY_2020-08-0'!$J$2:$J$870,MATCH(Filter!B882,'TE_OA_20200805_INTRDY_2020-08-0'!$G$2:$G$870))</f>
        <v>Receipt</v>
      </c>
      <c r="D882" t="str">
        <f>INDEX('Pipe Table'!$B$2:$B$14,MATCH(INDEX(TeAllPoints!$I$2:$I$957,MATCH(Filter!B882,TeAllPoints!$B$2:$B$957,0)),'Pipe Table'!$A$2:$A$14,0))</f>
        <v>Station</v>
      </c>
      <c r="E882" t="str">
        <f>INDEX('TE_OA_20200805_INTRDY_2020-08-0'!$H$2:$H$870,MATCH(Filter!B882,'TE_OA_20200805_INTRDY_2020-08-0'!$G$2:$G$870))</f>
        <v>NUECES CONNECTOR (MAINLINE)</v>
      </c>
      <c r="F882" t="str">
        <f>INDEX('Pipe Table'!$H$2:$H$8,MATCH('TE_OA_20200805_INTRDY_2020-08-0'!I863,'Pipe Table'!$G$2:$G$8,0))</f>
        <v>TETCO-STX</v>
      </c>
      <c r="G882" t="str">
        <f>INDEX(TeAllPoints!$D$2:$D$957,MATCH(Filter!B882,TeAllPoints!$B$2:$B$957,0))</f>
        <v>TX</v>
      </c>
      <c r="H882">
        <f>INDEX(TeAllPoints!$E$2:$E$957,MATCH(Filter!B882,TeAllPoints!$B$2:$B$957,0))</f>
        <v>0</v>
      </c>
      <c r="I882">
        <f>INDEX('TE_OA_20200805_INTRDY_2020-08-0'!$Q$2:$Q$870,MATCH(Filter!B882,'TE_OA_20200805_INTRDY_2020-08-0'!$G$2:$G$870))</f>
        <v>269266</v>
      </c>
      <c r="J882">
        <f>INDEX('TE_OA_20200805_INTRDY_2020-08-0'!$R$2:$R$870,MATCH(Filter!B882,'TE_OA_20200805_INTRDY_2020-08-0'!$G$2:$G$870))</f>
        <v>21466</v>
      </c>
    </row>
    <row r="883" spans="1:10" x14ac:dyDescent="0.25">
      <c r="A883" t="str">
        <f>INDEX('Pipe Table'!$E$2:$E$10,MATCH(INDEX('TE_OA_20200805_INTRDY_2020-08-0'!$T$2:$T$870,MATCH(Filter!B883,'TE_OA_20200805_INTRDY_2020-08-0'!$G$2:$G$870,0)),'Pipe Table'!$D$2:$D$10,0))</f>
        <v>TETCO</v>
      </c>
      <c r="B883">
        <v>79978</v>
      </c>
      <c r="C883" t="str">
        <f>INDEX('TE_OA_20200805_INTRDY_2020-08-0'!$J$2:$J$870,MATCH(Filter!B883,'TE_OA_20200805_INTRDY_2020-08-0'!$G$2:$G$870))</f>
        <v>Receipt</v>
      </c>
      <c r="D883" t="str">
        <f>INDEX('Pipe Table'!$B$2:$B$14,MATCH(INDEX(TeAllPoints!$I$2:$I$957,MATCH(Filter!B883,TeAllPoints!$B$2:$B$957,0)),'Pipe Table'!$A$2:$A$14,0))</f>
        <v>Station</v>
      </c>
      <c r="E883" t="str">
        <f>INDEX('TE_OA_20200805_INTRDY_2020-08-0'!$H$2:$H$870,MATCH(Filter!B883,'TE_OA_20200805_INTRDY_2020-08-0'!$G$2:$G$870))</f>
        <v>NUECES CONNECTOR (MAINLINE)</v>
      </c>
      <c r="F883" t="str">
        <f>INDEX('Pipe Table'!$H$2:$H$8,MATCH('TE_OA_20200805_INTRDY_2020-08-0'!I864,'Pipe Table'!$G$2:$G$8,0))</f>
        <v>TETCO-STX</v>
      </c>
      <c r="G883" t="str">
        <f>INDEX(TeAllPoints!$D$2:$D$957,MATCH(Filter!B883,TeAllPoints!$B$2:$B$957,0))</f>
        <v>TX</v>
      </c>
      <c r="H883">
        <f>INDEX(TeAllPoints!$E$2:$E$957,MATCH(Filter!B883,TeAllPoints!$B$2:$B$957,0))</f>
        <v>0</v>
      </c>
      <c r="I883">
        <f>INDEX('TE_OA_20200805_INTRDY_2020-08-0'!$Q$2:$Q$870,MATCH(Filter!B883,'TE_OA_20200805_INTRDY_2020-08-0'!$G$2:$G$870))</f>
        <v>269266</v>
      </c>
      <c r="J883">
        <f>INDEX('TE_OA_20200805_INTRDY_2020-08-0'!$R$2:$R$870,MATCH(Filter!B883,'TE_OA_20200805_INTRDY_2020-08-0'!$G$2:$G$870))</f>
        <v>21466</v>
      </c>
    </row>
    <row r="884" spans="1:10" x14ac:dyDescent="0.25">
      <c r="A884" t="str">
        <f>INDEX('Pipe Table'!$E$2:$E$10,MATCH(INDEX('TE_OA_20200805_INTRDY_2020-08-0'!$T$2:$T$870,MATCH(Filter!B884,'TE_OA_20200805_INTRDY_2020-08-0'!$G$2:$G$870,0)),'Pipe Table'!$D$2:$D$10,0))</f>
        <v>TETCO</v>
      </c>
      <c r="B884">
        <v>79979</v>
      </c>
      <c r="C884" t="str">
        <f>INDEX('TE_OA_20200805_INTRDY_2020-08-0'!$J$2:$J$870,MATCH(Filter!B884,'TE_OA_20200805_INTRDY_2020-08-0'!$G$2:$G$870))</f>
        <v>Receipt</v>
      </c>
      <c r="D884" t="str">
        <f>INDEX('Pipe Table'!$B$2:$B$14,MATCH(INDEX(TeAllPoints!$I$2:$I$957,MATCH(Filter!B884,TeAllPoints!$B$2:$B$957,0)),'Pipe Table'!$A$2:$A$14,0))</f>
        <v>Station</v>
      </c>
      <c r="E884" t="str">
        <f>INDEX('TE_OA_20200805_INTRDY_2020-08-0'!$H$2:$H$870,MATCH(Filter!B884,'TE_OA_20200805_INTRDY_2020-08-0'!$G$2:$G$870))</f>
        <v>NUECES CONNECTOR LATERAL</v>
      </c>
      <c r="F884" t="str">
        <f>INDEX('Pipe Table'!$H$2:$H$8,MATCH('TE_OA_20200805_INTRDY_2020-08-0'!I865,'Pipe Table'!$G$2:$G$8,0))</f>
        <v>TETCO-STX</v>
      </c>
      <c r="G884" t="str">
        <f>INDEX(TeAllPoints!$D$2:$D$957,MATCH(Filter!B884,TeAllPoints!$B$2:$B$957,0))</f>
        <v>TX</v>
      </c>
      <c r="H884">
        <f>INDEX(TeAllPoints!$E$2:$E$957,MATCH(Filter!B884,TeAllPoints!$B$2:$B$957,0))</f>
        <v>0</v>
      </c>
      <c r="I884">
        <f>INDEX('TE_OA_20200805_INTRDY_2020-08-0'!$Q$2:$Q$870,MATCH(Filter!B884,'TE_OA_20200805_INTRDY_2020-08-0'!$G$2:$G$870))</f>
        <v>396000</v>
      </c>
      <c r="J884">
        <f>INDEX('TE_OA_20200805_INTRDY_2020-08-0'!$R$2:$R$870,MATCH(Filter!B884,'TE_OA_20200805_INTRDY_2020-08-0'!$G$2:$G$870))</f>
        <v>0</v>
      </c>
    </row>
    <row r="885" spans="1:10" x14ac:dyDescent="0.25">
      <c r="A885" t="str">
        <f>INDEX('Pipe Table'!$E$2:$E$10,MATCH(INDEX('TE_OA_20200805_INTRDY_2020-08-0'!$T$2:$T$870,MATCH(Filter!B885,'TE_OA_20200805_INTRDY_2020-08-0'!$G$2:$G$870,0)),'Pipe Table'!$D$2:$D$10,0))</f>
        <v>TETCO</v>
      </c>
      <c r="B885">
        <v>79980</v>
      </c>
      <c r="C885" t="str">
        <f>INDEX('TE_OA_20200805_INTRDY_2020-08-0'!$J$2:$J$870,MATCH(Filter!B885,'TE_OA_20200805_INTRDY_2020-08-0'!$G$2:$G$870))</f>
        <v>Receipt</v>
      </c>
      <c r="D885" t="str">
        <f>INDEX('Pipe Table'!$B$2:$B$14,MATCH(INDEX(TeAllPoints!$I$2:$I$957,MATCH(Filter!B885,TeAllPoints!$B$2:$B$957,0)),'Pipe Table'!$A$2:$A$14,0))</f>
        <v>Station</v>
      </c>
      <c r="E885" t="str">
        <f>INDEX('TE_OA_20200805_INTRDY_2020-08-0'!$H$2:$H$870,MATCH(Filter!B885,'TE_OA_20200805_INTRDY_2020-08-0'!$G$2:$G$870))</f>
        <v>UNIONTOWN NORTH</v>
      </c>
      <c r="F885" t="str">
        <f>INDEX('Pipe Table'!$H$2:$H$8,MATCH('TE_OA_20200805_INTRDY_2020-08-0'!I866,'Pipe Table'!$G$2:$G$8,0))</f>
        <v>TETCO-M2</v>
      </c>
      <c r="G885" t="str">
        <f>INDEX(TeAllPoints!$D$2:$D$957,MATCH(Filter!B885,TeAllPoints!$B$2:$B$957,0))</f>
        <v>PA</v>
      </c>
      <c r="H885" t="str">
        <f>INDEX(TeAllPoints!$E$2:$E$957,MATCH(Filter!B885,TeAllPoints!$B$2:$B$957,0))</f>
        <v>FAYETTE</v>
      </c>
      <c r="I885">
        <f>INDEX('TE_OA_20200805_INTRDY_2020-08-0'!$Q$2:$Q$870,MATCH(Filter!B885,'TE_OA_20200805_INTRDY_2020-08-0'!$G$2:$G$870))</f>
        <v>552000</v>
      </c>
      <c r="J885">
        <f>INDEX('TE_OA_20200805_INTRDY_2020-08-0'!$R$2:$R$870,MATCH(Filter!B885,'TE_OA_20200805_INTRDY_2020-08-0'!$G$2:$G$870))</f>
        <v>13307</v>
      </c>
    </row>
    <row r="886" spans="1:10" x14ac:dyDescent="0.25">
      <c r="A886" t="str">
        <f>INDEX('Pipe Table'!$E$2:$E$10,MATCH(INDEX('TE_OA_20200805_INTRDY_2020-08-0'!$T$2:$T$870,MATCH(Filter!B886,'TE_OA_20200805_INTRDY_2020-08-0'!$G$2:$G$870,0)),'Pipe Table'!$D$2:$D$10,0))</f>
        <v>TETCO</v>
      </c>
      <c r="B886">
        <v>79980</v>
      </c>
      <c r="C886" t="str">
        <f>INDEX('TE_OA_20200805_INTRDY_2020-08-0'!$J$2:$J$870,MATCH(Filter!B886,'TE_OA_20200805_INTRDY_2020-08-0'!$G$2:$G$870))</f>
        <v>Receipt</v>
      </c>
      <c r="D886" t="str">
        <f>INDEX('Pipe Table'!$B$2:$B$14,MATCH(INDEX(TeAllPoints!$I$2:$I$957,MATCH(Filter!B886,TeAllPoints!$B$2:$B$957,0)),'Pipe Table'!$A$2:$A$14,0))</f>
        <v>Station</v>
      </c>
      <c r="E886" t="str">
        <f>INDEX('TE_OA_20200805_INTRDY_2020-08-0'!$H$2:$H$870,MATCH(Filter!B886,'TE_OA_20200805_INTRDY_2020-08-0'!$G$2:$G$870))</f>
        <v>UNIONTOWN NORTH</v>
      </c>
      <c r="F886" t="str">
        <f>INDEX('Pipe Table'!$H$2:$H$8,MATCH('TE_OA_20200805_INTRDY_2020-08-0'!I867,'Pipe Table'!$G$2:$G$8,0))</f>
        <v>TETCO-M2</v>
      </c>
      <c r="G886" t="str">
        <f>INDEX(TeAllPoints!$D$2:$D$957,MATCH(Filter!B886,TeAllPoints!$B$2:$B$957,0))</f>
        <v>PA</v>
      </c>
      <c r="H886" t="str">
        <f>INDEX(TeAllPoints!$E$2:$E$957,MATCH(Filter!B886,TeAllPoints!$B$2:$B$957,0))</f>
        <v>FAYETTE</v>
      </c>
      <c r="I886">
        <f>INDEX('TE_OA_20200805_INTRDY_2020-08-0'!$Q$2:$Q$870,MATCH(Filter!B886,'TE_OA_20200805_INTRDY_2020-08-0'!$G$2:$G$870))</f>
        <v>552000</v>
      </c>
      <c r="J886">
        <f>INDEX('TE_OA_20200805_INTRDY_2020-08-0'!$R$2:$R$870,MATCH(Filter!B886,'TE_OA_20200805_INTRDY_2020-08-0'!$G$2:$G$870))</f>
        <v>13307</v>
      </c>
    </row>
    <row r="887" spans="1:10" x14ac:dyDescent="0.25">
      <c r="A887" t="str">
        <f>INDEX('Pipe Table'!$E$2:$E$10,MATCH(INDEX('TE_OA_20200805_INTRDY_2020-08-0'!$T$2:$T$870,MATCH(Filter!B887,'TE_OA_20200805_INTRDY_2020-08-0'!$G$2:$G$870,0)),'Pipe Table'!$D$2:$D$10,0))</f>
        <v>TETCO</v>
      </c>
      <c r="B887">
        <v>79993</v>
      </c>
      <c r="C887" t="str">
        <f>INDEX('TE_OA_20200805_INTRDY_2020-08-0'!$J$2:$J$870,MATCH(Filter!B887,'TE_OA_20200805_INTRDY_2020-08-0'!$G$2:$G$870))</f>
        <v>Delivery</v>
      </c>
      <c r="D887" t="e">
        <f>INDEX('Pipe Table'!$B$2:$B$14,MATCH(INDEX(TeAllPoints!$I$2:$I$957,MATCH(Filter!B887,TeAllPoints!$B$2:$B$957,0)),'Pipe Table'!$A$2:$A$14,0))</f>
        <v>#N/A</v>
      </c>
      <c r="E887" t="str">
        <f>INDEX('TE_OA_20200805_INTRDY_2020-08-0'!$H$2:$H$870,MATCH(Filter!B887,'TE_OA_20200805_INTRDY_2020-08-0'!$G$2:$G$870))</f>
        <v>NEXUS INTERCONNECT WITH TETLP,OPEN LATERAL,AT HEAD OF OPEN LATERAL</v>
      </c>
      <c r="F887" t="str">
        <f>INDEX('Pipe Table'!$H$2:$H$8,MATCH('TE_OA_20200805_INTRDY_2020-08-0'!I868,'Pipe Table'!$G$2:$G$8,0))</f>
        <v>TETCO-M2</v>
      </c>
      <c r="G887" t="e">
        <f>INDEX(TeAllPoints!$D$2:$D$957,MATCH(Filter!B887,TeAllPoints!$B$2:$B$957,0))</f>
        <v>#N/A</v>
      </c>
      <c r="H887" t="e">
        <f>INDEX(TeAllPoints!$E$2:$E$957,MATCH(Filter!B887,TeAllPoints!$B$2:$B$957,0))</f>
        <v>#N/A</v>
      </c>
      <c r="I887">
        <f>INDEX('TE_OA_20200805_INTRDY_2020-08-0'!$Q$2:$Q$870,MATCH(Filter!B887,'TE_OA_20200805_INTRDY_2020-08-0'!$G$2:$G$870))</f>
        <v>637559</v>
      </c>
      <c r="J887">
        <f>INDEX('TE_OA_20200805_INTRDY_2020-08-0'!$R$2:$R$870,MATCH(Filter!B887,'TE_OA_20200805_INTRDY_2020-08-0'!$G$2:$G$870))</f>
        <v>0</v>
      </c>
    </row>
    <row r="888" spans="1:10" x14ac:dyDescent="0.25">
      <c r="A888" t="str">
        <f>INDEX('Pipe Table'!$E$2:$E$10,MATCH(INDEX('TE_OA_20200805_INTRDY_2020-08-0'!$T$2:$T$870,MATCH(Filter!B888,'TE_OA_20200805_INTRDY_2020-08-0'!$G$2:$G$870,0)),'Pipe Table'!$D$2:$D$10,0))</f>
        <v>TETCO</v>
      </c>
      <c r="B888">
        <v>79995</v>
      </c>
      <c r="C888" t="str">
        <f>INDEX('TE_OA_20200805_INTRDY_2020-08-0'!$J$2:$J$870,MATCH(Filter!B888,'TE_OA_20200805_INTRDY_2020-08-0'!$G$2:$G$870))</f>
        <v>Delivery</v>
      </c>
      <c r="D888" t="e">
        <f>INDEX('Pipe Table'!$B$2:$B$14,MATCH(INDEX(TeAllPoints!$I$2:$I$957,MATCH(Filter!B888,TeAllPoints!$B$2:$B$957,0)),'Pipe Table'!$A$2:$A$14,0))</f>
        <v>#N/A</v>
      </c>
      <c r="E888" t="str">
        <f>INDEX('TE_OA_20200805_INTRDY_2020-08-0'!$H$2:$H$870,MATCH(Filter!B888,'TE_OA_20200805_INTRDY_2020-08-0'!$G$2:$G$870))</f>
        <v>NEXUS INTERCONNECT WITH TETLP MAINLINE, MONROE CO., OH</v>
      </c>
      <c r="F888" t="str">
        <f>INDEX('Pipe Table'!$H$2:$H$8,MATCH('TE_OA_20200805_INTRDY_2020-08-0'!I869,'Pipe Table'!$G$2:$G$8,0))</f>
        <v>TETCO-M2</v>
      </c>
      <c r="G888" t="e">
        <f>INDEX(TeAllPoints!$D$2:$D$957,MATCH(Filter!B888,TeAllPoints!$B$2:$B$957,0))</f>
        <v>#N/A</v>
      </c>
      <c r="H888" t="e">
        <f>INDEX(TeAllPoints!$E$2:$E$957,MATCH(Filter!B888,TeAllPoints!$B$2:$B$957,0))</f>
        <v>#N/A</v>
      </c>
      <c r="I888">
        <f>INDEX('TE_OA_20200805_INTRDY_2020-08-0'!$Q$2:$Q$870,MATCH(Filter!B888,'TE_OA_20200805_INTRDY_2020-08-0'!$G$2:$G$870))</f>
        <v>6335806</v>
      </c>
      <c r="J888">
        <f>INDEX('TE_OA_20200805_INTRDY_2020-08-0'!$R$2:$R$870,MATCH(Filter!B888,'TE_OA_20200805_INTRDY_2020-08-0'!$G$2:$G$870))</f>
        <v>315664</v>
      </c>
    </row>
    <row r="889" spans="1:10" x14ac:dyDescent="0.25">
      <c r="A889" t="str">
        <f>INDEX('Pipe Table'!$E$2:$E$10,MATCH(INDEX('TE_OA_20200805_INTRDY_2020-08-0'!$T$2:$T$870,MATCH(Filter!B889,'TE_OA_20200805_INTRDY_2020-08-0'!$G$2:$G$870,0)),'Pipe Table'!$D$2:$D$10,0))</f>
        <v>TETCO</v>
      </c>
      <c r="B889">
        <v>79999</v>
      </c>
      <c r="C889" t="str">
        <f>INDEX('TE_OA_20200805_INTRDY_2020-08-0'!$J$2:$J$870,MATCH(Filter!B889,'TE_OA_20200805_INTRDY_2020-08-0'!$G$2:$G$870))</f>
        <v>Delivery</v>
      </c>
      <c r="D889" t="str">
        <f>INDEX('Pipe Table'!$B$2:$B$14,MATCH(INDEX(TeAllPoints!$I$2:$I$957,MATCH(Filter!B889,TeAllPoints!$B$2:$B$957,0)),'Pipe Table'!$A$2:$A$14,0))</f>
        <v>Station</v>
      </c>
      <c r="E889" t="str">
        <f>INDEX('TE_OA_20200805_INTRDY_2020-08-0'!$H$2:$H$870,MATCH(Filter!B889,'TE_OA_20200805_INTRDY_2020-08-0'!$G$2:$G$870))</f>
        <v>STRATTON RIDGE</v>
      </c>
      <c r="F889" t="str">
        <f>INDEX('Pipe Table'!$H$2:$H$8,MATCH('TE_OA_20200805_INTRDY_2020-08-0'!I870,'Pipe Table'!$G$2:$G$8,0))</f>
        <v>TETCO-STX</v>
      </c>
      <c r="G889" t="str">
        <f>INDEX(TeAllPoints!$D$2:$D$957,MATCH(Filter!B889,TeAllPoints!$B$2:$B$957,0))</f>
        <v>TX</v>
      </c>
      <c r="H889" t="str">
        <f>INDEX(TeAllPoints!$E$2:$E$957,MATCH(Filter!B889,TeAllPoints!$B$2:$B$957,0))</f>
        <v>BRAZORIA</v>
      </c>
      <c r="I889">
        <f>INDEX('TE_OA_20200805_INTRDY_2020-08-0'!$Q$2:$Q$870,MATCH(Filter!B889,'TE_OA_20200805_INTRDY_2020-08-0'!$G$2:$G$870))</f>
        <v>322000</v>
      </c>
      <c r="J889">
        <f>INDEX('TE_OA_20200805_INTRDY_2020-08-0'!$R$2:$R$870,MATCH(Filter!B889,'TE_OA_20200805_INTRDY_2020-08-0'!$G$2:$G$870))</f>
        <v>0</v>
      </c>
    </row>
  </sheetData>
  <autoFilter ref="A20:J889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4"/>
  <sheetViews>
    <sheetView tabSelected="1" workbookViewId="0">
      <selection activeCell="E20" sqref="E20"/>
    </sheetView>
  </sheetViews>
  <sheetFormatPr defaultRowHeight="15" x14ac:dyDescent="0.25"/>
  <cols>
    <col min="1" max="1" width="11.85546875" bestFit="1" customWidth="1"/>
    <col min="2" max="2" width="9.5703125" bestFit="1" customWidth="1"/>
    <col min="4" max="4" width="13.28515625" bestFit="1" customWidth="1"/>
    <col min="8" max="8" width="11.28515625" bestFit="1" customWidth="1"/>
  </cols>
  <sheetData>
    <row r="1" spans="1:8" x14ac:dyDescent="0.25">
      <c r="A1" t="s">
        <v>7</v>
      </c>
      <c r="B1" t="s">
        <v>5114</v>
      </c>
      <c r="D1" t="s">
        <v>4400</v>
      </c>
      <c r="E1" t="s">
        <v>5104</v>
      </c>
      <c r="G1" t="s">
        <v>4389</v>
      </c>
      <c r="H1" t="s">
        <v>5105</v>
      </c>
    </row>
    <row r="2" spans="1:8" x14ac:dyDescent="0.25">
      <c r="A2" t="s">
        <v>4301</v>
      </c>
      <c r="B2" t="s">
        <v>5116</v>
      </c>
      <c r="D2" t="s">
        <v>4408</v>
      </c>
      <c r="E2" t="s">
        <v>3701</v>
      </c>
      <c r="G2">
        <v>1</v>
      </c>
      <c r="H2" t="s">
        <v>5110</v>
      </c>
    </row>
    <row r="3" spans="1:8" x14ac:dyDescent="0.25">
      <c r="A3" t="s">
        <v>368</v>
      </c>
      <c r="B3" t="s">
        <v>5117</v>
      </c>
      <c r="G3">
        <v>2</v>
      </c>
      <c r="H3" t="s">
        <v>5111</v>
      </c>
    </row>
    <row r="4" spans="1:8" x14ac:dyDescent="0.25">
      <c r="A4" t="s">
        <v>386</v>
      </c>
      <c r="B4" t="s">
        <v>5118</v>
      </c>
      <c r="G4">
        <v>3</v>
      </c>
      <c r="H4" t="s">
        <v>5112</v>
      </c>
    </row>
    <row r="5" spans="1:8" x14ac:dyDescent="0.25">
      <c r="A5" t="s">
        <v>5115</v>
      </c>
      <c r="B5" t="s">
        <v>5119</v>
      </c>
      <c r="G5" t="s">
        <v>543</v>
      </c>
      <c r="H5" t="s">
        <v>5106</v>
      </c>
    </row>
    <row r="6" spans="1:8" x14ac:dyDescent="0.25">
      <c r="A6" t="s">
        <v>28</v>
      </c>
      <c r="B6" t="s">
        <v>5120</v>
      </c>
      <c r="G6" t="s">
        <v>187</v>
      </c>
      <c r="H6" t="s">
        <v>5107</v>
      </c>
    </row>
    <row r="7" spans="1:8" x14ac:dyDescent="0.25">
      <c r="A7" t="s">
        <v>55</v>
      </c>
      <c r="B7" t="s">
        <v>55</v>
      </c>
      <c r="G7" t="s">
        <v>367</v>
      </c>
      <c r="H7" t="s">
        <v>5108</v>
      </c>
    </row>
    <row r="8" spans="1:8" x14ac:dyDescent="0.25">
      <c r="A8" t="s">
        <v>2792</v>
      </c>
      <c r="B8" t="s">
        <v>2792</v>
      </c>
      <c r="G8" t="s">
        <v>680</v>
      </c>
      <c r="H8" t="s">
        <v>5109</v>
      </c>
    </row>
    <row r="9" spans="1:8" x14ac:dyDescent="0.25">
      <c r="A9" t="s">
        <v>822</v>
      </c>
      <c r="B9" t="s">
        <v>5121</v>
      </c>
    </row>
    <row r="10" spans="1:8" x14ac:dyDescent="0.25">
      <c r="A10" t="s">
        <v>4007</v>
      </c>
      <c r="B10" t="s">
        <v>5122</v>
      </c>
    </row>
    <row r="11" spans="1:8" x14ac:dyDescent="0.25">
      <c r="A11" t="s">
        <v>2251</v>
      </c>
      <c r="B11" t="s">
        <v>5123</v>
      </c>
    </row>
    <row r="12" spans="1:8" x14ac:dyDescent="0.25">
      <c r="A12" t="s">
        <v>1169</v>
      </c>
      <c r="B12" t="s">
        <v>5124</v>
      </c>
    </row>
    <row r="13" spans="1:8" x14ac:dyDescent="0.25">
      <c r="A13" t="s">
        <v>4036</v>
      </c>
      <c r="B13" t="s">
        <v>5125</v>
      </c>
    </row>
    <row r="14" spans="1:8" x14ac:dyDescent="0.25">
      <c r="A14" t="s">
        <v>379</v>
      </c>
      <c r="B14" t="s">
        <v>5126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TeAllPoints</vt:lpstr>
      <vt:lpstr>TE_OA_20200805_INTRDY_2020-08-0</vt:lpstr>
      <vt:lpstr>Filter</vt:lpstr>
      <vt:lpstr>Pipe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2020-08-07T16:19:15Z</dcterms:created>
  <dcterms:modified xsi:type="dcterms:W3CDTF">2020-08-12T13:15:06Z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{5ABE4F04-AD59-4576-9BF2-9B014B1B744D}</vt:lpwstr>
  </property>
</Properties>
</file>